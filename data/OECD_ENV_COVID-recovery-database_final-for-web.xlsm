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comments2.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_rels/item6.xml.rels" ContentType="application/vnd.openxmlformats-package.relationships+xml"/>
  <Override PartName="/customXml/_rels/item5.xml.rels" ContentType="application/vnd.openxmlformats-package.relationships+xml"/>
  <Override PartName="/customXml/_rels/item3.xml.rels" ContentType="application/vnd.openxmlformats-package.relationships+xml"/>
  <Override PartName="/customXml/_rels/item1.xml.rels" ContentType="application/vnd.openxmlformats-package.relationships+xml"/>
  <Override PartName="/customXml/_rels/item4.xml.rels" ContentType="application/vnd.openxmlformats-package.relationships+xml"/>
  <Override PartName="/customXml/_rels/item2.xml.rels" ContentType="application/vnd.openxmlformats-package.relationships+xml"/>
  <Override PartName="/customXml/itemProps1.xml" ContentType="application/vnd.openxmlformats-officedocument.customXmlProperties+xml"/>
  <Override PartName="/customXml/item2.xml" ContentType="application/xml"/>
  <Override PartName="/customXml/itemProps3.xml" ContentType="application/vnd.openxmlformats-officedocument.customXmlProperties+xml"/>
  <Override PartName="/customXml/itemProps2.xml" ContentType="application/vnd.openxmlformats-officedocument.customXmlProperties+xml"/>
  <Override PartName="/customXml/item1.xml" ContentType="application/xml"/>
  <Override PartName="/customXml/item3.xml" ContentType="application/xml"/>
  <Override PartName="/customXml/itemProps4.xml" ContentType="application/vnd.openxmlformats-officedocument.customXmlProperties+xml"/>
  <Override PartName="/customXml/item4.xml" ContentType="application/xml"/>
  <Override PartName="/customXml/itemProps5.xml" ContentType="application/vnd.openxmlformats-officedocument.customXmlProperties+xml"/>
  <Override PartName="/customXml/item5.xml" ContentType="application/xml"/>
  <Override PartName="/customXml/itemProps6.xml" ContentType="application/vnd.openxmlformats-officedocument.customXmlProperties+xml"/>
  <Override PartName="/customXml/item6.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Relationship Id="rId9" Type="http://schemas.openxmlformats.org/officeDocument/2006/relationships/customXml" Target="../customXml/item5.xml"/><Relationship Id="rId10" Type="http://schemas.openxmlformats.org/officeDocument/2006/relationships/customXml" Target="../customXml/item6.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Description of columns" sheetId="1" state="visible" r:id="rId3"/>
    <sheet name="Measures" sheetId="2" state="visible" r:id="rId4"/>
    <sheet name="Exchange rates to USD" sheetId="3" state="visible" r:id="rId5"/>
    <sheet name="selection lists" sheetId="4" state="visible" r:id="rId6"/>
  </sheets>
  <externalReferences>
    <externalReference r:id="rId7"/>
  </externalReferences>
  <definedNames>
    <definedName function="false" hidden="true" localSheetId="1" name="_xlnm._FilterDatabase" vbProcedure="false">Measures!$A$1:$X$858</definedName>
    <definedName function="false" hidden="false" name="Countries" vbProcedure="false">#REF!</definedName>
    <definedName function="false" hidden="false" name="Grant" vbProcedure="false">Measures!$C$850:$C$856</definedName>
    <definedName function="false" hidden="false" name="Grant_Loan__including_interest_free_loans" vbProcedure="false">'selection lists'!$C$2:$C$7</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V. F-D</author>
  </authors>
  <commentList>
    <comment ref="S425" authorId="0">
      <text>
        <r>
          <rPr>
            <sz val="10"/>
            <color rgb="FF000000"/>
            <rFont val="Arial"/>
            <family val="2"/>
            <charset val="1"/>
          </rPr>
          <t xml:space="preserve">BERTUZZI Carla:
</t>
        </r>
        <r>
          <rPr>
            <sz val="9"/>
            <color rgb="FF000000"/>
            <rFont val="Tahoma"/>
            <family val="2"/>
            <charset val="1"/>
          </rPr>
          <t xml:space="preserve"> High-performance ventilation equipment is system that has the function of recovering heat from exhausted indoor air and transferring it to newly introduced outdoor air when ventilating indoor air. By using the equipment, we can reduce the risk of the spread of infectious diseases, while at the same time reducing the loss of heating and cooling heat, thereby saving energy and reducing CO2 emissions. So, we believe this is a "positive" green recovery measures.</t>
        </r>
      </text>
    </comment>
    <comment ref="S427" authorId="0">
      <text>
        <r>
          <rPr>
            <sz val="10"/>
            <color rgb="FF000000"/>
            <rFont val="Arial"/>
            <family val="2"/>
            <charset val="1"/>
          </rPr>
          <t xml:space="preserve">BERTUZZI Carla:
</t>
        </r>
        <r>
          <rPr>
            <sz val="9"/>
            <color rgb="FF000000"/>
            <rFont val="Tahoma"/>
            <family val="2"/>
            <charset val="1"/>
          </rPr>
          <t xml:space="preserve">promoting workation in national parks clearly increases the sustainability of National Parks (which is positive environmental impact) by raising public acceptance of them.</t>
        </r>
      </text>
    </comment>
    <comment ref="S666" authorId="0">
      <text>
        <r>
          <rPr>
            <sz val="10"/>
            <color rgb="FF000000"/>
            <rFont val="Arial"/>
            <family val="2"/>
            <charset val="1"/>
          </rPr>
          <t xml:space="preserve">deleted:
</t>
        </r>
        <r>
          <rPr>
            <sz val="9"/>
            <color rgb="FF000000"/>
            <rFont val="Tahoma"/>
            <family val="2"/>
            <charset val="1"/>
          </rPr>
          <t xml:space="preserve"> HM Treasury has approved £5.3 billion of targeted support for essential public transport services, in addition to the economy-wide schemes, including £3.5 billion for rail services, over £1 billion for services in London, and support for bus and light rail services across the rest of England.
</t>
        </r>
      </text>
    </comment>
    <comment ref="S669" authorId="0">
      <text>
        <r>
          <rPr>
            <sz val="9"/>
            <color rgb="FF000000"/>
            <rFont val="Tahoma"/>
            <family val="2"/>
            <charset val="1"/>
          </rPr>
          <t xml:space="preserve">Regarding GBR14-21 which cover the Covid Corporate Financing Facility (CCFF), as noted in our return, fundamentally the CCFF does not directly contribute to increased environmental damage.  It provides liquidity to companies to help avert form failures and job losses, but many of these firms reduced activity and placed staff on furlough through the pandemic.  Certainly in the case of the airlines there is a good possibility that any firm failure would have simply led to other airlines replacing the operator on particular routes.  We have therefore entered the response ‘neutral’ to capture this</t>
        </r>
      </text>
    </comment>
    <comment ref="S761" authorId="0">
      <text>
        <r>
          <rPr>
            <sz val="9"/>
            <color rgb="FF000000"/>
            <rFont val="Tahoma"/>
            <family val="2"/>
            <charset val="1"/>
          </rPr>
          <t xml:space="preserve">This measure should be considered POSITIVE and it is part of the general guidelines plan to protect the Amazon forest. Property rights have a very important role for environmental instruments and allow for a clear improvement on environment protection, conservation practices and sustainable land uses. These are the challenges the Brazilian government face for the achievement of the environmental and social goals in Legal Amazon</t>
        </r>
      </text>
    </comment>
    <comment ref="S762" authorId="0">
      <text>
        <r>
          <rPr>
            <sz val="10"/>
            <color rgb="FF000000"/>
            <rFont val="Arial"/>
            <family val="2"/>
            <charset val="1"/>
          </rPr>
          <t xml:space="preserve">There is no evidence of environmental impacts of such law. Despite the support of the government, air traffic was deeply hit by the pandemic and has not yet recovered pre-crisis levels
</t>
        </r>
      </text>
    </comment>
    <comment ref="S764" authorId="0">
      <text>
        <r>
          <rPr>
            <sz val="9"/>
            <color rgb="FF000000"/>
            <rFont val="Tahoma"/>
            <family val="2"/>
            <charset val="1"/>
          </rPr>
          <t xml:space="preserve">MIXED. The measure focuses on positive impacts such as the transfer of royalties, tax revenues and the generation of jobs, which contributes to improving the quality of life to society. On the other hand, many investments from the oil entrepreneur goes for social and infrastructure actions, which can be considered a positive measure for the environment. In addition, the environmental and social governance required by law aims to lessen the bad consequences generated by oil and gas production, by mitigating and compensating environmental negative impacts. In this sense, the development of these medium and small companies should harm less the environment. 
</t>
        </r>
      </text>
    </comment>
    <comment ref="S766" authorId="0">
      <text>
        <r>
          <rPr>
            <sz val="9"/>
            <color rgb="FF000000"/>
            <rFont val="Tahoma"/>
            <family val="2"/>
            <charset val="1"/>
          </rPr>
          <t xml:space="preserve">The aim is the divestment in refineries by the government. It does not necessarily increase the installed capacity, and may lead to modernization and efficiency improvements, which could be helpful to decrease harmful emissions.
Also, the “Commitment Assignment Term” between Conselho Administrativo de Defesa Econômica (Cade, an anti-trust body) and Petrobras reinforces previous commitments by Petrobrás including environmental protection commitments
</t>
        </r>
      </text>
    </comment>
    <comment ref="S767" authorId="0">
      <text>
        <r>
          <rPr>
            <sz val="9"/>
            <color rgb="FF000000"/>
            <rFont val="Tahoma"/>
            <family val="2"/>
            <charset val="1"/>
          </rPr>
          <t xml:space="preserve">The focus of this regulation is to improve the efficiency of the use of natural gas, reducing the need to burn natural gas and oil, therefore it brings a positive environmental impact. The resolution reinforces the controls and introduces new, more efficient technologies for improving efficiency of the controlled burning activities at the production sites, therefore decreasing and eliminating inefficiencies.</t>
        </r>
      </text>
    </comment>
    <comment ref="S768" authorId="0">
      <text>
        <r>
          <rPr>
            <sz val="9"/>
            <color rgb="FF000000"/>
            <rFont val="Tahoma"/>
            <family val="2"/>
            <charset val="1"/>
          </rPr>
          <t xml:space="preserve">This resolution refers to the “Discovery Evaluation Plans” (Planos de Avaliação de Descoberta - PAD), whose terms can be extended in view of the COVID-19 situation. There is no increase of oil exploration, but a postponement of the study of the findings. It is an administrative measure.
</t>
        </r>
      </text>
    </comment>
    <comment ref="S769" authorId="0">
      <text>
        <r>
          <rPr>
            <sz val="9"/>
            <color rgb="FF000000"/>
            <rFont val="Tahoma"/>
            <family val="2"/>
            <charset val="1"/>
          </rPr>
          <t xml:space="preserve">INDETERMINATE. These are measures related to the occurrence of COVID-19 for the information and safety of the workers involved. Among other measures, the regulation has provisions related to the acceptance of digital documents (instead of physical ones), times and frequency of inspections, production levels and it is clear to determine that any change of plans must not bring any risk to the environment nor to the safety of workers and the public in general.</t>
        </r>
      </text>
    </comment>
    <comment ref="S771" authorId="0">
      <text>
        <r>
          <rPr>
            <sz val="10"/>
            <color rgb="FF000000"/>
            <rFont val="Arial"/>
            <family val="2"/>
            <charset val="1"/>
          </rPr>
          <t xml:space="preserve">This measure alleviates the electricity charges to the lower-class consumers (up to 220 KMH/month). It has a positive impact on the environment as it prevents the use of alternative sources of energy as charcoal or kerosene
</t>
        </r>
      </text>
    </comment>
    <comment ref="S772" authorId="0">
      <text>
        <r>
          <rPr>
            <sz val="9"/>
            <color rgb="FF000000"/>
            <rFont val="Tahoma"/>
            <family val="2"/>
            <charset val="1"/>
          </rPr>
          <t xml:space="preserve">This measure will contribute to review the workflow of energy projects in order to develop a more resilient and sustainable energy system. It can help to maintain steady investment activity, to address long-term investment in infrastructure and energy efficiency projects</t>
        </r>
      </text>
    </comment>
    <comment ref="S775" authorId="0">
      <text>
        <r>
          <rPr>
            <sz val="10"/>
            <color rgb="FF000000"/>
            <rFont val="Arial"/>
            <family val="2"/>
            <charset val="1"/>
          </rPr>
          <t xml:space="preserve">BERTUZZI Carla:
</t>
        </r>
      </text>
    </comment>
    <comment ref="S785" authorId="0">
      <text>
        <r>
          <rPr>
            <sz val="10"/>
            <color rgb="FF000000"/>
            <rFont val="Arial"/>
            <family val="2"/>
            <charset val="1"/>
          </rPr>
          <t xml:space="preserve">The measure supports the biofuel producers (in this case ethanol) on their working capital so to maintain the production of substitute of gasoline and mineral diesel. A reduction of the emission of pollutants is expected.
</t>
        </r>
      </text>
    </comment>
    <comment ref="S786" authorId="0">
      <text>
        <r>
          <rPr>
            <sz val="9"/>
            <color rgb="FF000000"/>
            <rFont val="Tahoma"/>
            <family val="2"/>
            <charset val="1"/>
          </rPr>
          <t xml:space="preserve">Considering that the Brazilian electricity matrix is based on clean sources (84% of clean sources), the measure allows the low-income consumers to keep using electricity instead of resorting to alternative sources like kerosene, charcoal or wood, so the impact to the environment shall be considered positive.
</t>
        </r>
      </text>
    </comment>
  </commentList>
</comments>
</file>

<file path=xl/sharedStrings.xml><?xml version="1.0" encoding="utf-8"?>
<sst xmlns="http://schemas.openxmlformats.org/spreadsheetml/2006/main" count="10005" uniqueCount="3199">
  <si>
    <t xml:space="preserve">This list describes the column headings in the main "Measures" sheet</t>
  </si>
  <si>
    <t xml:space="preserve">Column letter</t>
  </si>
  <si>
    <t xml:space="preserve">Column heading</t>
  </si>
  <si>
    <t xml:space="preserve">Description</t>
  </si>
  <si>
    <t xml:space="preserve">A</t>
  </si>
  <si>
    <t xml:space="preserve">Identification number</t>
  </si>
  <si>
    <t xml:space="preserve">Unique identifier per line</t>
  </si>
  <si>
    <t xml:space="preserve">B</t>
  </si>
  <si>
    <t xml:space="preserve">Country</t>
  </si>
  <si>
    <t xml:space="preserve">3-letter country code</t>
  </si>
  <si>
    <t xml:space="preserve">C</t>
  </si>
  <si>
    <t xml:space="preserve">Type of measure</t>
  </si>
  <si>
    <t xml:space="preserve">Categorisatioin of policy type</t>
  </si>
  <si>
    <t xml:space="preserve">D</t>
  </si>
  <si>
    <t xml:space="preserve">Scope</t>
  </si>
  <si>
    <t xml:space="preserve">Economy-wide, sectoral, sub-national etc</t>
  </si>
  <si>
    <t xml:space="preserve">E</t>
  </si>
  <si>
    <t xml:space="preserve">Sector</t>
  </si>
  <si>
    <t xml:space="preserve">Which sector(s) covered</t>
  </si>
  <si>
    <t xml:space="preserve">F</t>
  </si>
  <si>
    <t xml:space="preserve">Value of measure (USD or specify)</t>
  </si>
  <si>
    <t xml:space="preserve">Total value of funding announced (if applicable)</t>
  </si>
  <si>
    <t xml:space="preserve">G</t>
  </si>
  <si>
    <t xml:space="preserve">Infrastructure relevant?</t>
  </si>
  <si>
    <t xml:space="preserve">Relevant to infrastructure or not</t>
  </si>
  <si>
    <t xml:space="preserve">H</t>
  </si>
  <si>
    <t xml:space="preserve">Environmental dimension 1</t>
  </si>
  <si>
    <t xml:space="preserve">Up to three environmental dimensions potentially affected by the measure (positively or negatively)</t>
  </si>
  <si>
    <t xml:space="preserve">I</t>
  </si>
  <si>
    <t xml:space="preserve">Environmental dimension 2</t>
  </si>
  <si>
    <t xml:space="preserve">J</t>
  </si>
  <si>
    <t xml:space="preserve">Environmental dimension 3</t>
  </si>
  <si>
    <t xml:space="preserve">K</t>
  </si>
  <si>
    <t xml:space="preserve">Summary description</t>
  </si>
  <si>
    <t xml:space="preserve">Description of measure</t>
  </si>
  <si>
    <t xml:space="preserve">L</t>
  </si>
  <si>
    <t xml:space="preserve">Source</t>
  </si>
  <si>
    <t xml:space="preserve">Online source for data</t>
  </si>
  <si>
    <t xml:space="preserve">M</t>
  </si>
  <si>
    <t xml:space="preserve">Source 2</t>
  </si>
  <si>
    <t xml:space="preserve">N</t>
  </si>
  <si>
    <t xml:space="preserve">Comments</t>
  </si>
  <si>
    <t xml:space="preserve">O</t>
  </si>
  <si>
    <t xml:space="preserve">Updated on</t>
  </si>
  <si>
    <t xml:space="preserve">Date that the entry was last updated</t>
  </si>
  <si>
    <t xml:space="preserve">P</t>
  </si>
  <si>
    <t xml:space="preserve">Original currency</t>
  </si>
  <si>
    <t xml:space="preserve">Currency conversion fields</t>
  </si>
  <si>
    <t xml:space="preserve">Q</t>
  </si>
  <si>
    <t xml:space="preserve">Original value (million)</t>
  </si>
  <si>
    <t xml:space="preserve">R</t>
  </si>
  <si>
    <t xml:space="preserve">Convert to USD millions</t>
  </si>
  <si>
    <t xml:space="preserve">Source 1</t>
  </si>
  <si>
    <t xml:space="preserve">Environmental impact category
</t>
  </si>
  <si>
    <t xml:space="preserve">Million original currency</t>
  </si>
  <si>
    <t xml:space="preserve">Country comments/
Revisions</t>
  </si>
  <si>
    <t xml:space="preserve">AUS1</t>
  </si>
  <si>
    <t xml:space="preserve">AUS</t>
  </si>
  <si>
    <t xml:space="preserve">Grant/Loan (including interest-free loans)</t>
  </si>
  <si>
    <t xml:space="preserve">Sectoral</t>
  </si>
  <si>
    <t xml:space="preserve">Air transport</t>
  </si>
  <si>
    <t xml:space="preserve">AUD 100m</t>
  </si>
  <si>
    <t xml:space="preserve">Climate Mitigation</t>
  </si>
  <si>
    <t xml:space="preserve">Regional Airlines Funding Assistance - assist smaller regional domestic air service providers to help manage cash flow issues they may be experiencing as a result of the mpacts of the Coronavirus.</t>
  </si>
  <si>
    <t xml:space="preserve">https://treasury.gov.au/sites/default/files/2020-07/Fact_Sheet-COVID-19_Relief_Fund.pdf</t>
  </si>
  <si>
    <t xml:space="preserve">Negative</t>
  </si>
  <si>
    <t xml:space="preserve">AUD</t>
  </si>
  <si>
    <t xml:space="preserve">AUS2</t>
  </si>
  <si>
    <t xml:space="preserve">AUD 198m</t>
  </si>
  <si>
    <t xml:space="preserve">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</si>
  <si>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 xml:space="preserve">Indeterminate</t>
  </si>
  <si>
    <t xml:space="preserve">AUS3</t>
  </si>
  <si>
    <t xml:space="preserve">AUD 110m</t>
  </si>
  <si>
    <t xml:space="preserve">Airfreight Support - an International Freight Assistance Mechanism (IFAM) to keep open key international freight links with trading partners for goods coming into and going out of Australia. IFAM will support the efforts of businesses trading internationally, including in the agricultural, seafood and healthcare sectors, to re-establish key global supply chains, which have been disrupted by the Coronavirus, supporting the international economic recovery. </t>
  </si>
  <si>
    <t xml:space="preserve">AUS4</t>
  </si>
  <si>
    <t xml:space="preserve">Tax reduction / Other subsidy</t>
  </si>
  <si>
    <t xml:space="preserve">Multiple or economy-wide</t>
  </si>
  <si>
    <t xml:space="preserve">Biodiversity</t>
  </si>
  <si>
    <t xml:space="preserve">Levy Relief from Commonwealth Fisheries - The Australian Government is waiving the final two instalments of levies for Commonwealth managed fisheries, reducing levies for the 2019-20 financial year by two thirds. No estimate of revenue foregone provided</t>
  </si>
  <si>
    <t xml:space="preserve">AUS5</t>
  </si>
  <si>
    <t xml:space="preserve">Economy-wide</t>
  </si>
  <si>
    <t xml:space="preserve">AUD 12m</t>
  </si>
  <si>
    <t xml:space="preserve">Fee Waivers for Commonwealth National Parks plus support for businesses operating in Commonwealth National Parks</t>
  </si>
  <si>
    <t xml:space="preserve">AUS6</t>
  </si>
  <si>
    <t xml:space="preserve">AUD 8.1m</t>
  </si>
  <si>
    <t xml:space="preserve">Temporary waiver of environmental management change in the Great Barrier Reef Marine Park</t>
  </si>
  <si>
    <t xml:space="preserve">AUS7</t>
  </si>
  <si>
    <t xml:space="preserve">AUD 4m</t>
  </si>
  <si>
    <t xml:space="preserve">Seafood Sector COVID-19 Support - "Eat Seafood Australia" Campaign</t>
  </si>
  <si>
    <t xml:space="preserve">AUS8</t>
  </si>
  <si>
    <t xml:space="preserve">Industry</t>
  </si>
  <si>
    <t xml:space="preserve">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</si>
  <si>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</si>
  <si>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 xml:space="preserve">Positive</t>
  </si>
  <si>
    <t xml:space="preserve">AUS9</t>
  </si>
  <si>
    <t xml:space="preserve">Energy</t>
  </si>
  <si>
    <t xml:space="preserve">Waste &amp; recycling</t>
  </si>
  <si>
    <t xml:space="preserve">Water</t>
  </si>
  <si>
    <t xml:space="preserve">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</si>
  <si>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 xml:space="preserve">AUS10</t>
  </si>
  <si>
    <t xml:space="preserve">AUD 715m</t>
  </si>
  <si>
    <t xml:space="preserve">Support for Australian Airlines and Airports - The Government will provide initial support to our airline industry through an estimated $715 million package of relief from a range of taxes and Government charges. This will include reimbursement of aviation fuel taxes, relief of Airservices Australia charges, rebate for Domestic Aviation Security, funding Regional Aviation Security.</t>
  </si>
  <si>
    <t xml:space="preserve">https://treasury.gov.au/sites/default/files/2020-03/Fact_sheet-Assistance_for_severely_affected_regions_and_sectors.pdf</t>
  </si>
  <si>
    <t xml:space="preserve">AUS11</t>
  </si>
  <si>
    <t xml:space="preserve">AUD 1 billion</t>
  </si>
  <si>
    <t xml:space="preserve">Other</t>
  </si>
  <si>
    <t xml:space="preserve">Support for Coronavirus-affected Regions, Communities and Industries</t>
  </si>
  <si>
    <t xml:space="preserve">AUS12</t>
  </si>
  <si>
    <t xml:space="preserve">City/regional</t>
  </si>
  <si>
    <t xml:space="preserve">AUD 51.8 billion</t>
  </si>
  <si>
    <t xml:space="preserve">Air Pollution</t>
  </si>
  <si>
    <t xml:space="preserve">Infrastructure guarantee fund - maintaining the current State infrastructure investment program at $51.8 billion over the next four years 2019-20 to 2022-23</t>
  </si>
  <si>
    <t xml:space="preserve">https://www.covid19.qld.gov.au/government-actions/our-economic-recovery-strategy</t>
  </si>
  <si>
    <t xml:space="preserve">Mixed</t>
  </si>
  <si>
    <t xml:space="preserve">AUS13</t>
  </si>
  <si>
    <t xml:space="preserve">Sector-specific</t>
  </si>
  <si>
    <t xml:space="preserve">Buildings</t>
  </si>
  <si>
    <t xml:space="preserve">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</si>
  <si>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 xml:space="preserve">https://treasury.gov.au/coronavirus/homebuilder</t>
  </si>
  <si>
    <t xml:space="preserve">https://treasury.gov.au/sites/default/files/2020-12/HomeBuilder_extension_factsheet.pdf</t>
  </si>
  <si>
    <t xml:space="preserve">changed dimension from biodiversity to climate. Change impact to mixed/No Infrast. relevant? The measure is expected to have an impact of AUD 921 million</t>
  </si>
  <si>
    <t xml:space="preserve">AUS14</t>
  </si>
  <si>
    <t xml:space="preserve">Regulatory change</t>
  </si>
  <si>
    <t xml:space="preserve">Agriculture</t>
  </si>
  <si>
    <t xml:space="preserve">AUD 14.4m</t>
  </si>
  <si>
    <t xml:space="preserve">Improving Regulation post-COVID-19 including Targeted Interventions for Seafood and Live Animal Exporters</t>
  </si>
  <si>
    <t xml:space="preserve">https://www.awe.gov.au/sites/default/files/2020-10/budget-2020-21_cultivating-profitable-and-resilient-agricultural-businesses.pdf</t>
  </si>
  <si>
    <t xml:space="preserve">AUS15</t>
  </si>
  <si>
    <t xml:space="preserve">AUD 40.6m</t>
  </si>
  <si>
    <t xml:space="preserve">Protecting and restoring Sydney Harbour Federation Trust properties</t>
  </si>
  <si>
    <t xml:space="preserve">https://www.awe.gov.au/sites/default/files/2020-10/budget-2020-21_protecting-our-iconic-places.pdf</t>
  </si>
  <si>
    <t xml:space="preserve">AUS16</t>
  </si>
  <si>
    <t xml:space="preserve">AUD 3.2m</t>
  </si>
  <si>
    <t xml:space="preserve">Great Barrier Reef tourism industry activation and reef protection, maintenance and monitoring.</t>
  </si>
  <si>
    <t xml:space="preserve">AUS17</t>
  </si>
  <si>
    <t xml:space="preserve">AUD 5.5m</t>
  </si>
  <si>
    <t xml:space="preserve">Supplementing GBRMPA for waiving environmental management charges</t>
  </si>
  <si>
    <t xml:space="preserve">AUS18</t>
  </si>
  <si>
    <t xml:space="preserve">Tax reduction / other subsidy</t>
  </si>
  <si>
    <t xml:space="preserve">AUD 6m</t>
  </si>
  <si>
    <t xml:space="preserve">Extending waiver of the GBRMPA Environment Management Charge</t>
  </si>
  <si>
    <t xml:space="preserve">AUS19</t>
  </si>
  <si>
    <t xml:space="preserve">AUD 11.2m</t>
  </si>
  <si>
    <t xml:space="preserve">Supplementing our National Parks for waiving park entry fees to Kakadu, Uluru Kata-Tjuta and Booderee, to provide incentives for travellers to visit after restrictions relax </t>
  </si>
  <si>
    <t xml:space="preserve">AUS20</t>
  </si>
  <si>
    <t xml:space="preserve">AUD 5m</t>
  </si>
  <si>
    <t xml:space="preserve">Support critical capital works and capital projects to refurbish and replace external structures at Reef HQ.</t>
  </si>
  <si>
    <t xml:space="preserve">https://www.infrastructure.gov.au/department/statements/2020_2021/ministerial-statement/agriculture-water-environment.aspx#new</t>
  </si>
  <si>
    <t xml:space="preserve">AUS21</t>
  </si>
  <si>
    <t xml:space="preserve">Waste management</t>
  </si>
  <si>
    <t xml:space="preserve">AUD 59.6m</t>
  </si>
  <si>
    <t xml:space="preserve">National Waste Policy Action Plan implementation</t>
  </si>
  <si>
    <t xml:space="preserve">https://www.awe.gov.au/sites/default/files/2020-10/budget-2020-21_transforming-waste-recycling.pdf</t>
  </si>
  <si>
    <t xml:space="preserve">AUS22</t>
  </si>
  <si>
    <t xml:space="preserve">AUD 190m</t>
  </si>
  <si>
    <t xml:space="preserve">Recycling Modernisation Fund - will support waste recovery and combined with the National Waste Policy Action Plan will create over 10,000 jobs over the next 10 years. </t>
  </si>
  <si>
    <t xml:space="preserve">AUS23</t>
  </si>
  <si>
    <t xml:space="preserve">AUD 2.5m</t>
  </si>
  <si>
    <t xml:space="preserve">Adaptation</t>
  </si>
  <si>
    <t xml:space="preserve">Exploring market-based solutions for habitat restoration</t>
  </si>
  <si>
    <t xml:space="preserve">https://www.awe.gov.au/sites/default/files/2020-10/budget-2020-21_reforming-environmental-laws-regulations_0.pdf</t>
  </si>
  <si>
    <t xml:space="preserve">AUS24</t>
  </si>
  <si>
    <t xml:space="preserve">AUD 37.6m</t>
  </si>
  <si>
    <t xml:space="preserve">Projects that will sustain South Australia Riverland environments</t>
  </si>
  <si>
    <t xml:space="preserve">https://www.awe.gov.au/sites/default/files/2020-10/budget_2020-21_investing-in-communities-and-building-confidence-in-the-basin-plan.pdf</t>
  </si>
  <si>
    <t xml:space="preserve">AUS25</t>
  </si>
  <si>
    <t xml:space="preserve">AUD 24.5m</t>
  </si>
  <si>
    <t xml:space="preserve">Community driven projects to improve the health of rivers and wetlands</t>
  </si>
  <si>
    <t xml:space="preserve">AUS26</t>
  </si>
  <si>
    <t xml:space="preserve">AUD 4.2m</t>
  </si>
  <si>
    <t xml:space="preserve">First Nations River Ranger Program</t>
  </si>
  <si>
    <t xml:space="preserve">AUS27</t>
  </si>
  <si>
    <t xml:space="preserve">AUD 20m</t>
  </si>
  <si>
    <t xml:space="preserve">Reef builder - aiding the recovery of coastal communities</t>
  </si>
  <si>
    <t xml:space="preserve">https://www.awe.gov.au/sites/default/files/2020-10/budget-2020-21_supporting-healthy-oceans.pdf</t>
  </si>
  <si>
    <t xml:space="preserve">AUS28</t>
  </si>
  <si>
    <t xml:space="preserve">Skills training</t>
  </si>
  <si>
    <t xml:space="preserve">AUD 23m</t>
  </si>
  <si>
    <t xml:space="preserve">Green jobs - Employment of people with no prior skill in environmental restoration and conservation</t>
  </si>
  <si>
    <t xml:space="preserve">Green Recovery Measures for Western Australia - Sustainable Recovery 2020 (iisd.org)</t>
  </si>
  <si>
    <t xml:space="preserve">AUS29</t>
  </si>
  <si>
    <t xml:space="preserve">Investment directed towards the Clean Energy Future Fund to invest in clean energy technologies</t>
  </si>
  <si>
    <t xml:space="preserve">AUS30</t>
  </si>
  <si>
    <t xml:space="preserve">Installation of rooftop solar PV on social housing</t>
  </si>
  <si>
    <t xml:space="preserve">AUS31</t>
  </si>
  <si>
    <t xml:space="preserve">AUD 13m</t>
  </si>
  <si>
    <t xml:space="preserve">Upgrades at Volunteer Emergency Services stations and units across Western Australia (inclusing fire and rescue services and bush fire brigades)</t>
  </si>
  <si>
    <t xml:space="preserve">AUS32</t>
  </si>
  <si>
    <t xml:space="preserve">Creating jobs in Western Australia across sectors such as renewable energy, agriculture, construction and education. </t>
  </si>
  <si>
    <t xml:space="preserve">AUS33</t>
  </si>
  <si>
    <t xml:space="preserve">AUD 50m</t>
  </si>
  <si>
    <t xml:space="preserve">Carbon Capture Use and Storage Development Fund for piloting carbon capture projects to help cut emissions</t>
  </si>
  <si>
    <t xml:space="preserve">Investment in new energy technologies | Prime Minister of Australia (pm.gov.au)</t>
  </si>
  <si>
    <t xml:space="preserve">AUS34</t>
  </si>
  <si>
    <t xml:space="preserve">AUD 95.4m</t>
  </si>
  <si>
    <t xml:space="preserve">Technology Co-Investment Fund to support agriculture, manufacturing, industrial and transport sector businesses that adopt technologies that increase energy productivity</t>
  </si>
  <si>
    <t xml:space="preserve">Clean Recovery: Australia to invest in future energy technology - Sustainable Recovery 2020 (iisd.org)</t>
  </si>
  <si>
    <t xml:space="preserve">AUS35</t>
  </si>
  <si>
    <t xml:space="preserve">AUD 67m</t>
  </si>
  <si>
    <t xml:space="preserve">Support for micro-grids in regional and remote communities to deliver affordable and reliable power.</t>
  </si>
  <si>
    <t xml:space="preserve">AUS36</t>
  </si>
  <si>
    <t xml:space="preserve">AUD 52.2m</t>
  </si>
  <si>
    <t xml:space="preserve">Investments in home and business energy productivity</t>
  </si>
  <si>
    <t xml:space="preserve">AUS37</t>
  </si>
  <si>
    <t xml:space="preserve">AUD 70.2m</t>
  </si>
  <si>
    <t xml:space="preserve">Setting up a hydrogen export hub to take advantage of the advancements in this low emissions/high powered source of energy</t>
  </si>
  <si>
    <t xml:space="preserve">AUS38</t>
  </si>
  <si>
    <t xml:space="preserve">AUD 74.5m</t>
  </si>
  <si>
    <t xml:space="preserve">Future Fuels Fund to help businesses and regional communities take advantage of opportunities offered by hydrogen, electric and bio-fuelled vehicles</t>
  </si>
  <si>
    <t xml:space="preserve">AUS39</t>
  </si>
  <si>
    <t xml:space="preserve">AUD 40.2m</t>
  </si>
  <si>
    <t xml:space="preserve">Boosting energy and emissions data and cyber-security reporting and supporting the delivery of future Low Emissions Technology Statements under the Technology Investment Roadmap process, as well as developing an offshore clean energy project development framework.</t>
  </si>
  <si>
    <t xml:space="preserve">AUS40</t>
  </si>
  <si>
    <t xml:space="preserve">AUD 200m</t>
  </si>
  <si>
    <t xml:space="preserve">Clean Energy Innovation Fund for debt and equity investments in emerging clean energy projects and businesses (jointly administered with Clean Energy Finance Cooproation).</t>
  </si>
  <si>
    <t xml:space="preserve">https://www.industry.gov.au/sites/default/files/2020-10/2020-21-department-of-industry-science-enery-and-resources-pbs.pdf</t>
  </si>
  <si>
    <t xml:space="preserve">AUS41</t>
  </si>
  <si>
    <t xml:space="preserve">AUD 2b</t>
  </si>
  <si>
    <t xml:space="preserve">Funding for projects through the National Water Infrastructure Fund to deliver increased water security, build resilience, deliver jobs and grow agrocultural sector. I.e. National Water Grid.</t>
  </si>
  <si>
    <t xml:space="preserve">https://minister.infrastructure.gov.au/mccormack/media-release/infrastructure-investment-laying-foundations-australias-economic-recovery</t>
  </si>
  <si>
    <t xml:space="preserve">AUS42</t>
  </si>
  <si>
    <t xml:space="preserve">AUD 33.5m</t>
  </si>
  <si>
    <t xml:space="preserve">Sustaining tourism at Australia's iconic World and National Heritage sites. Including improvements to visitor facilities and accomodation.</t>
  </si>
  <si>
    <t xml:space="preserve">AUS43</t>
  </si>
  <si>
    <t xml:space="preserve">Funding for the Regional Airlines Funding Assistance Program to give direct cash flow assistance to smaller regional air operators to help them continue to provide air connectivity to regional Australia (due to downturn in aviation during Covid-19).</t>
  </si>
  <si>
    <t xml:space="preserve">https://www.infrastructure.gov.au/department/statements/2020_2021/ministerial-statement/infrastructure-transport-regional-development-communications.aspx#new</t>
  </si>
  <si>
    <t xml:space="preserve">change to grant?negative?</t>
  </si>
  <si>
    <t xml:space="preserve">AUS44</t>
  </si>
  <si>
    <t xml:space="preserve">Murray Basin Frieght Rail Project to better connect producers in Victoria with key domestic and export markets. </t>
  </si>
  <si>
    <t xml:space="preserve">https://budget.gov.au/2020-21/content/myefo/download/myefo-2020-21.pdf</t>
  </si>
  <si>
    <t xml:space="preserve">AUT1</t>
  </si>
  <si>
    <t xml:space="preserve">AUT</t>
  </si>
  <si>
    <t xml:space="preserve">Other or not specified</t>
  </si>
  <si>
    <t xml:space="preserve">Surface transport</t>
  </si>
  <si>
    <t xml:space="preserve">EUR 540 million</t>
  </si>
  <si>
    <t xml:space="preserve">A public transport ticket is introduced that provides country-wide affordable access to public transport (metro/bus/rail) for a flat fee (EUR 3 per day); alternatively this can be restricted to one or more selected federal states; the allocation for the ticket subsidy is 240 million; the remainder of 300 million is to be invested in climate friendly mobility (expansion of infra networks)</t>
  </si>
  <si>
    <t xml:space="preserve">https://infothek.bmk.gv.at/zwei-klimaschutzmilliarden-fuer-oesterreich/</t>
  </si>
  <si>
    <t xml:space="preserve">Measure discussed pre-COVID</t>
  </si>
  <si>
    <t xml:space="preserve">An annual subsidy of nighttrains of EUR 10 million has been added since the initial proposal. </t>
  </si>
  <si>
    <t xml:space="preserve">17/11/2020</t>
  </si>
  <si>
    <t xml:space="preserve">EUR</t>
  </si>
  <si>
    <t xml:space="preserve">AUT2</t>
  </si>
  <si>
    <t xml:space="preserve">EUR 750 million</t>
  </si>
  <si>
    <t xml:space="preserve">Improve energy efficiency of old buildings by renovation, as to lower their energy needs, and by the change of the heating system away from oil and gas to renewable sources.</t>
  </si>
  <si>
    <t xml:space="preserve">this refers in particular to the programme “Raus aus Öl” – Beyond oil; already in operation for several years, but with significantly higher budget as part of the green recovery</t>
  </si>
  <si>
    <t xml:space="preserve">AUT3</t>
  </si>
  <si>
    <t xml:space="preserve">EUR 260 million </t>
  </si>
  <si>
    <t xml:space="preserve">Investment in renewable energy generation expansion. Funding for 100 million roofs covered with solar panels (to further enhance progress towards 100% renewable energy generation by 2030)</t>
  </si>
  <si>
    <t xml:space="preserve">AUT4</t>
  </si>
  <si>
    <t xml:space="preserve">R&amp;D subsidies</t>
  </si>
  <si>
    <t xml:space="preserve">EUR 300 million </t>
  </si>
  <si>
    <t xml:space="preserve">Funding for innovations for climate friendly transport  technologies of the future; this includes R&amp;D for battery technologies in vehicles; R&amp;D support also for private companies investing in this type of R&amp;D;</t>
  </si>
  <si>
    <t xml:space="preserve">AUT5</t>
  </si>
  <si>
    <t xml:space="preserve">EUR 100 million </t>
  </si>
  <si>
    <t xml:space="preserve">Funding for repairs; very vaguely phrased for now, but broadly in support of a circular economy model;This measure supports services and corresponding employment. The aim is to create incentives to have appliances repaired rather than thrown away and to stimulate companies in the repair sector through a reduced VAT rate; only small repairs are concerned; </t>
  </si>
  <si>
    <t xml:space="preserve">AUT 6</t>
  </si>
  <si>
    <t xml:space="preserve">EUR 200  million</t>
  </si>
  <si>
    <t xml:space="preserve">Funding for climate action for municipalities; the 200 million are used to co-finance (50%) local climate action projects, 20% of the investment volume should flow into NbS</t>
  </si>
  <si>
    <t xml:space="preserve">https://www.bmk.gv.at/service/presse/gewessler/20200731_gemeindepaket.html</t>
  </si>
  <si>
    <t xml:space="preserve">Projects supported: renovation, energy efficiency measures, climate-friendly local infrastructure, etc…</t>
  </si>
  <si>
    <t xml:space="preserve">AUT 7</t>
  </si>
  <si>
    <t xml:space="preserve">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</si>
  <si>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 xml:space="preserve">AUT 8</t>
  </si>
  <si>
    <t xml:space="preserve">Forestry</t>
  </si>
  <si>
    <t xml:space="preserve">EUR 350 million</t>
  </si>
  <si>
    <t xml:space="preserve">Forest Fund aimed at funding research projects that help enhance climate adaptation of forests; this includes measures to protect and enhance biodviersity, increase the natural forest protected areas, etc…</t>
  </si>
  <si>
    <t xml:space="preserve">AUT 9</t>
  </si>
  <si>
    <t xml:space="preserve">air transport</t>
  </si>
  <si>
    <t xml:space="preserve">EUR 600 million</t>
  </si>
  <si>
    <t xml:space="preserve">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</si>
  <si>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 xml:space="preserve">https://platform2020redesign.org/countries/austria/</t>
  </si>
  <si>
    <t xml:space="preserve">BEL1</t>
  </si>
  <si>
    <t xml:space="preserve">BEL</t>
  </si>
  <si>
    <t xml:space="preserve">700 million </t>
  </si>
  <si>
    <t xml:space="preserve">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</si>
  <si>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 xml:space="preserve">https://www.vlaanderen.be/publicaties/relanceplan-vlaamse-regering-vlaamse-veerkracht</t>
  </si>
  <si>
    <t xml:space="preserve">https://www.vlaio.be/nl/nieuws/43-miljard-euro-voor-relanceplan-vlaamse-veerkracht</t>
  </si>
  <si>
    <t xml:space="preserve">Most intentions already existed before, but now more budget is shifted to the priority topics. Most practical modalities still need to be developed.</t>
  </si>
  <si>
    <t xml:space="preserve">16/11/2020</t>
  </si>
  <si>
    <t xml:space="preserve">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</si>
  <si>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</si>
  <si>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 xml:space="preserve">https://rudivervoort.brussels/wp-content/uploads/2020/07/Plan-de-relance-Dossier-de-presse-NL.pdf</t>
  </si>
  <si>
    <t xml:space="preserve">https://www.voka.be/nieuws/brussels-herstelplan-eerste-stap-relance</t>
  </si>
  <si>
    <t xml:space="preserve">BEL3</t>
  </si>
  <si>
    <t xml:space="preserve">12 million</t>
  </si>
  <si>
    <t xml:space="preserve">In the Relance and Redevelopment plan discussed above, there is a measure to enhance renovation of buildings: 8 million euros goes energy saving subsidies and 2 million goes to support for landlords that are planning a renovation.</t>
  </si>
  <si>
    <t xml:space="preserve">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</si>
  <si>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</si>
  <si>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 xml:space="preserve">https://gouvernement.wallonie.be/files/%255BNote%20du%20Gouvernement%20de%20Wallonie%255D%20-%20Get%20up%20Wallonia%20!.pdf</t>
  </si>
  <si>
    <t xml:space="preserve">https://www.lecho.be/economie-politique/belgique/wallonie/le-covid-ne-peut-servir-de-paravent-a-la-relance-de-la-wallonie/10256438.html</t>
  </si>
  <si>
    <t xml:space="preserve">BEL5</t>
  </si>
  <si>
    <t xml:space="preserve">The new Belgian government (October 2020) has included Green Relance as one of its six pillars for its governmental agreement (Regeringsakkoord). The measures still have to be made concrete.</t>
  </si>
  <si>
    <t xml:space="preserve">https://www.belgium.be/sites/default/files/Regeerakkoord_2020.pdf</t>
  </si>
  <si>
    <t xml:space="preserve">BEL6</t>
  </si>
  <si>
    <t xml:space="preserve">EUR 191 million</t>
  </si>
  <si>
    <t xml:space="preserve">The Value Added Tax for Demolition and Reconstruction will be reduced from 21% to 6% to speed up energy savings in residential buildings in Belgium.</t>
  </si>
  <si>
    <t xml:space="preserve">https://www.tijd.be/netto/analyse/vastgoed/strikte-regels-voor-sloop-en-heropbouw-aan-6-procent-btw/10257614.html</t>
  </si>
  <si>
    <t xml:space="preserve">BEL7</t>
  </si>
  <si>
    <t xml:space="preserve">EUR 23 millions</t>
  </si>
  <si>
    <t xml:space="preserve">Increase with 20% of salary fraction that can be deducted for donations: from 45% to 60%. The measure applies to all registered charities including charities that purchase and restore nature. </t>
  </si>
  <si>
    <t xml:space="preserve">https://financien.belgium.be/nl/particulieren/belastingvoordelen/giften#q3</t>
  </si>
  <si>
    <t xml:space="preserve">BEL8</t>
  </si>
  <si>
    <t xml:space="preserve">EUR 203 millions</t>
  </si>
  <si>
    <t xml:space="preserve">Increase of the investment deduction percentage to 25% for investments made between 12/03/2020 and 31/12/2022</t>
  </si>
  <si>
    <t xml:space="preserve">Loi-programme du 20/12/2020 
https://finances.belgium.be/fr/loi-programme/augmentation-deduction-investissement</t>
  </si>
  <si>
    <t xml:space="preserve">BEL9</t>
  </si>
  <si>
    <t xml:space="preserve">EUR 40 millions</t>
  </si>
  <si>
    <t xml:space="preserve">Asbestos removal policy in Flanders (subsidies for removal &amp; treatment)</t>
  </si>
  <si>
    <t xml:space="preserve">BEL10</t>
  </si>
  <si>
    <t xml:space="preserve">EUR 30 millions</t>
  </si>
  <si>
    <t xml:space="preserve">Development of Flanders as a recycling hub (Investment subsidy)</t>
  </si>
  <si>
    <t xml:space="preserve">BEL11</t>
  </si>
  <si>
    <t xml:space="preserve">EUR 1.95 millions</t>
  </si>
  <si>
    <t xml:space="preserve">Digital mapping of material flows in Flanders</t>
  </si>
  <si>
    <t xml:space="preserve">1.95</t>
  </si>
  <si>
    <t xml:space="preserve">BEL12</t>
  </si>
  <si>
    <t xml:space="preserve">EUR 10 millions</t>
  </si>
  <si>
    <t xml:space="preserve">Circular construction in Flanders (Subsidies for R&amp;D, innovation, pilots, demos living labs)</t>
  </si>
  <si>
    <t xml:space="preserve">BEL13</t>
  </si>
  <si>
    <t xml:space="preserve">EUR 15 millions</t>
  </si>
  <si>
    <t xml:space="preserve">Circular manufacturing in Flanders (Subsidies for R&amp;D, innovation, pilots, demos living labs)</t>
  </si>
  <si>
    <t xml:space="preserve">CAN1</t>
  </si>
  <si>
    <t xml:space="preserve">CAN</t>
  </si>
  <si>
    <t xml:space="preserve">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</si>
  <si>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</si>
  <si>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 xml:space="preserve">https://www.canada.ca/en/department-finance/economic-response-plan.html#energy</t>
  </si>
  <si>
    <t xml:space="preserve">CAD</t>
  </si>
  <si>
    <t xml:space="preserve">CAN2</t>
  </si>
  <si>
    <t xml:space="preserve">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</si>
  <si>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</si>
  <si>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 xml:space="preserve">https://www.fasken.com/en/knowledge/2020/04/17-covid-19-aid-package-to-the-canadian-oil-and-gas-industry/</t>
  </si>
  <si>
    <t xml:space="preserve">CAN3</t>
  </si>
  <si>
    <t xml:space="preserve">Up to CAD 750 million</t>
  </si>
  <si>
    <t xml:space="preserve">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</si>
  <si>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 xml:space="preserve">https://www.nrcan.gc.ca/science-data/funding-partnerships/funding-opportunities/current-funding-opportunities/emissions-reduction-fund/22781</t>
  </si>
  <si>
    <t xml:space="preserve">CAN4</t>
  </si>
  <si>
    <t xml:space="preserve">50 million (initially)</t>
  </si>
  <si>
    <t xml:space="preserve">We launched the Surplus Food Purchase Program with an initial $50 million fund designed to help redistribute existing and unsold inventories, which could include products such as potatoes and poultry, to local food organizations who are serving vulnerable Canadians.</t>
  </si>
  <si>
    <t xml:space="preserve">https://www.agr.gc.ca/eng/agricultural-programs-and-services/surplus-food-rescue-program/?id=1591298974329</t>
  </si>
  <si>
    <t xml:space="preserve">CAN5</t>
  </si>
  <si>
    <t xml:space="preserve">CAD 330 million</t>
  </si>
  <si>
    <t xml:space="preserve">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</si>
  <si>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 xml:space="preserve">https://www.canada.ca/en/department-finance/economic-response-plan.html</t>
  </si>
  <si>
    <t xml:space="preserve">https://climateactiontracker.org/countries/canada/</t>
  </si>
  <si>
    <t xml:space="preserve">CAN6</t>
  </si>
  <si>
    <t xml:space="preserve">Up to CAD 22.7 million</t>
  </si>
  <si>
    <t xml:space="preserve">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</si>
  <si>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 xml:space="preserve">CAN7</t>
  </si>
  <si>
    <t xml:space="preserve">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</si>
  <si>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 xml:space="preserve">CAN8</t>
  </si>
  <si>
    <t xml:space="preserve">CAD 2.2 billion</t>
  </si>
  <si>
    <t xml:space="preserve">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</si>
  <si>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 xml:space="preserve">https://www.infrastructure.gc.ca/plan/gtf-fte-eng.html</t>
  </si>
  <si>
    <t xml:space="preserve">CAN9</t>
  </si>
  <si>
    <t xml:space="preserve">CAD 113 million</t>
  </si>
  <si>
    <t xml:space="preserve">(Alberta-specific) Alberta Energy Regulator industry levy for a 6 months, achieving $113 million in industry relief.</t>
  </si>
  <si>
    <t xml:space="preserve">https://www.alberta.ca/relief-for-the-energy-sector.aspx</t>
  </si>
  <si>
    <t xml:space="preserve">CAN10</t>
  </si>
  <si>
    <t xml:space="preserve">(Alberta-specific) Extending the term of mineral agreements expiring between March 20, 2020 and March 31, 2021 by 1 year to provide increased certainty for industry by allowing additional time to raise capital and plan future activities.</t>
  </si>
  <si>
    <t xml:space="preserve">CAN11</t>
  </si>
  <si>
    <t xml:space="preserve">CAD 1 billion</t>
  </si>
  <si>
    <t xml:space="preserve">(Alberta-specific, with federal funding) Advancing strategic infrastructure investments, including participation in the Canada Infrastructure Bank’s potential $1 billion project that would develop high-speed rail between Calgary and Banff.</t>
  </si>
  <si>
    <t xml:space="preserve">https://www.alberta.ca/recovery-plan.aspx#economy</t>
  </si>
  <si>
    <t xml:space="preserve">CAN12</t>
  </si>
  <si>
    <t xml:space="preserve">(Alberta-specific)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</si>
  <si>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 xml:space="preserve">CAN13</t>
  </si>
  <si>
    <t xml:space="preserve">(Saskatchewan)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</si>
  <si>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 xml:space="preserve">https://www.saskatchewan.ca/government/news-and-media/2020/april/14/oil-industry-support</t>
  </si>
  <si>
    <t xml:space="preserve">CAN14</t>
  </si>
  <si>
    <t xml:space="preserve">CAD 200 million</t>
  </si>
  <si>
    <t xml:space="preserve">We have increased the Canadian Dairy Commission’s borrowing limit by $200 million to support costs associated with the temporary storage of cheese and butter to avoid food waste.</t>
  </si>
  <si>
    <t xml:space="preserve">CAN15</t>
  </si>
  <si>
    <t xml:space="preserve">CAD 62.5 million</t>
  </si>
  <si>
    <t xml:space="preserve">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</si>
  <si>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 xml:space="preserve">CAN16</t>
  </si>
  <si>
    <t xml:space="preserve">CAD 3 billion</t>
  </si>
  <si>
    <t xml:space="preserve">The new stream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and
Disaster mitigation and adaptation projects, including natural infrastructure, flood and fire mitigation, and tree planting and related infrastructure.
The stream supports near-term, quick- start projects and  projects must respect the following timeframes:
Construction must start no later than September 30, 2021; and,
Projects must be completed by the end of 2021, or by the end of 2022 in the territories and in remote communities.</t>
  </si>
  <si>
    <t xml:space="preserve">https://www.infrastructure.gc.ca/plan/covid-19-resilience-eng.html</t>
  </si>
  <si>
    <t xml:space="preserve">CAN17</t>
  </si>
  <si>
    <t xml:space="preserve">CAD 320 million</t>
  </si>
  <si>
    <t xml:space="preserve">Air pollution</t>
  </si>
  <si>
    <t xml:space="preserve">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</si>
  <si>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 xml:space="preserve">https://www.cbc.ca/news/canada/newfoundland-labrador/offshore-announcement-o-regan-furey-1.5738954</t>
  </si>
  <si>
    <t xml:space="preserve">The impacts of this federal funding are unclear - could be spent to reduce emissions, or to increase exploration in the Atlantic region, or fix equipment that is currently not operational. </t>
  </si>
  <si>
    <t xml:space="preserve">CAN18</t>
  </si>
  <si>
    <t xml:space="preserve">CAD 2.3 billion</t>
  </si>
  <si>
    <t xml:space="preserve">the Government of Canada will also cost-match more than $2.3 billion to support any additional provincial/territorial contributions for public transit.</t>
  </si>
  <si>
    <t xml:space="preserve">https://www.canada.ca/en/intergovernmental-affairs/services/safe-restart-agreement.html</t>
  </si>
  <si>
    <t xml:space="preserve">https://montreal.ctvnews.ca/provincial-federal-governments-announce-2-3-billion-for-cities-and-public-transit-1.5120417</t>
  </si>
  <si>
    <t xml:space="preserve">CAN19</t>
  </si>
  <si>
    <t xml:space="preserve">CAD 469 million</t>
  </si>
  <si>
    <t xml:space="preserve">Support for Canada’s Fish Harvesters</t>
  </si>
  <si>
    <t xml:space="preserve">https://www.canada.ca/en/department-finance/economic-response-plan/fiscal-summary.html</t>
  </si>
  <si>
    <t xml:space="preserve">CAN20</t>
  </si>
  <si>
    <t xml:space="preserve">CAD 30 million</t>
  </si>
  <si>
    <t xml:space="preserve">Emergency Funding for Safety Measures in Forest Operations</t>
  </si>
  <si>
    <t xml:space="preserve">Energy Policy Tracker</t>
  </si>
  <si>
    <t xml:space="preserve">CAN21</t>
  </si>
  <si>
    <t xml:space="preserve">CAD 53 million</t>
  </si>
  <si>
    <t xml:space="preserve">Develop and implement the National Ecosystem Fund to support Black-led business organizations across the country</t>
  </si>
  <si>
    <t xml:space="preserve">CAN22</t>
  </si>
  <si>
    <t xml:space="preserve">CAD 141.5 million</t>
  </si>
  <si>
    <t xml:space="preserve">(Alberta) Investments from the Technology Innovation and Emissions Reduction (TIER) fund for carbon capture and storage and emissions reductions projects. Objective: Reduce methane emissions, cut costs for industry and get Albertans back to work.</t>
  </si>
  <si>
    <t xml:space="preserve">https://www.alberta.ca/release.cfm?xID=7329228BE88D1-0322-5F49-C6C11B795F47B4C0
https://www.alberta.ca/release.cfm?xID=73318C6591C57-0E3B-1147-1811898B8A0131A5 Accessed 28 September 2020</t>
  </si>
  <si>
    <t xml:space="preserve">Government of Alberta</t>
  </si>
  <si>
    <t xml:space="preserve">CAN23</t>
  </si>
  <si>
    <t xml:space="preserve">CAD 64.4 million</t>
  </si>
  <si>
    <t xml:space="preserve">(Ontario) Provincial investment in modern, green public transit for residents of Oakville, Brampton, and Sault Ste-Marie</t>
  </si>
  <si>
    <t xml:space="preserve">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</si>
  <si>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 xml:space="preserve">Government of Ontario</t>
  </si>
  <si>
    <t xml:space="preserve">CAN24</t>
  </si>
  <si>
    <t xml:space="preserve">CAD 58 million</t>
  </si>
  <si>
    <t xml:space="preserve">(Alberta) Incent investment in innovation for methane emissions reductions - Exploration or production or processing or storage or transportation</t>
  </si>
  <si>
    <t xml:space="preserve">https://www.alberta.ca/release.cfm?xID=728627405CE2F-953D-C71A-39908B074E8213CE Accessed 21 July 2020</t>
  </si>
  <si>
    <t xml:space="preserve">CAN25</t>
  </si>
  <si>
    <t xml:space="preserve">CAD 50 million</t>
  </si>
  <si>
    <t xml:space="preserve">(Alberta) Grants for energy efficiency projects and emissions reduction`(research, innovation in technologies to reduce methane emissions and improve industrial energy efficiency)</t>
  </si>
  <si>
    <t xml:space="preserve">https://www.alberta.ca/release.cfm?xID=745642FF8ABED-9314-3005-E8D65AF4E905EAB2 Accessed 3 November 2020</t>
  </si>
  <si>
    <t xml:space="preserve">CAN26</t>
  </si>
  <si>
    <t xml:space="preserve">CAD 2.9 billion</t>
  </si>
  <si>
    <t xml:space="preserve">(Ontario) Securing power plant ownership under the provincial crown corporation in order to provide electricity</t>
  </si>
  <si>
    <t xml:space="preserve">https://www.opg.com/media_release/opg-subsidiary-atura-power-finalizes-acquisition-of-natural-gas-assets/ Accessed 11 May 2020</t>
  </si>
  <si>
    <t xml:space="preserve">CAN27</t>
  </si>
  <si>
    <t xml:space="preserve">CAD 295 million</t>
  </si>
  <si>
    <t xml:space="preserve">(Ontario) Provincial funding for battery electric vehicle production at Ford Canada&amp;#8217;s Oakville Assembly Complex</t>
  </si>
  <si>
    <t xml:space="preserve">https://news.ontario.ca/en/release/58736/historic-ford-canada-investment-transforming-ontario-into-global-electric-vehicle-manufacturing-hub Accessed 13 October 2020</t>
  </si>
  <si>
    <t xml:space="preserve">Provincial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With this funding, the Oakville Assembly Complex is expected to become one of Ford's highest volume BEV plants in North America, with the first electric vehicles forecasted to roll off the production line in 2025.</t>
  </si>
  <si>
    <t xml:space="preserve">CAN28</t>
  </si>
  <si>
    <t xml:space="preserve">CAD 70 million</t>
  </si>
  <si>
    <t xml:space="preserve">(Quebec) Support for production and distribution of renewable natural gas-Reduce GHG emissions in natural gas networks and support local industry</t>
  </si>
  <si>
    <t xml:space="preserve">https://mern.gouv.qc.ca/gouvernement-quebec-attribue-70-m-soutenir-gaz-naturel-renouvelable-2020-07-07/ Accessed 15  July 2020</t>
  </si>
  <si>
    <t xml:space="preserve">Earmarked CAD 70 million over three years for renewable natural gas (RNG) projects. The 2020 budget sets aside CAD 45 million for eight RNG production projects, including for construction and for connection of production sites to the natural gas distribution network. Terms and conditions for the allocation of the remaining $25 million will be announced at a later date.</t>
  </si>
  <si>
    <t xml:space="preserve">CAN29</t>
  </si>
  <si>
    <t xml:space="preserve">CAD 16.67 million</t>
  </si>
  <si>
    <t xml:space="preserve">(Prince Edward Island) Supporting clean electricity investments in the western part of the island</t>
  </si>
  <si>
    <t xml:space="preserve">https://www.canada.ca/en/office-infrastructure/news/2020/07/canada-and-prince-edward-island-invest-in-new-transmission-line-to-support-wind-energy-production.html Accessed 1 August 2020</t>
  </si>
  <si>
    <t xml:space="preserve">CAN30</t>
  </si>
  <si>
    <t xml:space="preserve">CAD 18 million</t>
  </si>
  <si>
    <t xml:space="preserve">(British Columbia) Green energy infrastructure and transportation investment matching funding</t>
  </si>
  <si>
    <t xml:space="preserve">https://www.canada.ca/en/office-infrastructure/news/2020/09/backgrounder-canada-and-british-columbia-invest-in-green-energy-solutions.html Accessed 28 September 2020</t>
  </si>
  <si>
    <t xml:space="preserve">The Government of British Columbia is contributing nearly $18 million through the CleanBC Communities Fund, part of the federal Investing in Canada planâ€™s Green Infrastructure Stream. This announcement includes funding for 11 projects to help B.C. communities save energy and reduce pollution, including through renewable energy and energy efficiency projects for select buildings.  Funding is also going towards expanding the network of Level-2 electric vehicle (EV) charging stations across the province. The Government of Canada is investing more than $28.5 million in these projects through the Green Infrastructure Stream (GIS) of the Investing in Canada plan, and local and Indigenous communities are contributing more than $13 million. </t>
  </si>
  <si>
    <t xml:space="preserve">CAN31</t>
  </si>
  <si>
    <t xml:space="preserve">CAD 6 billion</t>
  </si>
  <si>
    <t xml:space="preserve">(Alberta) Increasing Alberta's takeaway capacity and access to international markets</t>
  </si>
  <si>
    <t xml:space="preserve">https://www.alberta.ca/investing-in-keystone-xl-pipeline.aspx Accessed 8 July 2020</t>
  </si>
  <si>
    <t xml:space="preserve">The Keystone XL pipeline was proposed in 2008. With this investment and project, the Albertan government anticipates material benefits (through taxes and royalties) to provincial government revenues and the wider Canadian economy, including jobs.</t>
  </si>
  <si>
    <t xml:space="preserve">CAN32</t>
  </si>
  <si>
    <t xml:space="preserve">CAD 80 million</t>
  </si>
  <si>
    <t xml:space="preserve">(Alberta) Reduce fiscal burdens for energy sector. </t>
  </si>
  <si>
    <t xml:space="preserve">https://www.alberta.ca/release.cfm?xID=7450191EACDD1-D715-3078-59DF6480E106FC9E Accessed 26 October 2020 </t>
  </si>
  <si>
    <t xml:space="preserve">A series of measures to reduce fiscal burdens for oil and gas companies, including elimination of the Well Drilling Equipment Tax, extending a 35% assessment reduction on shallow gas wells, lowering tax assessments for less productive wells, and a 3-year tax exemption for companies building new pipelines or drilling new wells.</t>
  </si>
  <si>
    <t xml:space="preserve">CAN33</t>
  </si>
  <si>
    <t xml:space="preserve">CAD 32 million</t>
  </si>
  <si>
    <t xml:space="preserve">(Newfoundland and Labrador) Support initiatives to develop the province's oil and gas industry</t>
  </si>
  <si>
    <t xml:space="preserve">https://www.gov.nl.ca/budget/2020/wp-content/uploads/sites/3/2020/09/Innovation-Industry-Development.pdf Accessed 5 October 2020</t>
  </si>
  <si>
    <t xml:space="preserve">Budget 2020 allocates CAD 26 million for exploration activities to systematically evaluate offshore basins and image prospects to capture global investment offshore Newfoundland and Labrador. It also allocates CAD 6 million to help supply-and-service companies in the oil and gas sector through the Innovation and Business Development Fund.</t>
  </si>
  <si>
    <t xml:space="preserve">CAN34</t>
  </si>
  <si>
    <t xml:space="preserve">(Saskatchewan): I) Postponed deadline for companies to report GHG emissions; ii) deferral environmental reporting requirements; iii) suspension of penaltities for oils/gas companis; iv) enforcement flexibility for companies breaching environmental regulations</t>
  </si>
  <si>
    <t xml:space="preserve">https://www.saskatchewan.ca/government/health-care-administration-and-provider-resources/treatment-procedures-and-guidelines/emerging-public-health-issues/2019-novel-coronavirus/covid-19-information-for-businesses-and-workers Accessed 17 June 2020</t>
  </si>
  <si>
    <t xml:space="preserve">Reducing burdens for industry during COVID-19</t>
  </si>
  <si>
    <t xml:space="preserve">CAN35</t>
  </si>
  <si>
    <t xml:space="preserve">(Nova Scotia) Fee deferrals for air pollution and onshore petroleum drilling applications until June 30</t>
  </si>
  <si>
    <t xml:space="preserve">https://novascotia.ca/coronavirus/fees/ Accessed 17 June 2020</t>
  </si>
  <si>
    <t xml:space="preserve">CAN36</t>
  </si>
  <si>
    <t xml:space="preserve">(British Columbia): i) Increased flexibility in environmental reporting; ii) Decrease in natural gas levy; III) Deferral of carbon tax and fuel tax payments; iv) Delay in British Columbia carbon tax increase</t>
  </si>
  <si>
    <t xml:space="preserve">https://www2.gov.bc.ca/gov/content/environment/natural-resource-stewardship/natural-resource-law-enforcement/environmental-compliance/compliance-covid-19 Accessed 17 June 2020; https://www.bcogc.ca/news/natural-gas-levy-rate-change-indb-2020-13/ Accessed 17 June 2020</t>
  </si>
  <si>
    <t xml:space="preserve">Reducing burdens for industry during COVID-19. BC Hydro introduced deferrals for a portion of electricity bill payments for a variety of customers, including industry and coal mines. The change was originally introduced for March to May 2020. About 8% of BC Hydro's energy sources is natural gas or oil.The Province of British Columbia delayed implementation dates for changes to B.C.â€™s carbon tax. On 2 Sep 2020 it was announced that a scheduled increase in April 2020 from $40 to $45 per tonne of carbon dioxide equivalent (tCO2e) had been paused until at least October as part of the COVID-19 Action Plan. Upon review, the B.C. government has decided the carbon tax rate will remain at its current level of $40 per tCO2e until April 2021, when it will increase from $40 to $45 per tCO2e. The carbon tax will increase to $50 per tCO2e in April 2022.</t>
  </si>
  <si>
    <t xml:space="preserve">CAN37</t>
  </si>
  <si>
    <t xml:space="preserve">(Alberta):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</si>
  <si>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</si>
  <si>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 xml:space="preserve">Reducing burden for industry during COVID19; Facilitate coal industry activity in Alberta</t>
  </si>
  <si>
    <t xml:space="preserve">CAN38</t>
  </si>
  <si>
    <t xml:space="preserve">(Newfoundland and Labrador): Extension of fuel tax exemption permits</t>
  </si>
  <si>
    <t xml:space="preserve">https://www.gov.nl.ca/releases/2020/fin/0330n03/ Accessed 16 June 2020</t>
  </si>
  <si>
    <t xml:space="preserve">The expiry date for Fuel Tax Exemption Permits, which allows permit holders to purchase tax-exempt marked gasoline and light fuel oil, which was set to expire on March 31, 2020 has been extended to June 30, 2020. Gasoline and carbon product retailers throughout the province are authorized to accept such permits and continue to sell marked diesel and light fuel oil exempt of gasoline and carbon tax to these permit holders up to and including June 30, 2020</t>
  </si>
  <si>
    <t xml:space="preserve">CAN39</t>
  </si>
  <si>
    <t xml:space="preserve">(Ontario): Fixed electricity price for all time-of-use electricity customers; Deferral of Global Adjustment charges for industrial and commercial electricity consumers</t>
  </si>
  <si>
    <t xml:space="preserve">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</si>
  <si>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 xml:space="preserve">Ontario has introduced a fixed electricity price, known as the COVID-19 Recovery Rate, of 12.8 cents per kWh, which will be automatically applied to all time-of-use customers 24 hours a day, 7 days a week. This follows previous announcements related to cost relief for electricity in Ontario for residential, farm, and small business consumers announced on March 24, 2020. Defers a portion of Global Adjustment electricity charges for industrial and commercial electricity consumers that do not participate in Ontario's Regulated Price Plan. This change applies to over 50,000 companies and is estimated to prevent bill increases for Class B electricity consumers by at least 15%. Large industrial and commercial Class A consumers will receive the same percentage reduction. Global adjustment rates will be held in line with pre-COVID-19 levels. Ontario's electricity grid is mixed; only a portion of this change would represent deferrals for fossil fuel or nuclear-based energy. The government plans to recover deferred costs starting in January 2021 over a period of 12 months</t>
  </si>
  <si>
    <t xml:space="preserve">CAN40</t>
  </si>
  <si>
    <t xml:space="preserve">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</si>
  <si>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</si>
  <si>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 xml:space="preserve">https://cib-bic.ca/en/the-canada-infrastructure-bank-announces-a-plan-to-create-jobs-and-grow-the-economy/</t>
  </si>
  <si>
    <t xml:space="preserve">On 1 October, the government announced $10 billion in new major infrastructure initiatives. The Canada Infrastructure  Bank’s (CIB) Growth Plan is expected to stimulate economic growth and create approximately 60,000 jobs. The three-year plan will connect  more households and small businesses to high-speed Internet, strengthen Canadian  agriculture, and help build a low-carbon economy. </t>
  </si>
  <si>
    <t xml:space="preserve">CAN41</t>
  </si>
  <si>
    <t xml:space="preserve">CAD 2 billion</t>
  </si>
  <si>
    <t xml:space="preserve">Investment  in large-scale building retrofits to increase energy efficiency  and help make communities more sustainable (Financing from the Canada's Infrastructure Bank's (CIB) Growth Plan)  </t>
  </si>
  <si>
    <t xml:space="preserve">CAN42</t>
  </si>
  <si>
    <t xml:space="preserve">CAD 1.5 billion</t>
  </si>
  <si>
    <t xml:space="preserve">Agriculture irrigation projects to help the agriculture sector enhance production, strengthen Canada’s food security, and expand export  opportunities (Financing from the Canada's Infrastructure Bank's (CIB) Growth Plan)  .</t>
  </si>
  <si>
    <t xml:space="preserve">CAN43</t>
  </si>
  <si>
    <t xml:space="preserve">Accelerate the adoption of zero-emission buses and charging  infrastructure so Canadians can have cleaner commutes (Financing from the Canada's Infrastructure Bank's (CIB) Growth Plan).</t>
  </si>
  <si>
    <t xml:space="preserve">CAN44</t>
  </si>
  <si>
    <t xml:space="preserve">CAD 300 million</t>
  </si>
  <si>
    <t xml:space="preserve">Second phase of Community Efficiency Financing initiative. Help homeowners cut their energy bills and emissions and keep the local economy moving</t>
  </si>
  <si>
    <t xml:space="preserve">https://www.canada.ca/en/office-infrastructure/news/2020/06/new-initiative-to-help-homeowners-cut-their-energy-bills-and-emissions-and-keep-the-local-economy-moving.html Accessed 10  July 2020</t>
  </si>
  <si>
    <t xml:space="preserve">Second phase of the new Community Efficiency Financing initiative funded by the Government of Canada and delivered by the Federation of Canadian Municipalities (FCM). The $300-million Community Efficiency Financing initiative helps municipalities and their partners implement innovative local financing programs that help homeowners cut their greenhouse gas emissions and make homes more comfortable and affordable. Bottom-up approach to local program design, offering applicants the opportunity to study and design programs tailored to local priorities and contexts. These programs for low-rise residential properties may build on approaches such as Property Assessed Clean Energy (PACE) and utility on-bill financing.</t>
  </si>
  <si>
    <t xml:space="preserve">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</si>
  <si>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</si>
  <si>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 xml:space="preserve">With this funding, the Oakville Assembly Complex is expected to become one of Ford's highest volume BEV plants in North America, with the first electric vehicles forecasted to roll off the production line in 2025.</t>
  </si>
  <si>
    <t xml:space="preserve">CAN46</t>
  </si>
  <si>
    <t xml:space="preserve">CAD 251.1 million</t>
  </si>
  <si>
    <t xml:space="preserve">Infrastructure Canada - Funding infrastructure projects for Canadians</t>
  </si>
  <si>
    <t xml:space="preserve">https://open.canada.ca/data/en/dataset/beee0771-dab9-4be8-9b80-f8e8b3fdfd9d Last accessed 5 October 2020</t>
  </si>
  <si>
    <t xml:space="preserve">Through the Investing in Canada plan (developed prior to COVID-19), the Government of Canada is investing over $180 billion over 12 years in infrastructure projects across Canada. This line item reflects federal investments made in public transit since the start of the pandemic.</t>
  </si>
  <si>
    <t xml:space="preserve">CAN47</t>
  </si>
  <si>
    <t xml:space="preserve">CAD 57.128</t>
  </si>
  <si>
    <t xml:space="preserve">Infrastructure Canada project funding for renewable green energy projects since March 2020</t>
  </si>
  <si>
    <t xml:space="preserve">https://open.canada.ca/data/en/dataset/beee0771-dab9-4be8-9b80-f8e8b3fdfd9d Last accessed 1 September 2020</t>
  </si>
  <si>
    <t xml:space="preserve">Through the Investing in Canada plan (developed prior to COVID-19), the Government of Canada is investing over $180 billion over 12 years in infrastructure projects across Canada. This line item reflects federal investments made in renewable energy projects (classified by government as "Green Energy") since the start of the pandemic.</t>
  </si>
  <si>
    <t xml:space="preserve">CAN48</t>
  </si>
  <si>
    <t xml:space="preserve">CAD 26.5 million</t>
  </si>
  <si>
    <t xml:space="preserve">Infrastructure Canada project funding for active transportation since March 2020</t>
  </si>
  <si>
    <t xml:space="preserve">Through the Investing in Canada plan (developed prior to COVID-19), the Government of Canada is investing over $180 billion over 12 years in infrastructure projects across Canada. This line item reflects federal investments made in active transportation since the start of the pandemic.</t>
  </si>
  <si>
    <t xml:space="preserve">CAN49</t>
  </si>
  <si>
    <t xml:space="preserve">CAD 100 million</t>
  </si>
  <si>
    <t xml:space="preserve">Natural Resources Canada - Low Carbon Economy Fund investment in Alberta</t>
  </si>
  <si>
    <t xml:space="preserve">https://www.canada.ca/en/environment-climate-change/news/2020/11/government-of-canada-announces-over-100m-to-spur-job-creation-in-alberta-and-fight-climate-change.html Accessed 10 November 2020. </t>
  </si>
  <si>
    <t xml:space="preserve">A total of CAD 280 million in federal and provincial funding for three new funds have been announced: the Shovel-Ready Challenge will use up to CAD 150 million to support a call for proposals for leading-edge technologies at large industrial sites to reduce emissions; the Energy Savings for Business Program will use up to CAD 55 million to help Alberta's small and medium-sized facilities benefit from industrial and commercial projects that can be installed quickly to cut emissions; the Partnership Intake Program will use up to CAD 75 million to continue supporting emissions reduction projects that stimulate Alberta's economy. Funding comes from the industry-supported Technology Innovation and Emissions Reduction (TIER) system and the federal Low Carbon Economy Leadership Fund (LCELF). It is not currently clear what projects will be supported, although in the past, similar funding has supported projects in the oil and gas industry.   As of November 9, 2020, no breakdown of how the funding will be applied is available. CAD 100 million is provided through the Low Carbon Economy Fund.</t>
  </si>
  <si>
    <t xml:space="preserve">CAN50</t>
  </si>
  <si>
    <t xml:space="preserve">Support oil and gas sector to rebound, create good jobs for workers and reduce its carbon footprint. </t>
  </si>
  <si>
    <t xml:space="preserve">https://www.canada.ca/en/innovation-science-economic-development/news/2020/10/government-of-canada-invests-in-clean-technology-ecosystems.html Accessed 27 October 2020.</t>
  </si>
  <si>
    <t xml:space="preserve">The investment will help the Clean Resource Innovation Network (CRIN) accelerate the development and adoption of innovative technologies and processes that seek to lower the oil and gas industry's environmental impacts. Through this investment, CRIN aims to reduce the sectorâ€™s greenhouse gas emissions by 100 megatons by 2033.economy. </t>
  </si>
  <si>
    <t xml:space="preserve">CAN51</t>
  </si>
  <si>
    <t xml:space="preserve">CAD 93 million</t>
  </si>
  <si>
    <t xml:space="preserve">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</si>
  <si>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</si>
  <si>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 xml:space="preserve">The Alberta Indigenous Opportunities Corporation (AIOC) announced its first commitment: a loan guarantee to a consortium of six Alberta First Nations to enable their participation in the Cascade Power Project (Cascade). Cascade is a 900MW combined cycle natural gas fired power plant located near Edson, AB.</t>
  </si>
  <si>
    <t xml:space="preserve">CAN52</t>
  </si>
  <si>
    <t xml:space="preserve">CAD 18.3 million</t>
  </si>
  <si>
    <t xml:space="preserve">Funding for South Baffin Energy Management Project</t>
  </si>
  <si>
    <t xml:space="preserve">https://www.canada.ca/en/environment-climate-change/news/2020/08/government-of-canada-partners-with-nunavut-for-renewable-and-energy-efficiency-projects.html Accessed 25 August 2020</t>
  </si>
  <si>
    <t xml:space="preserve">This project, funded through the Low Carbon Economy Fund, will help improve energy efficiency and introduce renewable energy in 45 buildings owned by the Government of Nunavut in the six communities that make up the South Baffin region. The South Baffin Energy Management Project will receive approximately $18.3 million through the Low Carbon Economy Leadership Fund. The Government of Nunavuta's Department of Community and Government Services is also contributing $8.6 million.</t>
  </si>
  <si>
    <t xml:space="preserve">CAN53</t>
  </si>
  <si>
    <t xml:space="preserve">CAD 17 million</t>
  </si>
  <si>
    <t xml:space="preserve">(Manitoba&amp;Saskatchewan - Funding for school energy efficiency and retrofits-Environment and Climate Change Canada</t>
  </si>
  <si>
    <t xml:space="preserve">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</si>
  <si>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 xml:space="preserve">On June 25, 2019, the Minister of Environment and Climate Change announced the Municipalities, Universities, Schools and Hospitals (MUSH) Retrofit stream of the Climate Action Incentive Fund. The first round of funding, announced in September, includes approximately CAD 12 million for Saskatchewan and CAD 5 million for Manitoba.</t>
  </si>
  <si>
    <t xml:space="preserve">CAN54</t>
  </si>
  <si>
    <t xml:space="preserve">CAD 16.2 million</t>
  </si>
  <si>
    <t xml:space="preserve">SDTC funding for cleantech projects for energy efficiency and low-emissions vehicle cleantech projects</t>
  </si>
  <si>
    <t xml:space="preserve">https://www.canada.ca/en/innovation-science-economic-development/news/2020/09/list-of-cleantech-projects-receiving-funding-from-sustainable-development-technology-canada-sdtc.html Accessed 21 September 2020</t>
  </si>
  <si>
    <t xml:space="preserve">As part of a series of funding announcements for Sustainable Development Technology Canada, this includes funding for several cleantech projects that support energy efficiency in water treatement, mining operations, and electric vehicles. (CAD 2.8 million to Pani Energy, CAD 5.6 million to Motion Metrics International Corp, CAD 1.4 million to Swirltex Inc., CAD 2.4 mmillion in Inmotive Inc., CAD 4 million to Soleco Energie Inc.)</t>
  </si>
  <si>
    <t xml:space="preserve">CAN55</t>
  </si>
  <si>
    <t xml:space="preserve">CAD 15.7 milllion</t>
  </si>
  <si>
    <t xml:space="preserve">Funding for the conversion of the aluminum plant's anode baking furnaces (Aluminerie Alouette) from fuel oil to liquefied natural gas.</t>
  </si>
  <si>
    <t xml:space="preserve">http://www.fil-information.gouv.qc.ca/Pages/Article.aspx?Page=2&amp;idArticle=2810232141 Accessed 26 October 2020. </t>
  </si>
  <si>
    <t xml:space="preserve">CAN56</t>
  </si>
  <si>
    <t xml:space="preserve">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</si>
  <si>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</si>
  <si>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 xml:space="preserve">https://www.canada.ca/en/natural-resources-canada/news/2020/11/government-of-canada-extends-funding-to-increase-indigenous-participation-in-oil-and-gas-infrastructure-development.html
, https://www.nrcan.gc.ca/our-natural-resources/indigenous-natural-resources/indigenous-natural-resource-partnerships/22197</t>
  </si>
  <si>
    <t xml:space="preserve">For Indigenous communities and organizations in British Columbia and Alberta to further increase their participation in economic opportunities related to oil and gas infrastructure development. This announcement extends the 2019â€“20 Indigenous Natural Resource Partnerships program</t>
  </si>
  <si>
    <t xml:space="preserve">CAN57</t>
  </si>
  <si>
    <t xml:space="preserve">CAD 10 million</t>
  </si>
  <si>
    <t xml:space="preserve">(Ontario) FedDev Ontario investment in biodiesel - exploration or production or processing or storage or transportation</t>
  </si>
  <si>
    <t xml:space="preserve">https://www.canada.ca/en/economic-development-southern-ontario/news/2020/07/two-renewable-fuel-producers-scale-up-to-increase-productivity-and-economic-growth-in-rural-southwestern-ontario.html</t>
  </si>
  <si>
    <t xml:space="preserve">Support the scale-up and growth of two renewable fuel producers in the Ontario: FORGE Hydrocarbons and IGPC Ethanol Inc.</t>
  </si>
  <si>
    <t xml:space="preserve">CAN58</t>
  </si>
  <si>
    <t xml:space="preserve">CAD 9.4 million</t>
  </si>
  <si>
    <t xml:space="preserve">Funding for four tidal energy projects through NRCan's Energy Innovation, Clean Growth, and Emerging Renewables Power programs</t>
  </si>
  <si>
    <t xml:space="preserve">https://www.canada.ca/en/natural-resources-canada/news/2020/09/government-invests-in-canadas-tidal-power-industry</t>
  </si>
  <si>
    <t xml:space="preserve">$4 million to Nova Innovation to build a tidal turbine array using sub-sea tidal technology in Petit Passage in the Bay of Fundy. $1.58 million to the University of Manitoba, in partnership with SOAR's Sustainable Oceans Applied Research, to advance research on river hydrokinetic and in-stream tidal energy technologies in the Canadian context. $2 million to Offshore Energy Research Association of Nova Scotia to research an environmental effects monitoring solution for the instream tidal energy industry in Canada, including fish and marine mammal interactions with tidal devices. $2 million to Fundy Ocean Research Centre for Energy to outline a plan to assess the encounter risk for fish with tidal devices and create a tool to support the regulatory authorization process for tidal energy projects. </t>
  </si>
  <si>
    <t xml:space="preserve">CAN59</t>
  </si>
  <si>
    <t xml:space="preserve">CAD 8 million</t>
  </si>
  <si>
    <t xml:space="preserve">(Northern Territories) This funding will support communities in their efforts to build a cleaner future and reduce their reliance on diesel fuel for heat and power while creating jobs</t>
  </si>
  <si>
    <t xml:space="preserve">https://www.canada.ca/en/natural-resources-canada/news/2020/09/canada-invests-in-clean-energy-projects-in-the-northwest-territories.html</t>
  </si>
  <si>
    <t xml:space="preserve">CAN60</t>
  </si>
  <si>
    <t xml:space="preserve">CAD 7.348 million</t>
  </si>
  <si>
    <t xml:space="preserve">(Québec)-Investment in 30 projects relating to the adoption and development of clean technologies in Quebec.</t>
  </si>
  <si>
    <t xml:space="preserve">https://www.canada.ca/en/economic-development-quebec-regions/news/2020/07/investment-in-clean-technologies-for-a-sustainable-future.html </t>
  </si>
  <si>
    <t xml:space="preserve">CAN61</t>
  </si>
  <si>
    <t xml:space="preserve">CAD 6 million</t>
  </si>
  <si>
    <t xml:space="preserve">(Alberta) Support R&amp;D on the detection and mitigation of methane emissions from oil and gas</t>
  </si>
  <si>
    <t xml:space="preserve">https://www.canada.ca/en/natural-resources-canada/news/2020/07/canada-invests-in-clean-technology-for-albertas-natural-resources-sectors.html</t>
  </si>
  <si>
    <t xml:space="preserve">An investment of $6 million, as part of the Canadian Emissions Reduction Innovation Network (CERIN) initiative, to the Petroleum Technology Alliance of Canada (PTAC) and Canadian Gas Association (CGA), through their Natural Gas Innovation Fund, to support their work in the oil and gas sector. These investments will inform protocols and standards for the detection and mitigation of methane emissions that will become the benchmark for Canada and the world. Through strong industry collaboration these investments will help Canada better understand and reduce methane emissions.</t>
  </si>
  <si>
    <t xml:space="preserve">CAN62</t>
  </si>
  <si>
    <t xml:space="preserve">CAD 5.1 million</t>
  </si>
  <si>
    <t xml:space="preserve">(Ontario) Smart Grid technology investment in London Hydro</t>
  </si>
  <si>
    <t xml:space="preserve">https://www.canada.ca/en/natural-resources-canada/news/2020/07/canada-invests-in-smart-grid-technology-for-london-net-zero-energy-community.html </t>
  </si>
  <si>
    <t xml:space="preserve">To develop and deploy a smart microgrid in the West 5 net-zero energy community in London, Ontario. The microgrid will integrate monitoring, data management and communications, electric vehicle infrastructure, distributed energy resource management, solar power generation and batteries to reduce grid use.</t>
  </si>
  <si>
    <t xml:space="preserve">CAN63</t>
  </si>
  <si>
    <t xml:space="preserve">CAD 5 million</t>
  </si>
  <si>
    <t xml:space="preserve">Federal Funding for Biocarbon Briquettes for Ferroalloy Production</t>
  </si>
  <si>
    <t xml:space="preserve">https://www.canada.ca/en/natural-resources-canada/news/2020/09/canada-invests-in-clean-technology-solutions-in-quebec.html</t>
  </si>
  <si>
    <t xml:space="preserve">Federal government funding for the manufacturing of biocarbon briquettes, a renewable alternative to metallurgical coal that can reduce the environmental impact of foundries and steelworks. Elkem MÃ©tal Canada Inc. intends to replace 43,000 tonnes of metallurgical coal per year, used at its Chicoutimi plant in Quebec, with 37,000 tonnes of bio-briquette (biocarbon) for a potential reduction of 100 ktonnes of CO2 eq/yr for Elkem MÃ©tal Canada. Elkem is a company specializing in the manufacturing of a ferroalloy used in the foundry and steel mill industry, and the briquettes will be made from forest biomass, reducing waste in the forestry sector. This is a second generation biofuel. </t>
  </si>
  <si>
    <t xml:space="preserve">CAN64</t>
  </si>
  <si>
    <t xml:space="preserve">CAD 4.5 million</t>
  </si>
  <si>
    <t xml:space="preserve">Federal investment in Quebec Bioenergy</t>
  </si>
  <si>
    <t xml:space="preserve">https://www.canada.ca/en/natural-resources-canada/news/2020/09/canada-invests-in-bioenergy-in-quebec.html </t>
  </si>
  <si>
    <t xml:space="preserve">$4.5 million federal government spending in CRB Innovations for second generation forest-based bioenergy, with the aim of energy efficiency and GHG reduction by converting forest residues to biofuels and bioplastics. Through Natural Resources Canada Clean Growth Program. </t>
  </si>
  <si>
    <t xml:space="preserve">CAN65</t>
  </si>
  <si>
    <t xml:space="preserve">CAD 4 million</t>
  </si>
  <si>
    <t xml:space="preserve">Funding for Algoma Steel's climate action initiatives</t>
  </si>
  <si>
    <t xml:space="preserve">https://www.canada.ca/en/environment-climate-change/news/2020/08/government-of-canada-announces-support-for-algoma-steels-climate-action-initiatives.html</t>
  </si>
  <si>
    <t xml:space="preserve">The integrated steel producer Algoma Steel will use the funding to improve both the tar-removal and light-oil-recovery areas of its coke-making plant in Sault Ste. Marie, Ontario. This project is funded through the Low Carbon Economy Fund. The coke-making process of steel production generates a variety of by-products including coke-oven gas, various tars, and light oil. By using updated equipment to capture and remove by-products suspended in coke-oven gas, a steel manufacturer can reduce its greenhouse gas emissions, reduce local air pollution, and re-use captured fuel. </t>
  </si>
  <si>
    <t xml:space="preserve">CAN66</t>
  </si>
  <si>
    <t xml:space="preserve">CAD 3 million</t>
  </si>
  <si>
    <t xml:space="preserve">(Alberta) Support SMEs to adopt clean tech</t>
  </si>
  <si>
    <t xml:space="preserve">https://www.canada.ca/en/western-economic-diversification/news/2020/09/government-of-canada-invests-in-albertas-construction-industry-to-help-strengthen-energy-efficiency-and-green-building-practices.html </t>
  </si>
  <si>
    <t xml:space="preserve">To help Alberta's construction and engineering industry by supporting small and medium-sized businesses adopt new products and technologies that improve the energy efficiency of buildings and reduce greenhouse gas emissions</t>
  </si>
  <si>
    <t xml:space="preserve">CAN67</t>
  </si>
  <si>
    <t xml:space="preserve">CAD 2 milion</t>
  </si>
  <si>
    <t xml:space="preserve">(City of Calgary) Support of Natural Resources Canada to biomass production and carbon sequestration project</t>
  </si>
  <si>
    <t xml:space="preserve">https://www.canada.ca/en/environment-climate-change/news/2020/08/government-of-canada-reducing-emissions-in-calgary-by-expanding-the-willow-plantation.html </t>
  </si>
  <si>
    <t xml:space="preserve">To support the City of Calgary's biomass production and carbon sequestration project. This initiative will reduce emissions by planting 300 new hectares of trees over three years at the City's successful willow plantation. The plantation will use municipal biosolids as fertilizer and will help create a carbon-storage sink that leads to fewer greenhouse gas emissions. Funding provided through the Low Carbon Economy Fund.</t>
  </si>
  <si>
    <t xml:space="preserve">CAN68</t>
  </si>
  <si>
    <t xml:space="preserve">CAD 1.717 milion</t>
  </si>
  <si>
    <t xml:space="preserve">Funding for research for electric and alternative fuel vehicles</t>
  </si>
  <si>
    <t xml:space="preserve">https://www.canada.ca/en/natural-resources-canada/news/2020/09/investing-in-canadas-zero-emission-vehicle-sector</t>
  </si>
  <si>
    <t xml:space="preserve">Investment to the CSA Group to support a project to research, develop, adapt and update codes and standards for electric and alternative fuel vehicles and infrastructure.</t>
  </si>
  <si>
    <t xml:space="preserve">CAN69</t>
  </si>
  <si>
    <t xml:space="preserve">CAD 0.57 million</t>
  </si>
  <si>
    <t xml:space="preserve">Encourage economic growth and climate action through investment for the development of electric vehicles</t>
  </si>
  <si>
    <t xml:space="preserve">https://www.canada.ca/en/natural-resources-canada/news/2020/11/new-electric-vehicle-chargers-coming-to-york-region.html ; https://www.canada.ca/en/natural-resources-canada/news/2020/08/new-electric-vehicle-chargers-coming-to-oakville.html</t>
  </si>
  <si>
    <t xml:space="preserve">Electric vehicles: i) 0.35 CAD million for the York Municipality (build 70 electric vehicle level 2 chargers); ii) 0.22 CAD million in in high-traffic spaces of Oakville (EV charges), project funded by Natural Resources Canada's Zero-Emission Vehicle Infrastructure Program.</t>
  </si>
  <si>
    <t xml:space="preserve">CAN70</t>
  </si>
  <si>
    <t xml:space="preserve">CAD 1.1 million</t>
  </si>
  <si>
    <t xml:space="preserve">Funding to reduce emissions from Toront's emergency response vehicles</t>
  </si>
  <si>
    <t xml:space="preserve">https://www.canada.ca/en/environment-climate-change/news/2020/08/government-of-canada-supports-innovative-climate-action-by-the-city-of-toronto.html</t>
  </si>
  <si>
    <t xml:space="preserve">This investment, through the Low Carbon Economy Fund, will go toward installing solar panels on the roofs of 215 ambulances and more than 60 emergency paramedic response units, which will power and recharge critical on-board medical equipment. The funding will also help install a hybrid electric drivetrain system in more than 100 ambulances to save fuel and reduce emissions. This will allow the City of Toronto to reduce its greenhouse gas emissions by an amount equivalent to removing approximately 2,900 passenger cars off the road for one year.</t>
  </si>
  <si>
    <t xml:space="preserve">CAN71</t>
  </si>
  <si>
    <t xml:space="preserve">(Alberta) Approval of NOVA Gas Transmission Ltd. expansion project: create jobs, support recovery and help phase out coal-powered electricity.</t>
  </si>
  <si>
    <t xml:space="preserve">https://www.canada.ca/en/natural-resources-canada/news/2020/10/government-of-canada-approves-the-nova-gas-transmission-ltd-2021-system-expansion-project.html</t>
  </si>
  <si>
    <t xml:space="preserve">The Government of Canada has approved the NOVA Gas Transmission Ltd. (NGTL) 2021 System Expansion Project with 35 conditions, and amendments to the Canada Energy Regulator's conditions for approval related to caribou and Indigenous engagement. The $2.3-billion project has been touted for creating 2,920 jobs and giving natural gas producers better access to markets for their products.</t>
  </si>
  <si>
    <t xml:space="preserve">CAN72</t>
  </si>
  <si>
    <t xml:space="preserve">CAD 5.4 million</t>
  </si>
  <si>
    <t xml:space="preserve">(Yukon) Support for clean energy projects and job creation</t>
  </si>
  <si>
    <t xml:space="preserve">https://www.canada.ca/en/natural-resources-canada/news/2020/09/government-invests-in-clean-energy-initiatives-in-yukon.html</t>
  </si>
  <si>
    <t xml:space="preserve">Five community-led clean energy projects from the Clean Energy for Rural and Remote Communities program supporting communities reducing their reliance on diesel fuel for heat and power while creating jobs.</t>
  </si>
  <si>
    <t xml:space="preserve">CAN73</t>
  </si>
  <si>
    <t xml:space="preserve">Delay of publication and implementation of the Clean Fuel Standard</t>
  </si>
  <si>
    <t xml:space="preserve">https://www.canada.ca/en/environment-climate-change/services/managing-pollution/energy-production/fuel-regulations/clean-fuel-standard.html </t>
  </si>
  <si>
    <t xml:space="preserve">The Clean Fuel Standard will contribute to reduce GHG emissions through the increased use of lower-carbon fuels, energy sources, and technologies. </t>
  </si>
  <si>
    <t xml:space="preserve">CAN74</t>
  </si>
  <si>
    <t xml:space="preserve">Extension of deadline for pollution data reporting by industry to reduce burdens for industry during COVID-19.</t>
  </si>
  <si>
    <t xml:space="preserve">https://www.canada.ca/en/services/environment/pollution-waste-management/national-pollutant-release-inventory.html; https://www.canada.ca/en/environment-climate-change/services/climate-change/greenhouse-gas-emissions/facility-reporting/reporting.html</t>
  </si>
  <si>
    <t xml:space="preserve">The deadlines for industry reporting on: i) National Pollutant Release Inventory data and ii) GHG emissions have been extended to July 31, 2020 </t>
  </si>
  <si>
    <t xml:space="preserve">CHL1</t>
  </si>
  <si>
    <t xml:space="preserve">CHL</t>
  </si>
  <si>
    <t xml:space="preserve">USD 4.5 million</t>
  </si>
  <si>
    <t xml:space="preserve">As a part of the programme "Paso a paso Chile se recupera", Chile intends to add USD 4.5 million to the Ministries' regular budget. This sum will raise total public investment to USD 34 million, which will be spent within 24 months. The plan seeks to respond to several social and environmental challenges. 30% of the projects (not necessarily of the funds) will be invested to accelerate Chile's climate mitigation and adaptation efforts and to support sustainable development, on the basis of the country's new NDC and of the Climate Bond Initiative (CBI) classification (that corresponds to the green investment framework of Chilean sovereign green bonds). The projects will enhance (1) water management (focusing on the modernization of irrigation plants, rainwater conservation, flood control, drought resilience, improved water treatment, improved access to drinking water, etc.), (2) green urban mobility (extension of the metro system, railways, electric buses, public transport routes, bicycle lanes), (3) reforestation (reforesting 24.1 ha with a focus on wildfire management), (4) urban greening, (5) public infrastructure (focus on coastal and fluvial climate-resilient infrastructure and on the energy efficiency of public buildings) and (6) sustainable local development (including local strategic plans for water resources; energy efficiency of housing). </t>
  </si>
  <si>
    <t xml:space="preserve">https://www.gob.cl/chileserecupera/</t>
  </si>
  <si>
    <t xml:space="preserve">The implementation of the plan will involve the Ministry of Public works and infrastructure, the Ministry of Transport and telecommunications, the Ministry of Housing and Urbanism, the Ministry of Agriculture, the Interior Ministry and the Ministry of Sports.</t>
  </si>
  <si>
    <t xml:space="preserve">USD</t>
  </si>
  <si>
    <t xml:space="preserve">CHL2</t>
  </si>
  <si>
    <t xml:space="preserve">Minimum USD 35 millon in 2020 and USD 75 millons in 2021</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</si>
  <si>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</si>
  <si>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 xml:space="preserve">Ley de Modernización Tributaria: https://modernizaciontributaria.hacienda.cl/mas-recursos-para-chile </t>
  </si>
  <si>
    <t xml:space="preserve">CHL3</t>
  </si>
  <si>
    <t xml:space="preserve">Suspension of peak hour charge for electricity bills</t>
  </si>
  <si>
    <t xml:space="preserve">CHL4</t>
  </si>
  <si>
    <t xml:space="preserve">Postponement of the otherwise mandatory annual vehicle inspection and circulation permit</t>
  </si>
  <si>
    <t xml:space="preserve">https://www.chileatiende.gob.cl/fichas/23978-revision-tecnica-de-vehiculos-motorizados</t>
  </si>
  <si>
    <t xml:space="preserve">CHL5</t>
  </si>
  <si>
    <t xml:space="preserve">CLP 5 million</t>
  </si>
  <si>
    <t xml:space="preserve">National Mobility Plan: Work with Municipalities to implement tactical urbanism initiatives</t>
  </si>
  <si>
    <t xml:space="preserve">CLP</t>
  </si>
  <si>
    <t xml:space="preserve">CHL6</t>
  </si>
  <si>
    <t xml:space="preserve">CLP 26 million</t>
  </si>
  <si>
    <t xml:space="preserve">State Support Bonus and Solidarity Loan: Economic benefit to owners of buses, minibuses, cabs (urban and rural)</t>
  </si>
  <si>
    <t xml:space="preserve">CHL7</t>
  </si>
  <si>
    <t xml:space="preserve">USD 455 million</t>
  </si>
  <si>
    <t xml:space="preserve">Hydraulic Projects: Irrigation works that will benefit more than 125 thousand hectares, conservation of rainwater in cities and alluvial controls. </t>
  </si>
  <si>
    <t xml:space="preserve">These projects contemplate the improvement of irrigation systems to increase water use efficiency and water savings. Likewise, this will increase the country's resilience or capacity to face the impacts of climate change, in the context of a mega drought that has affected Chile for over a decade.</t>
  </si>
  <si>
    <t xml:space="preserve">CHL8</t>
  </si>
  <si>
    <t xml:space="preserve">USD 481 million</t>
  </si>
  <si>
    <t xml:space="preserve">Rural Drinking Water systems: 75 new systems, 69 improvements and extensions of systems, and minor conservation of another 44 systems.</t>
  </si>
  <si>
    <t xml:space="preserve">These projects will provide or improve access to water for vulnerable families in our country, particularly in rural areas.</t>
  </si>
  <si>
    <t xml:space="preserve">CHL9</t>
  </si>
  <si>
    <t xml:space="preserve">USD 376 million</t>
  </si>
  <si>
    <t xml:space="preserve">Roads: Construction, replacement and improvement of 93 bridges, and construction of 62 kilometers of bicycle lanes.</t>
  </si>
  <si>
    <t xml:space="preserve">The design and implementation of these projects considering sustainable engineering, materials, and location aspects, among others, will contribute to climate change adaptation measures in facing events of river flooding, intensity of rainfalls, and probability of floodings, among others.</t>
  </si>
  <si>
    <t xml:space="preserve">CHL10</t>
  </si>
  <si>
    <t xml:space="preserve">USD 235 million</t>
  </si>
  <si>
    <t xml:space="preserve">Coastal and riverside projects: Construction, conservation, improvement and extension of more than 35 works on coastal and riversides.</t>
  </si>
  <si>
    <t xml:space="preserve">The design and implementation of these projects considering sustainable engineering, materials, and location aspects, among others; will allow adaptation to the effects of climate change such as the frequency and intensity of storm surges, sea level, intensity of rainfall, etc; allowing to increase the resilience or reaction capacity of the communities and activities that will be affected.</t>
  </si>
  <si>
    <t xml:space="preserve">CHL11</t>
  </si>
  <si>
    <t xml:space="preserve">USD 39 million</t>
  </si>
  <si>
    <t xml:space="preserve">Water Management: Development of 50 strategic plans for the management of water resources, of which 30 will be ready between 2020-2022; and strengthening of the national hydrometric and glaciological network.</t>
  </si>
  <si>
    <t xml:space="preserve">The design and implementation of these plans and tools will consider the effects of climate change with respect to temperatures, drought, intensity of rainfall, among others; allowing to increase the resilience or reaction capacity of the communities and activities that will be affected.</t>
  </si>
  <si>
    <t xml:space="preserve">CHL12</t>
  </si>
  <si>
    <t xml:space="preserve">USD 403 million</t>
  </si>
  <si>
    <t xml:space="preserve">Public Buildings: Construction, replacement and improvement of more than 280.000 m2 in public building projects such as police stations, schools, health centers, museums, theaters, and town hall buildings, among others.</t>
  </si>
  <si>
    <t xml:space="preserve">These projects contemplate energy efficiency standards contributing to the reduction in the consumption of electrical energy or fuel, contributing to the mitigation of climate change.</t>
  </si>
  <si>
    <t xml:space="preserve">COL1</t>
  </si>
  <si>
    <t xml:space="preserve">COL</t>
  </si>
  <si>
    <t xml:space="preserve">Water pricing frozen, and reconnecting the water service to people who had it suspended for non-payment (benefits more than 1 million people), collection of water purification and wastewater treatment fees suspended until 30 May.</t>
  </si>
  <si>
    <t xml:space="preserve">https://coronaviruscolombia.gov.co/Covid19/acciones/acciones-de-servicios-publicos.html</t>
  </si>
  <si>
    <t xml:space="preserve">In addition, in cities with more that 5 000 users, disinfection will be carried out once a weekto prevent the spread of the vrus.</t>
  </si>
  <si>
    <t xml:space="preserve">COL2</t>
  </si>
  <si>
    <t xml:space="preserve">Increasing the budget (USD 375 thousand) for all the existing subsidies to poor families (Elderly, Youth in Action, and Families in Action programmes) and additional and extraordinary non-conditional payments</t>
  </si>
  <si>
    <t xml:space="preserve">COL3</t>
  </si>
  <si>
    <t xml:space="preserve">New and temporal (until June 2021) subsidy for informal workers not receiving other types of existing subsidies (Ingreso Solidario) in place until the end of 2020,</t>
  </si>
  <si>
    <t xml:space="preserve">COL4</t>
  </si>
  <si>
    <t xml:space="preserve">Evictions are suspended and rental payments cannot be increased; poorest households can differ the payment of public services in 36 months without interests</t>
  </si>
  <si>
    <t xml:space="preserve">COL5</t>
  </si>
  <si>
    <t xml:space="preserve">Goverment finances the salaries of workers in SMEs for three months  (for worker up to 5 minimum wages) since 13 April; subsidy of 40% of the minimum wage for firms with at least 20% reduction in turnover from May</t>
  </si>
  <si>
    <t xml:space="preserve">COL6</t>
  </si>
  <si>
    <t xml:space="preserve">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</si>
  <si>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 xml:space="preserve">COL7</t>
  </si>
  <si>
    <t xml:space="preserve">COP 60 billion</t>
  </si>
  <si>
    <t xml:space="preserve">New subsidized credit line with a capped quota of COP 250 billion aimed at the tourism, aviation and public events sectors and additional COP 350 billion for other sectors;  </t>
  </si>
  <si>
    <t xml:space="preserve">COP</t>
  </si>
  <si>
    <t xml:space="preserve">COL8</t>
  </si>
  <si>
    <t xml:space="preserve">reduction of the gasoline price;</t>
  </si>
  <si>
    <t xml:space="preserve">COL9</t>
  </si>
  <si>
    <t xml:space="preserve">COP 70 billion</t>
  </si>
  <si>
    <t xml:space="preserve">the Government injected 70 billion pesos (7% of GDP) into the National Guarantee Fund to channel loans to the companies and people most affected by the fall in their income</t>
  </si>
  <si>
    <t xml:space="preserve">COL10</t>
  </si>
  <si>
    <t xml:space="preserve"> guarantees to finance 3 months salaries of MSMEs up to 5 minimum wages, as long as no worker is fired; and special credit line to own accountant workers.                   </t>
  </si>
  <si>
    <t xml:space="preserve">COL11</t>
  </si>
  <si>
    <t xml:space="preserve">Increased quotas of the daily auctions to increase liquidity in the market and announced an asset purchase program (public or corporate debt securities);  the Central Bank cut the policy rate by 150 basic points to 2.75% during march, april and may meetings</t>
  </si>
  <si>
    <t xml:space="preserve">COL12</t>
  </si>
  <si>
    <t xml:space="preserve">On April 15th, reduced required reserves, injecting liquidity by COP 9 trillion</t>
  </si>
  <si>
    <t xml:space="preserve">COL13</t>
  </si>
  <si>
    <t xml:space="preserve">Vulnerable families can suspend the payment of public services for the month of April.</t>
  </si>
  <si>
    <t xml:space="preserve">COL14</t>
  </si>
  <si>
    <t xml:space="preserve">COP 16 billion</t>
  </si>
  <si>
    <t xml:space="preserve">Commitment to invest in 9 wind, 5 solar, 3 thermal and 1 hydropower projects, as well as 9 transmission lines. The investment is part of the "commitment to clean and sustainable growth"</t>
  </si>
  <si>
    <t xml:space="preserve">https://id.presidencia.gov.co/Paginas/prensa/2020/COMPROMISO-POR-COLOMBIA-Transicion-energetica-y-crecimiento-limpio-en-el-foco-del-Gobierno-para-proximos-dos-anios-200807.aspx</t>
  </si>
  <si>
    <t xml:space="preserve">COL15</t>
  </si>
  <si>
    <t xml:space="preserve">Goal to plant 180 million trees through incentives for silvopastoralism and agroforestry with community support</t>
  </si>
  <si>
    <t xml:space="preserve">https://id.presidencia.gov.co/Paginas/prensa/2020/Nace-el-nuevo-Compromiso-por-el-Futuro-de-Colombia-200807.aspx</t>
  </si>
  <si>
    <t xml:space="preserve">Goal was announced in January at Davos and I believe independent of COVID-19. It has now been reaffirmed in the new Compromiso por el Futuro de Colombia</t>
  </si>
  <si>
    <t xml:space="preserve">COL16</t>
  </si>
  <si>
    <t xml:space="preserve">COP 1.5 trillion</t>
  </si>
  <si>
    <t xml:space="preserve">Accelerate infrastructure projects including ports, airports, aqueducts and treatment plants and fourth and fifth generation highways. Conclude development of 14 national roads, 8 regional ones and initiate 22 highway projects</t>
  </si>
  <si>
    <t xml:space="preserve">Linear infrastructure often has biodiversity impacts and if facilitates increased commuting then potential GHG emissions increase?  Note this is another commitment outlined by President in the Compromiso por el Futuro de Colombia</t>
  </si>
  <si>
    <t xml:space="preserve">COL17</t>
  </si>
  <si>
    <t xml:space="preserve">Accelerate ratification of Escazu Agreement: Regional Agreement on Access to Information, Public Participation and Justice in Environmental Matters in Latin America and the Caribbean</t>
  </si>
  <si>
    <t xml:space="preserve"> another commitment outlined by President in the Compromiso por el Futuro de Colombia</t>
  </si>
  <si>
    <t xml:space="preserve">COL18</t>
  </si>
  <si>
    <t xml:space="preserve">Proposal for new legislation to combat illegal mining</t>
  </si>
  <si>
    <t xml:space="preserve">COL19</t>
  </si>
  <si>
    <t xml:space="preserve">Accelerate construction of Dique canal to adapt to flood risk and improve navigation</t>
  </si>
  <si>
    <t xml:space="preserve">COL20</t>
  </si>
  <si>
    <t xml:space="preserve">Commitment to improve the sustainability of mining and energy sectors (although also plan to continue exploration)</t>
  </si>
  <si>
    <t xml:space="preserve">COL21</t>
  </si>
  <si>
    <t xml:space="preserve">"Colombia Agro Produce credit", allowing farmers to benefit from lower interest rates (3.5% small producers; 4.5% medium-large producers) up to a3 years, one year grace. Finacial aid will be provided for farmers over 70s not covered by other government programs.</t>
  </si>
  <si>
    <t xml:space="preserve">https://coronaviruscolombia.gov.co/Covid19/acciones/acciones-de-agricultura.html</t>
  </si>
  <si>
    <t xml:space="preserve">Goal announced on 01/04/2020</t>
  </si>
  <si>
    <t xml:space="preserve">COL22</t>
  </si>
  <si>
    <t xml:space="preserve">Direct subsidies to rural and community aqueducts (COP 14 400/month per user) guaranteeing access to drinking water and basic sanitation and reducing related bills. The 1,621 rural operators registered with the Superintendency of Public Services may apply to this subsidy</t>
  </si>
  <si>
    <t xml:space="preserve">Decree 819, 4 June 2020</t>
  </si>
  <si>
    <t xml:space="preserve">CZE1</t>
  </si>
  <si>
    <t xml:space="preserve">CZE</t>
  </si>
  <si>
    <t xml:space="preserve">3.3 billion CZK</t>
  </si>
  <si>
    <t xml:space="preserve">The Government has released 3.3 billion CZK for the 2020 Rural Development Program. This funding should help entrepreneurs in agriculture, food and forestry while fighting coronavirus crisis. The main reason for this support is to secure Czech food self-sufficiency.</t>
  </si>
  <si>
    <t xml:space="preserve">https://www.vlada.cz/en/media-centrum/aktualne/measures-adopted-by-the-czech-government-against-coronavirus-180545/</t>
  </si>
  <si>
    <t xml:space="preserve">CZK</t>
  </si>
  <si>
    <t xml:space="preserve">CZE2</t>
  </si>
  <si>
    <t xml:space="preserve">A bill on an anti-crisis tax package to help the most affected sectors has been adopted, which includes the reduction to 25 percent in road tax on lorries over 3.5 tonnes, shortens the deadline for refunding the overpayment of excise duty on so-called "green diesel"</t>
  </si>
  <si>
    <t xml:space="preserve">CZE3</t>
  </si>
  <si>
    <t xml:space="preserve">6.5 billion CZK</t>
  </si>
  <si>
    <t xml:space="preserve">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t>
  </si>
  <si>
    <t xml:space="preserve">DNK1</t>
  </si>
  <si>
    <t xml:space="preserve">DNK</t>
  </si>
  <si>
    <t xml:space="preserve">Green transition of individual heating further by increasing the phasing out of oil and gas boilers</t>
  </si>
  <si>
    <t xml:space="preserve">Agreement between the government and the Radical Left, the Socialist People's Party, the Unity List and the Alternative on: Finance Act for 2021 (December 6, 2020)
Aftale mellem regeringen og Radikale Venstre, Socialistisk Folkeparti, Enhedslisten og Alternativet om: Finansloven for 2021 (6. december 2020)
</t>
  </si>
  <si>
    <t xml:space="preserve">A total of DKK 225 million is set aside. in 2021, DKK 225 million. in 2022, DKK 145 million. DKK in 2023, DKK 155 million. DKK in 2024 and DKK 60 million. DKK in 2025 for the subsidy pools for phasing out oil and gas boilers, which were agreed with the Climate Agreement for energy and industry, etc. 2020 and the follow-up agreement of 30 October 2020.</t>
  </si>
  <si>
    <t xml:space="preserve">DKK</t>
  </si>
  <si>
    <t xml:space="preserve">DNK2</t>
  </si>
  <si>
    <t xml:space="preserve">Transport</t>
  </si>
  <si>
    <t xml:space="preserve">Strengthen the transition to green transport by setting aside a pool to support initiatives that can contribute to the green transition of the transport sector, eg electric ferries, the spread of charging infrastructure, conversion of heavy transport, etc.</t>
  </si>
  <si>
    <t xml:space="preserve">A total of DKK 150 million is set aside. DKK 2021, DKK 50 million. DKK in 2022 and DKK 10 million. DKK annually in 2023-2025. The allocated funds include derived tax losses.</t>
  </si>
  <si>
    <t xml:space="preserve">DNK3</t>
  </si>
  <si>
    <t xml:space="preserve">The pool for sustainable construction must go to concrete efforts that help to support a greener and more sustainable and quality-conscious construction that is at the same time financially sustainable.</t>
  </si>
  <si>
    <t xml:space="preserve">DKK 25 million is set aside. DKK annually in 2021 and in 2022.</t>
  </si>
  <si>
    <t xml:space="preserve">DNK4</t>
  </si>
  <si>
    <t xml:space="preserve">The purpose is, among other things, to promote the development of safe storage of CO2 in the North Sea as early as 2025.</t>
  </si>
  <si>
    <t xml:space="preserve">DNK5</t>
  </si>
  <si>
    <t xml:space="preserve">To increase and extend the state pool for coastal protection projects and expand the criteria for relevant applicants. Several projects will thus be eligible for the pool.</t>
  </si>
  <si>
    <t xml:space="preserve">A total of DKK 50 million is set aside. DKK in 2021, which will bring the total pool in 2021 to 90 mill. DKK in 2021. 150 mill. DKK annually in 2022 and 2023.</t>
  </si>
  <si>
    <t xml:space="preserve">DNK6</t>
  </si>
  <si>
    <t xml:space="preserve">The construction of cycle paths along the state roads. It must support the citizens' access to a more coherent cycle path and thereby better opportunities to choose the bicycle over other modes of transport.
In addition, DKK 150 million will be set aside. DKK in 2021 for a pool of targeted municipal bicycle projects. Municipal co-financing of 50 per cent is assumed. of the construction cost. The municipal contribution will have to be prioritized within the municipalities' construction framework.</t>
  </si>
  <si>
    <t xml:space="preserve">A total of DKK 180 million is set aside. DKK in 2021 and 170 mill. DKK annually in 2022-2023 for cycling.</t>
  </si>
  <si>
    <t xml:space="preserve">DNK7</t>
  </si>
  <si>
    <t xml:space="preserve">strengthen municipalities and regions' ability to make their buildings more energy efficient</t>
  </si>
  <si>
    <t xml:space="preserve">A total of DKK 150 million is set aside. DKK annually in 2021-2022 and 5 mill. DKK annually from 2023.</t>
  </si>
  <si>
    <t xml:space="preserve">DNK8</t>
  </si>
  <si>
    <t xml:space="preserve">The pool will contribute to the promotion and demonstration of new technologies that aim to reduce greenhouse gas emissions from agriculture, for example in brown biorefining. With the technology "brown" biorefining, residual and waste products from agriculture and the waste sector are utilized, such as manure, straw, sewage sludge and residual fibers from biogas production. Through the use of thermal pyrolysis technology, the biomass can be converted into gas and oil that can be refined into liquid fuels such as aviation fuel. The pool must target cost-effective technologies with great reduction potential in the agricultural sector.</t>
  </si>
  <si>
    <t xml:space="preserve">DKK 100 million is set aside. DKK annually in 2021 and 2022 for the pool.
Environmental impact mix. Does this create land use changes? In addition, it is unclear if these technologies reduce GHG emissions significantly. They might be substitute for fossil based fuels which means GHG saving on the production phase of the feedstock but not on the consumption phase.</t>
  </si>
  <si>
    <t xml:space="preserve">DNK9</t>
  </si>
  <si>
    <t xml:space="preserve">The funds strengthen the green transition by supporting energy efficiency improvements in year-round homes. Public housing, ie. public housing associations, can apply for funds from the Building Fund on the basis of objective criteria and on an equal footing with other building owners, so that tenants can also benefit from energy renovations.</t>
  </si>
  <si>
    <t xml:space="preserve">A total of DKK 300 million is set aside. DKK in 2021 and 25 mill. DKK annually from 2022. The funds are incl. derived from poison loss.</t>
  </si>
  <si>
    <t xml:space="preserve">DNK10</t>
  </si>
  <si>
    <t xml:space="preserve">Between 26 million and 106 million</t>
  </si>
  <si>
    <t xml:space="preserve">By removing lowland soils and restoring natural water levels in the areas, greenhouse gas emissions are reduced. For the allocated funds, approx. 5,000 hectares of agricultural land, which is estimated to contribute to a total climate effect of almost 75,000 tonnes of CO2e in 2030.</t>
  </si>
  <si>
    <t xml:space="preserve">to set aside a total of DKK 660 million. DKK in the period 2021-2024 for extraction of carbon-rich agricultural land. A total of DKK 165 million is set aside. DKK annually in 2021-2024 for set-aside of agricultural land.</t>
  </si>
  <si>
    <t xml:space="preserve">Between 165 million and 660 million</t>
  </si>
  <si>
    <t xml:space="preserve">DNK11</t>
  </si>
  <si>
    <t xml:space="preserve">agree to support the development of geothermal energy as a technology in the district heating sector of the future by setting up a geothermal task force. The task force will be tasked with carrying out an analysis work to uncover the socio-economic potential for fitting geothermal heat into the district heating sector. can obtain state aid approval under EU state aid rules</t>
  </si>
  <si>
    <t xml:space="preserve">total of DKK 3 million is set aside. DKK annually in 2021 and 2022 for the task force. The parties to the agreement will be presented with the results of the task force's work in 2022.</t>
  </si>
  <si>
    <t xml:space="preserve">DNK12</t>
  </si>
  <si>
    <t xml:space="preserve">to support the fact that more households and companies across the country have access to fast broadband. The COVID-19 crisis has also highlighted the importance of fast broadband. In this connection, the broadband pool can contribute to improved broadband coverage in those areas where the market does not by itself ensure sufficient rollout.</t>
  </si>
  <si>
    <t xml:space="preserve">Access to broadband increase the volume of data which ultimatly increase GHG emission. On the other hand, digitalisation can save GHG emissions by decreasing travel demand.</t>
  </si>
  <si>
    <t xml:space="preserve">DNK13</t>
  </si>
  <si>
    <t xml:space="preserve">It can contribute to the development of new digital solutions, partly by supporting a more cohesive and efficient public sector, which holds potential in supporting Denmark's ambitions in the climate area. And partly by supporting the digitalisation and automation of the business community to strengthen the competitiveness of Danish companies and for the benefit of growth, employment and export opportunities.</t>
  </si>
  <si>
    <t xml:space="preserve">Digitalisation increase the volume of data which ultimatly increase GHG emission. On the other hand, digitalisation can save GHG emissions by decreasing travel demand or the use of material resources.</t>
  </si>
  <si>
    <t xml:space="preserve">DNK14</t>
  </si>
  <si>
    <t xml:space="preserve">The program will enable SMEs to receive funding for advice on green and digital transformation, growth advice and business development, as well as the purchase of specific technology, production equipment, software, etc., which can contribute to the transformation of the company, including green transformation. </t>
  </si>
  <si>
    <t xml:space="preserve">A total of DKK 825 million is set aside. DKK distributed with 300 mill. DKK in 2021 and 525 mill. DKK in 2022 and associated administrative funds. In addition, DKK 8 million is set aside. DKK distributed with 4 mill. DKK in 2021 and 4 mill. DKK in 2022 to the green entrepreneurship panel.</t>
  </si>
  <si>
    <t xml:space="preserve">DNK15</t>
  </si>
  <si>
    <t xml:space="preserve">insured unemployed people over the age of 30, who are unskilled or skilled with an outdated education, will have the right to start a SOSU assistant basic education in 2021 with 110 pct. of their previous unemploymenC16t benefit rate. At the same time, the positive list is expanded by 6 per cent. for educations that support a green transition in the labor market.</t>
  </si>
  <si>
    <t xml:space="preserve">The impact will be positive. If labor with green skill is available, green sector will thrive more. A total of DKK 120 million is set aside DKK for strengthened recruitment of SOSU assistants and for green jobs in 2021-2022. Of this, the extension of the right to 110 per cent. unemployment benefit rate additional expenses of DKK 84 million. DKK in 2021 and 18 mill. in 2022 after tax, setbacks and behavior. The measure has less positive qualifying effects in the following years.</t>
  </si>
  <si>
    <t xml:space="preserve">DNK16</t>
  </si>
  <si>
    <t xml:space="preserve">to raise the grant for the regional education pool and initiate a one-year trial with a right for the individual unemployed to a job-oriented course from the first day of unemployment via the regional education pool.</t>
  </si>
  <si>
    <t xml:space="preserve">It is not targeted at green jobs. DKK 30 million is set aside. DKK in 2021 for the regional education pool. Thereby, the pool will amount to a total of 285 million. DKK in 2021 and will contribute to more people being able to quickly and flexibly be transferred to new jobs and industries</t>
  </si>
  <si>
    <t xml:space="preserve">DNK17</t>
  </si>
  <si>
    <t xml:space="preserve">need to strengthen the warning efforts in 2021 as a result of the COVID-19 crisis, so that dismissed employees can quickly be helped into new employment with an early and focused effort.</t>
  </si>
  <si>
    <t xml:space="preserve">It is not targeted at green jobs. DKK 100 million is set aside. DKK in 2021 for the purpose. Thus, the warning pool will amount to DKK 106 million. in 2021.</t>
  </si>
  <si>
    <t xml:space="preserve">DNK18</t>
  </si>
  <si>
    <t xml:space="preserve">Plastics</t>
  </si>
  <si>
    <t xml:space="preserve"> to set aside DKK 25 million. DKK in 2021 for green conversion of ports and conversion efforts within, for example, fishing and related ancillary activities. The Danish ports have set a goal of becoming CO2-neutral by 2030, at the same time as 90 per cent. of all waste in the ports will be recycled in 2030. In order to support restructuring and development efforts within the fishing industry and related follow-up industries, a pool will be created that can be applied for by ports, fishing and follow-up industries to co-finance projects concerning eg conversion and green development.</t>
  </si>
  <si>
    <t xml:space="preserve">DNK19</t>
  </si>
  <si>
    <t xml:space="preserve">contribute to good living conditions for citizens in the villages by, for example, maintaining local jobs, local leisure activities, etc. In addition, the pool can also support the villages and smaller urban communities where the mink industry has been of particular importance.</t>
  </si>
  <si>
    <t xml:space="preserve">It is not targeted at green activites.</t>
  </si>
  <si>
    <t xml:space="preserve">DNK20</t>
  </si>
  <si>
    <t xml:space="preserve">to support village renewal, which i.a. may include the renewal of streets, squares and squares, the initiation of social or cultural activities, the renovation of dilapidated dwellings or town halls, and the demolition and removal of scrap on residential properties. The village renewal is implemented in the municipalities eligible for application.</t>
  </si>
  <si>
    <t xml:space="preserve">DNK21</t>
  </si>
  <si>
    <t xml:space="preserve">DKK 100 million is therefore set aside. DKK annually in 2021-2022 for an application pool for upskilling and continuing education within climate adaptation and green change in a broad sense. The funds can be applied for by educational institutions, possibly. after dialogue with continuing education committees and the professional committees for either a quality and equipment boost of existing qualification and continuing education offers or the development of new educations targeted at job functions and industries within green conversion as well as initiatives with a view to increased sustainability.</t>
  </si>
  <si>
    <t xml:space="preserve">DKK 100 million is therefore set aside. DKK annually in 2021-2022</t>
  </si>
  <si>
    <t xml:space="preserve">DNK22</t>
  </si>
  <si>
    <t xml:space="preserve">Strengthened public efforts are targeted as far as possible in areas where, for a period of time, benefits can be achieved through an upscaled effort, and where there are good preconditions for using temporary resources. As a starting point, the strengthening will aim at strengthened infection detection and extra efforts under the Danish Nature Agency, including strengthening outdoor facilities in nature areas, nature conservation tasks with a view to strengthening nature and biodiversity and green building initiatives on the Danish Nature Agency's properties.</t>
  </si>
  <si>
    <t xml:space="preserve">DNK23</t>
  </si>
  <si>
    <t xml:space="preserve">The Government and the Radical Left, the Socialist People's Party, the Unity List and the Alternative are
agreed to continue working on a green national account in order to support
the green agenda.
In this connection, it is agreed to add an additional DKK 1.9 million. DKK annually in the period 2021-
2024 with a view to extending the green national accounts to include in detail
material flow accounting and resource footprint as well as supporting the work with green calculation models.</t>
  </si>
  <si>
    <t xml:space="preserve">DNK24</t>
  </si>
  <si>
    <t xml:space="preserve">cleaning up the major generational pollutions in Denmark. It is pollution that threatens nature and the environment - also locally. Therefore, it is important that the pollutants are not left to future generations.</t>
  </si>
  <si>
    <t xml:space="preserve">DKK 50 million is set aside. in 2021, DKK 100 million. DKK in 2022, DKK 155 million. DKK in 2023, 150 million. DKK in 2024 and 175 mill. DKK in 2025. A total of DKK 630 million has thus been set aside. DKK for generational pollution up to 2025.
The parties to the agreement agree that the generational pollution at Himmark Strand, Kærgård Klit plantation, the former Grindsted power plant, Høfde 42 and Cheminova's old factory site must be prioritized, cf. the regions' plan.
The work will start in 2021 and is expected to continue until 2033. 
It was on the shelf before but the covid crisis accelerated this.</t>
  </si>
  <si>
    <t xml:space="preserve">DNK25</t>
  </si>
  <si>
    <t xml:space="preserve">The nature and biodiversity package must promote nature and biodiversity in Denmark and help to slow down the decline of nature.
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parties to the agreement agree that untouched forests and nature parks must be given priority in the implementation of the funds between the parties to the agreement.
The nature and biodiversity package gives biodiversity better conditions in Denmark. Untouched forest creates favorable conditions for different species and benefits biodiversity, while with the establishment of nature national parks, cohesive nature areas will be created where plant and animal life can unfold on more natural terms.</t>
  </si>
  <si>
    <t xml:space="preserve">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OECD environmental performance review, the mink crisis and the relationship between biodiversity and covid led to this ambitious plan.</t>
  </si>
  <si>
    <t xml:space="preserve">DNK26</t>
  </si>
  <si>
    <t xml:space="preserve">The government and the Radical Left, the Socialist People's Party, the Unity List and the Alternative will support a continued market-driven development of ecology in Denmark.
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</si>
  <si>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 xml:space="preserve">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</si>
  <si>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 xml:space="preserve">DNK27</t>
  </si>
  <si>
    <t xml:space="preserve">The government and the parties to the agreement also agreed to encourage the necessary investments in green technology with e.g. a green investment window up to and including 2022 with increased depreciation on green investments and almost DKK 700 million. DKK further in direct grants for green investments. At the same time, the relaxation of the R&amp;D deduction is extended by 130 per cent. to include 2022. This gives Danish companies a better opportunity to adapt to greener production and a greater incentive to invest in research and development.</t>
  </si>
  <si>
    <t xml:space="preserve">Broad agreement on green tax reform paves the way for green transformation in business
</t>
  </si>
  <si>
    <t xml:space="preserve">EST1</t>
  </si>
  <si>
    <t xml:space="preserve">EST</t>
  </si>
  <si>
    <t xml:space="preserve">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</si>
  <si>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 xml:space="preserve">https://www.valitsus.ee/et/uudised/valitsus-kinnitas-eesti-seisukohad-euroopa-rohelise-kokkuleppe-kohta     </t>
  </si>
  <si>
    <t xml:space="preserve">Green Agreement still to be defined</t>
  </si>
  <si>
    <t xml:space="preserve">EST2</t>
  </si>
  <si>
    <t xml:space="preserve">EUR 150 000 </t>
  </si>
  <si>
    <t xml:space="preserve">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</si>
  <si>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 xml:space="preserve">https://kik.ee/en/supported-activity/support-nature-and-environmental-education-centres</t>
  </si>
  <si>
    <t xml:space="preserve">https://kik.ee/et/toetatav-tegevus/loodus-ja-keskkonnahariduskeskuste-toetus  </t>
  </si>
  <si>
    <t xml:space="preserve">EST3</t>
  </si>
  <si>
    <t xml:space="preserve">EUR 1 400 000</t>
  </si>
  <si>
    <t xml:space="preserve">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</si>
  <si>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</si>
  <si>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</si>
  <si>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 xml:space="preserve">EST4</t>
  </si>
  <si>
    <t xml:space="preserve">EUR 9 500 000 </t>
  </si>
  <si>
    <t xml:space="preserve">Simplification of the application for resource efficiency support for businesses in the COVID-19 crisis.The amount of support is up to 200,000 euros and the maximum share of eligible costs per project is up to 50%.</t>
  </si>
  <si>
    <t xml:space="preserve">https://www.kik.ee/en/supported-activity/energy-and-resource-efficiency-undertakings</t>
  </si>
  <si>
    <t xml:space="preserve">https://www.kik.ee/et/toetatav-tegevus/ettevotete-ressursitohusus </t>
  </si>
  <si>
    <t xml:space="preserve">EST 5</t>
  </si>
  <si>
    <t xml:space="preserve">EUR 200 500 000 </t>
  </si>
  <si>
    <t xml:space="preserve">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</si>
  <si>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</si>
  <si>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 xml:space="preserve">EST 6</t>
  </si>
  <si>
    <t xml:space="preserve">EUR 73 000 000 </t>
  </si>
  <si>
    <t xml:space="preserve">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</si>
  <si>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</si>
  <si>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 xml:space="preserve">EST 7</t>
  </si>
  <si>
    <t xml:space="preserve">EUR 400 000 </t>
  </si>
  <si>
    <t xml:space="preserve">Support for purchase of new, fully-electric M1 and N1 category vehicles.</t>
  </si>
  <si>
    <t xml:space="preserve">https://www.kik.ee/en/supported-activity/purchasing-fully-electric-vehicles</t>
  </si>
  <si>
    <t xml:space="preserve">https://www.kik.ee/et/toetatav-tegevus/elektriliste-soidukite-soetamine </t>
  </si>
  <si>
    <t xml:space="preserve">EST8</t>
  </si>
  <si>
    <t xml:space="preserve">EUR 4 000 000</t>
  </si>
  <si>
    <t xml:space="preserve">Funding the purchase of electric buses and charging posts</t>
  </si>
  <si>
    <t xml:space="preserve">https://news.err.ee/1135630/government-to-fund-purchase-of-electric-buses-and-charging-posts</t>
  </si>
  <si>
    <t xml:space="preserve">https://www.err.ee/1135503/riik-hakkab-toetama-elektribusside-ostu-ja-laadimistaristu-ehitamist </t>
  </si>
  <si>
    <t xml:space="preserve">EST9</t>
  </si>
  <si>
    <t xml:space="preserve">Temporary (01.05.20-30.04.22) reduction of rates of excise duty of liquid fuels and electricity in order to mitigate the impact of the COVID crises</t>
  </si>
  <si>
    <t xml:space="preserve">https://www.emta.ee/et/ariklient/aktsiisid-vara-hasartmang/kutus-ja-elektrienergia/aktsiisimaarade-ajutine-vahendamine</t>
  </si>
  <si>
    <t xml:space="preserve">https://www.emta.ee/eng/business-client/excise-duties-assets-gambling/about-excise-duties/rates-excise-duty#liquid-fuels-and-electricity</t>
  </si>
  <si>
    <t xml:space="preserve">EUR1</t>
  </si>
  <si>
    <t xml:space="preserve">EUR 202 billion</t>
  </si>
  <si>
    <t xml:space="preserve">30% 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</si>
  <si>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 xml:space="preserve">https://www.consilium.europa.eu/media/45109/210720-euco-final-conclusions-en.pdf</t>
  </si>
  <si>
    <t xml:space="preserve">EU - Positive</t>
  </si>
  <si>
    <t xml:space="preserve">An overall climate spending target of 30% will apply to the total amount of expenditure from the NGEU and the MFF (i.e. EUR 550 billion from 2021-2027 from a total of EUR 1.074 trillion) and be reflected in appropriate targets in sectoral legislation. </t>
  </si>
  <si>
    <t xml:space="preserve">EUR2</t>
  </si>
  <si>
    <t xml:space="preserve">EUR 14.25 billion</t>
  </si>
  <si>
    <t xml:space="preserve">30% climate part of NGEU: ReactEU - cohesion policy. An overall climate spending target of 30% will apply to the total amount of expenditure from the NGEU (which encompasses the ReactEU) and the MFF and be reflected in appropriate targets in sectoral legislation.</t>
  </si>
  <si>
    <t xml:space="preserve">EUR13</t>
  </si>
  <si>
    <t xml:space="preserve">EUR 471 billion</t>
  </si>
  <si>
    <t xml:space="preserve">70% non-climate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</si>
  <si>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 xml:space="preserve">EU - Indeterminate</t>
  </si>
  <si>
    <t xml:space="preserve">EUR14</t>
  </si>
  <si>
    <t xml:space="preserve">EUR 33.75 billion</t>
  </si>
  <si>
    <t xml:space="preserve">70% non-climate part of ReactEU - cohesion policy. An overall climate spending target of 30% will apply to the total amount of expenditure from the NGEU (which encompasses the ReactEU) and the MFF and be reflected in appropriate targets in sectoral legislation.</t>
  </si>
  <si>
    <t xml:space="preserve">EUR3</t>
  </si>
  <si>
    <t xml:space="preserve">EUR 5 billion</t>
  </si>
  <si>
    <t xml:space="preserve">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</si>
  <si>
    <t xml:space="preserve">EUR4</t>
  </si>
  <si>
    <t xml:space="preserve">EUR 5.6 billion</t>
  </si>
  <si>
    <t xml:space="preserve">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</si>
  <si>
    <t xml:space="preserve">EUR5</t>
  </si>
  <si>
    <t xml:space="preserve">EUR 7.5 billion</t>
  </si>
  <si>
    <t xml:space="preserve">biodiversity</t>
  </si>
  <si>
    <t xml:space="preserve">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</si>
  <si>
    <t xml:space="preserve">EUR6</t>
  </si>
  <si>
    <t xml:space="preserve">EUR 10 billion</t>
  </si>
  <si>
    <t xml:space="preserve">NGEU: Just Transition Fund -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</si>
  <si>
    <t xml:space="preserve">EUR7</t>
  </si>
  <si>
    <t xml:space="preserve">EUR 1.9 billion</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</si>
  <si>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t>
  </si>
  <si>
    <t xml:space="preserve">EUR8</t>
  </si>
  <si>
    <t xml:space="preserve">MFF: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</si>
  <si>
    <t xml:space="preserve">EUR9</t>
  </si>
  <si>
    <t xml:space="preserve">EUR 240 billion</t>
  </si>
  <si>
    <t xml:space="preserve">EU rescue package: European Stability Mechanism (ESM) to provide Pandemic Crisis Support (based on existing precautionary credit lines) up to 2 percent of 2019 GDP for each euro area country (up to €240 billion in total) to finance health related spending</t>
  </si>
  <si>
    <t xml:space="preserve">https://www.consilium.europa.eu/en/policies/coronavirus/covid-19-economy/</t>
  </si>
  <si>
    <t xml:space="preserve">Earlier rescue package not recovery package</t>
  </si>
  <si>
    <t xml:space="preserve">EUR10</t>
  </si>
  <si>
    <t xml:space="preserve">EUR 200 billion</t>
  </si>
  <si>
    <t xml:space="preserve">EU rescue package: providing €25 billion in government guarantees to the European Investment Bank (EIB) to support up to €200 billion to finance to companies, with a focus on SMEs, in form o floans</t>
  </si>
  <si>
    <t xml:space="preserve">EUR11</t>
  </si>
  <si>
    <t xml:space="preserve">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</si>
  <si>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 xml:space="preserve">EUR12</t>
  </si>
  <si>
    <t xml:space="preserve">EConomy-wide</t>
  </si>
  <si>
    <t xml:space="preserve">EUR 1 billion</t>
  </si>
  <si>
    <t xml:space="preserve">First call for proposals under the EU Innovation Fund for demonstration of innovative low-carbon technologies ("Boosting EU green recovery" )</t>
  </si>
  <si>
    <t xml:space="preserve">https://ec.europa.eu/clima/news/boosting-eu-green-recovery-commission-invests-1-billion-innovative-clean-technology_en</t>
  </si>
  <si>
    <t xml:space="preserve">FIN1</t>
  </si>
  <si>
    <t xml:space="preserve">FIN</t>
  </si>
  <si>
    <t xml:space="preserve">EUR 5.5 billion</t>
  </si>
  <si>
    <t xml:space="preserve">The Government  of Finland announced a EUR 5.5 billion supplementary budget on 2 June 2020 to support the economic recovery in light of the COVID-19 pandemic. 
The Government of Finland  is committed to choosing economic stimulus measures that also support its objective of making Finland the world's first carbon-neutral welfare state and halting the decline in biodiversity. Being a frontrunner in climate solutions will support job creation and exports.  More details as follows:</t>
  </si>
  <si>
    <t xml:space="preserve">https://valtioneuvosto.fi/-/10616/hallitus-paatti-vuoden-2020-neljannesta-lisatalousarvioesityksesta?languageId=en_US</t>
  </si>
  <si>
    <t xml:space="preserve">FIN2</t>
  </si>
  <si>
    <t xml:space="preserve">EUR 45 million  </t>
  </si>
  <si>
    <t xml:space="preserve">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</si>
  <si>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 xml:space="preserve">FIN3</t>
  </si>
  <si>
    <t xml:space="preserve">EUR 40 million</t>
  </si>
  <si>
    <t xml:space="preserve">Budget authority of EUR 20 million will be allocated to major energy-subsidy pilot projects to promote energy efficiency and EUR 20 million for energy aid. These is investment support for future energy solutions in order  to achieve the 2030 national and EU goals.</t>
  </si>
  <si>
    <t xml:space="preserve">FIN4</t>
  </si>
  <si>
    <t xml:space="preserve">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</si>
  <si>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renotation of wetland (EUR million 1.8); to promote flood protection, water renovation and migratory fish (EUR 6 million).  </t>
  </si>
  <si>
    <t xml:space="preserve">FIN5</t>
  </si>
  <si>
    <t xml:space="preserve">EUR 5 million</t>
  </si>
  <si>
    <t xml:space="preserve">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</si>
  <si>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 xml:space="preserve">https://ym.fi/en/wood-building</t>
  </si>
  <si>
    <t xml:space="preserve">FIN6</t>
  </si>
  <si>
    <t xml:space="preserve">EUR 118 million </t>
  </si>
  <si>
    <t xml:space="preserve">To support public transport, EUR 100 million is proposed to compensate for the loss of fare revenue in public transport; EUR 18 milllion for investment in walking and cycling paths</t>
  </si>
  <si>
    <t xml:space="preserve">FIN7</t>
  </si>
  <si>
    <t xml:space="preserve">EUR 755.8 million</t>
  </si>
  <si>
    <t xml:space="preserve">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</si>
  <si>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 xml:space="preserve">FIN8</t>
  </si>
  <si>
    <t xml:space="preserve">EUR 2.5 million </t>
  </si>
  <si>
    <t xml:space="preserve">Budget authority of EUR 1 million for developing the battery cluster for the electric vehicles and EUR 1.5 million to develop vehicle charging infrastructure in dwelling.. </t>
  </si>
  <si>
    <t xml:space="preserve">FIN9</t>
  </si>
  <si>
    <t xml:space="preserve">EUR 100 million</t>
  </si>
  <si>
    <t xml:space="preserve">This economy wide multi sector support. The additional funding comes from Finland’s Structural Funds programme and the appropriations supporting sustainable growth and vitality in the regions and development projects for SMEs.</t>
  </si>
  <si>
    <t xml:space="preserve">https://tem.fi/-/alueille-yli-100-miljoonaa-euroa-koronaelvytykseen?languageId=en_US</t>
  </si>
  <si>
    <t xml:space="preserve">FIN10</t>
  </si>
  <si>
    <t xml:space="preserve">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</si>
  <si>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 xml:space="preserve">https://valtioneuvosto.fi/-/10616/hallitus-paatti-vuoden-2020-seitsemannesta-lisatalousarvioesityksesta?languageId=en_US</t>
  </si>
  <si>
    <t xml:space="preserve">These are some green elements of the Finnish Government's seventh supplementary budget proposal for 2020. </t>
  </si>
  <si>
    <t xml:space="preserve">FIN11</t>
  </si>
  <si>
    <t xml:space="preserve">EUR 20 million</t>
  </si>
  <si>
    <t xml:space="preserve">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</si>
  <si>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 xml:space="preserve">https://mmm.fi/en/forests/biodiversity-and-protection/metso-programme</t>
  </si>
  <si>
    <t xml:space="preserve">FIN12</t>
  </si>
  <si>
    <t xml:space="preserve">EUR 1 million</t>
  </si>
  <si>
    <t xml:space="preserve">Pilot and demonstration projects implementing the Plastics Roadmap</t>
  </si>
  <si>
    <t xml:space="preserve">https://muovitiekartta.fi/in-brief/</t>
  </si>
  <si>
    <t xml:space="preserve">FIN13</t>
  </si>
  <si>
    <t xml:space="preserve">EUR 3 million</t>
  </si>
  <si>
    <t xml:space="preserve">Strengthening the knowledge base on permitting of wind power projects</t>
  </si>
  <si>
    <t xml:space="preserve">https://ym.fi/documents/1410903/33891761/kestava_elvytys_loppuraportti-2110.pdf/c8edf006-334f-ecd9-5364-9d55720823fe/kestava_elvytys_loppuraportti-2110.pdf?t=1603343569943</t>
  </si>
  <si>
    <t xml:space="preserve">FIN14</t>
  </si>
  <si>
    <t xml:space="preserve">EUR 10 million</t>
  </si>
  <si>
    <t xml:space="preserve">Advancing energy efficienct and nutrient recycling in water management</t>
  </si>
  <si>
    <t xml:space="preserve">https://www.vvy.fi/ajankohtaista/uutiset/ymparistoministerion-avustushaku/</t>
  </si>
  <si>
    <t xml:space="preserve">FIN15</t>
  </si>
  <si>
    <t xml:space="preserve">EUR0.8 million</t>
  </si>
  <si>
    <t xml:space="preserve">Subsidies to support the conservation of the building heritage</t>
  </si>
  <si>
    <t xml:space="preserve">FIN16</t>
  </si>
  <si>
    <t xml:space="preserve">EUR 340 million</t>
  </si>
  <si>
    <t xml:space="preserve">Budget authority increase to the Housing Finance and Development Centre of Finland (ARA)</t>
  </si>
  <si>
    <t xml:space="preserve">FIN17</t>
  </si>
  <si>
    <t xml:space="preserve">EUR 2 million</t>
  </si>
  <si>
    <t xml:space="preserve">Budget authority to the Housing Finance and Development Centre of Finland (ARA) for 2020-2021 for government-supported rental housing production in areas not covered by the MAL-agreements.</t>
  </si>
  <si>
    <t xml:space="preserve">FIN18</t>
  </si>
  <si>
    <t xml:space="preserve">EUR 8 million</t>
  </si>
  <si>
    <t xml:space="preserve">Budget authority to the Housing Finance and Development Centre of Finland (ARA) until the end of 2021 to increase subsidies to promote wood constructions in government-supported housing production and initiate wood construction in areas not covered by the MAL-agreements.</t>
  </si>
  <si>
    <t xml:space="preserve">FIN19</t>
  </si>
  <si>
    <t xml:space="preserve">EUR 12 million</t>
  </si>
  <si>
    <t xml:space="preserve">Business Finland programme to identify and fund leading companies that commit to increase R&amp;D&amp;I activities in Finland to find solutions to significant future challenges. </t>
  </si>
  <si>
    <t xml:space="preserve">https://www.businessfinland.fi/kampanjasivut/veturiyrityksista-vipuvartta</t>
  </si>
  <si>
    <t xml:space="preserve">FIN20</t>
  </si>
  <si>
    <t xml:space="preserve">Maritime transport</t>
  </si>
  <si>
    <t xml:space="preserve">EUR 24.8 million</t>
  </si>
  <si>
    <t xml:space="preserve">Support for cargo and cruise ship companies. 
The funding is a direct reaction to the C19 crisis. The aim is to relieve the troubles that shipping companies are facing and to maintain the performance capacity in the sector.</t>
  </si>
  <si>
    <t xml:space="preserve">Energy policy tracker</t>
  </si>
  <si>
    <t xml:space="preserve">FIN21</t>
  </si>
  <si>
    <t xml:space="preserve">EUR 20.75 million</t>
  </si>
  <si>
    <t xml:space="preserve">Innovation support for ship manufacturing industry</t>
  </si>
  <si>
    <t xml:space="preserve">FIN22</t>
  </si>
  <si>
    <t xml:space="preserve">EUR 2.9 million</t>
  </si>
  <si>
    <t xml:space="preserve">Support for airports not part of Finavia network</t>
  </si>
  <si>
    <t xml:space="preserve">FIN23</t>
  </si>
  <si>
    <t xml:space="preserve">Support for manufacturing industries and the development of smart electricity grid (conditional support) </t>
  </si>
  <si>
    <t xml:space="preserve">FIN24</t>
  </si>
  <si>
    <t xml:space="preserve">Funding for energy demonstration projects.
The aim is to support investments and studies related to 1) production and use of renewable energy, 2) energy efficiency, or 3) other measures to promote the transition to a low-carbon energy system.</t>
  </si>
  <si>
    <t xml:space="preserve">FIN25</t>
  </si>
  <si>
    <t xml:space="preserve">EUR 700 million</t>
  </si>
  <si>
    <t xml:space="preserve">State purchase of new Finnair shares. The aim is to support Finnair during covid-19.</t>
  </si>
  <si>
    <t xml:space="preserve">https://ec.europa.eu/commission/presscorner/detail/en/IP_20_1032 (31 August 2020)</t>
  </si>
  <si>
    <t xml:space="preserve">FIN26</t>
  </si>
  <si>
    <t xml:space="preserve">EUR 599999999</t>
  </si>
  <si>
    <t xml:space="preserve">State guarantee on loan to Finnair. The aim is to secure the solvency of Finnair and support it during the exceptional circumstances due to covid-19.</t>
  </si>
  <si>
    <t xml:space="preserve">https://ec.europa.eu/commission/presscorner/detail/en/MEX_20_904 (31 August 2020)</t>
  </si>
  <si>
    <t xml:space="preserve">FRA1</t>
  </si>
  <si>
    <t xml:space="preserve">FRA</t>
  </si>
  <si>
    <t xml:space="preserve">EUR 690 million</t>
  </si>
  <si>
    <t xml:space="preserve">Support for a pilot plant to manufacture electric batteries for cars and other measures</t>
  </si>
  <si>
    <t xml:space="preserve">https://www.economie.gouv.fr/files/files/directions_services/covid19-soutien-entreprises/DP-Plan_soutien_automobile26052020.pdf</t>
  </si>
  <si>
    <t xml:space="preserve">Plan de Soutien à l'Automobile (May 2020)</t>
  </si>
  <si>
    <t xml:space="preserve">FRA2</t>
  </si>
  <si>
    <t xml:space="preserve">EUR 150 million</t>
  </si>
  <si>
    <t xml:space="preserve">A fund for industrial development in areas including the production of electric motors and the design, production and use of hydrogen systems in cars.</t>
  </si>
  <si>
    <t xml:space="preserve">FRA3</t>
  </si>
  <si>
    <t xml:space="preserve">Extension of the ADVENIR programme, which allows the financing of vehicle charging infrastructure in company car parks and apartment buildings using energy savings certificates. </t>
  </si>
  <si>
    <t xml:space="preserve">Technically not a government subsidy, paid for by companies</t>
  </si>
  <si>
    <t xml:space="preserve">FRA4</t>
  </si>
  <si>
    <t xml:space="preserve">EUR 5 bn</t>
  </si>
  <si>
    <t xml:space="preserve">A commercial loan backed by government guarantee to help Renault recover from the impact of coronavirus. </t>
  </si>
  <si>
    <t xml:space="preserve">FRA5</t>
  </si>
  <si>
    <t xml:space="preserve">EUR 7 bn</t>
  </si>
  <si>
    <t xml:space="preserve">Air France has committed to cutting its emissions from domestic flights in half by 2024 as part of the climate conditions for a €3bn loan from the French state and €4bn in bank loans guaranteed</t>
  </si>
  <si>
    <t xml:space="preserve">https://www.economie.gouv.fr/plan-soutien-aeronautique</t>
  </si>
  <si>
    <t xml:space="preserve">Plan de soutien à l'Aéronautique (June 2020)</t>
  </si>
  <si>
    <t xml:space="preserve">26.10.2020</t>
  </si>
  <si>
    <t xml:space="preserve">FRA6</t>
  </si>
  <si>
    <t xml:space="preserve">EUR 60 million</t>
  </si>
  <si>
    <t xml:space="preserve">Financial support for bike repairs, installing temporary parking spaces for bikes and cycle training in a scheme the government says will "democratise" cycling as France emerges from lockdow...</t>
  </si>
  <si>
    <t xml:space="preserve">https://www.ecologique-solidaire.gouv.fr/plan-velo-des-mesures-concretes-faciliter-lusage-du-velo</t>
  </si>
  <si>
    <t xml:space="preserve">FRA7</t>
  </si>
  <si>
    <t xml:space="preserve">EUR 4 billion</t>
  </si>
  <si>
    <t xml:space="preserve">Thermal renovation of public buildings </t>
  </si>
  <si>
    <t xml:space="preserve">https://www.economie.gouv.fr/files/files/directions_services/plan-de-relance/annexe-fiche-mesures.pdf</t>
  </si>
  <si>
    <t xml:space="preserve">Listed as part of France Relance plan</t>
  </si>
  <si>
    <t xml:space="preserve">FRA8</t>
  </si>
  <si>
    <t xml:space="preserve">EUR 500 million </t>
  </si>
  <si>
    <t xml:space="preserve">Energy renovation and major rehabilitation of social housing </t>
  </si>
  <si>
    <t xml:space="preserve">FRA9</t>
  </si>
  <si>
    <t xml:space="preserve">EUR  200 million</t>
  </si>
  <si>
    <t xml:space="preserve">Energy renovation of SMEs</t>
  </si>
  <si>
    <t xml:space="preserve">FRA10</t>
  </si>
  <si>
    <t xml:space="preserve">EUR  2 billion</t>
  </si>
  <si>
    <t xml:space="preserve">Energy renovation of private housing </t>
  </si>
  <si>
    <t xml:space="preserve">FRA11</t>
  </si>
  <si>
    <t xml:space="preserve">EUR 650 million</t>
  </si>
  <si>
    <t xml:space="preserve">Densification and urban renewal (rehabilitation of wastelands, assistance to mayors for the densification of housing)</t>
  </si>
  <si>
    <t xml:space="preserve">FRA12</t>
  </si>
  <si>
    <t xml:space="preserve">EUR 300 million</t>
  </si>
  <si>
    <t xml:space="preserve">Biodiversity in the regions, risk prevention and strengthening of resilience</t>
  </si>
  <si>
    <t xml:space="preserve">FRA13</t>
  </si>
  <si>
    <t xml:space="preserve">Water networks and modernization of sanitation stations, including overseas </t>
  </si>
  <si>
    <t xml:space="preserve">FRA14</t>
  </si>
  <si>
    <t xml:space="preserve">EUR 1.2 billion</t>
  </si>
  <si>
    <t xml:space="preserve">Decarbonization of industry </t>
  </si>
  <si>
    <t xml:space="preserve">FRA15</t>
  </si>
  <si>
    <t xml:space="preserve">EUR 226 million</t>
  </si>
  <si>
    <t xml:space="preserve">Investment in recycling and reuse (including support for the plastics industry) </t>
  </si>
  <si>
    <t xml:space="preserve">FRA16</t>
  </si>
  <si>
    <t xml:space="preserve">EUR 274 million</t>
  </si>
  <si>
    <t xml:space="preserve">Modernization of sorting / recycling and waste recovery centers</t>
  </si>
  <si>
    <t xml:space="preserve">FRA17</t>
  </si>
  <si>
    <t xml:space="preserve">EUR 400 million</t>
  </si>
  <si>
    <t xml:space="preserve">Acceleration of the transformation of the agricultural sector (organic high environmental value, local products, territorial food projects)</t>
  </si>
  <si>
    <t xml:space="preserve">FRA18</t>
  </si>
  <si>
    <t xml:space="preserve">Plan in favor of protein independence</t>
  </si>
  <si>
    <t xml:space="preserve">FRA19</t>
  </si>
  <si>
    <t xml:space="preserve">EUR 250 million</t>
  </si>
  <si>
    <t xml:space="preserve">Modernization of slaughterhouses and biosecurity in breeding, free-range breeding and animal welfare</t>
  </si>
  <si>
    <t xml:space="preserve">FRA20</t>
  </si>
  <si>
    <t xml:space="preserve">Renewal of agro-equipment</t>
  </si>
  <si>
    <t xml:space="preserve">FRA21</t>
  </si>
  <si>
    <t xml:space="preserve">EUR 200 million</t>
  </si>
  <si>
    <t xml:space="preserve">Forest </t>
  </si>
  <si>
    <t xml:space="preserve">FRA22</t>
  </si>
  <si>
    <t xml:space="preserve">EUR 50 million</t>
  </si>
  <si>
    <t xml:space="preserve">Fishing, aquaculture</t>
  </si>
  <si>
    <t xml:space="preserve">FRA23</t>
  </si>
  <si>
    <t xml:space="preserve">Greening of ports </t>
  </si>
  <si>
    <t xml:space="preserve">FRA24</t>
  </si>
  <si>
    <t xml:space="preserve">Strengthening the resilience of electricity networks </t>
  </si>
  <si>
    <t xml:space="preserve">FRA25</t>
  </si>
  <si>
    <t xml:space="preserve">Develop daily mobility. Includes 200M for bike lanes that is part of 'plan velo".</t>
  </si>
  <si>
    <t xml:space="preserve">see Plan velo above</t>
  </si>
  <si>
    <t xml:space="preserve">FRA26</t>
  </si>
  <si>
    <t xml:space="preserve">EUR  4.7 billion</t>
  </si>
  <si>
    <t xml:space="preserve">Rail (SNCF Réseau aid, rail freight, small lines, network modernization / security)</t>
  </si>
  <si>
    <t xml:space="preserve">FRA27</t>
  </si>
  <si>
    <t xml:space="preserve">EUR 550 million</t>
  </si>
  <si>
    <t xml:space="preserve">Acceleration of work on transport infrastructure </t>
  </si>
  <si>
    <t xml:space="preserve">FRA28</t>
  </si>
  <si>
    <t xml:space="preserve">Support for demand for clean vehicles from the automotive plan (bonus, conversion bonus) </t>
  </si>
  <si>
    <t xml:space="preserve">Listed as part of France Relance plan, continuation of the 'plan automobile" (FRA2 and FRA3)</t>
  </si>
  <si>
    <t xml:space="preserve">FRA29</t>
  </si>
  <si>
    <t xml:space="preserve">EUR 180 million</t>
  </si>
  <si>
    <t xml:space="preserve">Greening of the State vehicle fleet </t>
  </si>
  <si>
    <t xml:space="preserve">FRA30</t>
  </si>
  <si>
    <t xml:space="preserve">EUR 2 billion</t>
  </si>
  <si>
    <t xml:space="preserve">Develop low-carbon hydrogen</t>
  </si>
  <si>
    <t xml:space="preserve">see Stratégie nationale pour le développement de l'hydrogène décarboné en France (EUR 7 billion up to 2030 including 2 over two years)</t>
  </si>
  <si>
    <t xml:space="preserve">FRA31</t>
  </si>
  <si>
    <t xml:space="preserve">Nuclear: skills development, industrial investments, modernization in subcontracting </t>
  </si>
  <si>
    <t xml:space="preserve">FRA32</t>
  </si>
  <si>
    <t xml:space="preserve">EUR 2.6 billion</t>
  </si>
  <si>
    <t xml:space="preserve">Support plans for the aeronautics and automotive sectors </t>
  </si>
  <si>
    <t xml:space="preserve">FRA33</t>
  </si>
  <si>
    <t xml:space="preserve">EUR 3.4 billion</t>
  </si>
  <si>
    <t xml:space="preserve">Support for the development of key markets in green technologies: hydrogen, recycling and reincorporation of recycled materials, bio-sourced products and biofuels, agro-equipment for ecological transition, decarbonization of industry (PIA)</t>
  </si>
  <si>
    <t xml:space="preserve">https://www.gouvernement.fr/sites/default/files/contenu/piece-jointe/2020/09/fiches_intro_thematiques_pia_4.pdf</t>
  </si>
  <si>
    <t xml:space="preserve">FRA34</t>
  </si>
  <si>
    <t xml:space="preserve">EUR 2.5 billion</t>
  </si>
  <si>
    <t xml:space="preserve">New Climate products from Bpifrance</t>
  </si>
  <si>
    <t xml:space="preserve">DEU1</t>
  </si>
  <si>
    <t xml:space="preserve">DEU</t>
  </si>
  <si>
    <t xml:space="preserve">0 EUR</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</si>
  <si>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</si>
  <si>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 xml:space="preserve">https://www.bundesfinanzministerium.de/Content/DE/Standardartikel/Themen/Schlaglichter/Konjunkturpaket/2020-06-03-eckpunktepapier.pdf?__blob=publicationFile</t>
  </si>
  <si>
    <t xml:space="preserve">DEU2</t>
  </si>
  <si>
    <t xml:space="preserve">2000000000 EUR</t>
  </si>
  <si>
    <t xml:space="preserve">Financial top up of building refurbishment program for 2020 and 2021</t>
  </si>
  <si>
    <t xml:space="preserve">DEU3</t>
  </si>
  <si>
    <t xml:space="preserve">1000000000 EUR</t>
  </si>
  <si>
    <t xml:space="preserve">1 billion-euro investment to help aircraft cut carbon dioxide emissions by 30%</t>
  </si>
  <si>
    <t xml:space="preserve">https://www.bloomberg.com/news/articles/2020-06-05/germany-s-recovery-fund-gets-green-hue-with-its-focus-on-climate</t>
  </si>
  <si>
    <t xml:space="preserve">DEU4</t>
  </si>
  <si>
    <t xml:space="preserve">9000000000 EUR</t>
  </si>
  <si>
    <t xml:space="preserve">9 billion euros through 2040 to build 15 gigawatts of clean hydrogen capacity.</t>
  </si>
  <si>
    <t xml:space="preserve">DEU5</t>
  </si>
  <si>
    <t xml:space="preserve">700000000 EUR</t>
  </si>
  <si>
    <t xml:space="preserve">700 Million euro to maintain and promote sustainable forestry management, including digitisation of forestry sector and support to investments in modern machinery. </t>
  </si>
  <si>
    <t xml:space="preserve">DEU6</t>
  </si>
  <si>
    <t xml:space="preserve">5000000000 EUR</t>
  </si>
  <si>
    <t xml:space="preserve"> Support to Deutsche Bahn national railway; directed more at propping up distressed operations than reshaping the future of mass transit.</t>
  </si>
  <si>
    <t xml:space="preserve">DEU7</t>
  </si>
  <si>
    <t xml:space="preserve">11000000000 EUR</t>
  </si>
  <si>
    <t xml:space="preserve">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t>
  </si>
  <si>
    <t xml:space="preserve">DEU8</t>
  </si>
  <si>
    <t xml:space="preserve">1200000000 EUR</t>
  </si>
  <si>
    <t xml:space="preserve">Investment in bus and truck modernisation program plus increase of financial support for electric buses and charging infrastructure to increase demand for e-buses </t>
  </si>
  <si>
    <t xml:space="preserve">DEU9</t>
  </si>
  <si>
    <t xml:space="preserve">Injection of new money into research programs to make shipping cleaner: development of new program for new government fleets and LNG refueling; also includes river bank refurbishment and lock modernisation. </t>
  </si>
  <si>
    <t xml:space="preserve">DEU10</t>
  </si>
  <si>
    <t xml:space="preserve">2 500 000 000 EUR</t>
  </si>
  <si>
    <t xml:space="preserve">Additional 2,5 bn Euro to support charging infrastructure for Evs and support R&amp;D in electric mobility and battery manufacturing </t>
  </si>
  <si>
    <t xml:space="preserve">DEU11</t>
  </si>
  <si>
    <t xml:space="preserve">2 000 000 EUR</t>
  </si>
  <si>
    <t xml:space="preserve">Help switch social services/ charities to use electric vehicles in cities, limited to 2020 and 2021.</t>
  </si>
  <si>
    <t xml:space="preserve">DEU12</t>
  </si>
  <si>
    <t xml:space="preserve">to support investment in future technologies, for automobile manufacturing firms and their suppliers during 2020 and 2021</t>
  </si>
  <si>
    <t xml:space="preserve">DEU13</t>
  </si>
  <si>
    <t xml:space="preserve">2300000000 EUR</t>
  </si>
  <si>
    <t xml:space="preserve">Doubling of subsidy when buying EV of up to 40.000 Euro; limited to December 2021. Buying limit to benefit from tax rate of 0.25% for EV for professional use will increase from 40,000 to 60,000</t>
  </si>
  <si>
    <t xml:space="preserve">DEU14</t>
  </si>
  <si>
    <t xml:space="preserve">Motor vehicle tax for cars will be based more on CO2-emissions. In addition, existing motor vehicle tax break for pure Evs will apply to 2025 and extended to end of 2030. </t>
  </si>
  <si>
    <t xml:space="preserve">DEU15</t>
  </si>
  <si>
    <t xml:space="preserve">3000000 EUR</t>
  </si>
  <si>
    <t xml:space="preserve">Expansion of project based research (SINTEG program and existing research labs) with focus on energy transition and specifically disruptive technologies in energy systems (specifically digitisation and sectoral coupling) </t>
  </si>
  <si>
    <t xml:space="preserve">DEU16</t>
  </si>
  <si>
    <t xml:space="preserve">550000000 EUR</t>
  </si>
  <si>
    <t xml:space="preserve">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</si>
  <si>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 xml:space="preserve">http://condor-newsroom.condor.com/en/de/news-article/condor-federal-government-and-hessian-state-government-pledge-guarantee/ Accessed 22 June 2020</t>
  </si>
  <si>
    <t xml:space="preserve">DEU17</t>
  </si>
  <si>
    <t xml:space="preserve">1800000000 EUR</t>
  </si>
  <si>
    <t xml:space="preserve">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</si>
  <si>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 xml:space="preserve">https://www.tuigroup.com/en-en/media/press-releases/2020/2020-03-27-tui-ag-german-federal-government-approves-kfw-bridge-loan Accessed 9 July 2020</t>
  </si>
  <si>
    <t xml:space="preserve">DEU18</t>
  </si>
  <si>
    <t xml:space="preserve">Lufthansa will receive a EUR 9 billion bailout in exchange for the state taking a 20% share in the airline company. This deal has been approved by Lufthansa stakeholders.</t>
  </si>
  <si>
    <t xml:space="preserve">https://www.dw.com/en/lufthansa-bailout-package-overwhelmingly-backed-by-shareholders/a-53936823 Accessed 2 July 2020</t>
  </si>
  <si>
    <t xml:space="preserve">DEU19</t>
  </si>
  <si>
    <t xml:space="preserve">This measure refers to the one billion euros committed to finance innovation and transformation in Germany’s leading export industry</t>
  </si>
  <si>
    <t xml:space="preserve">https://de.reuters.com/article/us-germany-autos/germany-to-up-financial-aid-for-cars-sector-government-sources-idUSKBN27X1S7</t>
  </si>
  <si>
    <t xml:space="preserve">DEU20</t>
  </si>
  <si>
    <t xml:space="preserve">Truck scrappage scheme</t>
  </si>
  <si>
    <t xml:space="preserve">https://de.reuters.com/article/us-germany-autos/germany-to-up-financial-aid-for-cars-sector-government-sources-idUSKBN27X1S8</t>
  </si>
  <si>
    <t xml:space="preserve">DEU21</t>
  </si>
  <si>
    <t xml:space="preserve">To support the development and production of climate-friendly cars as the auto industry grapples with challenges posed by the COVID-19 pandemic and global climate crisis</t>
  </si>
  <si>
    <t xml:space="preserve">https://de.reuters.com/article/us-germany-autos/germany-to-up-financial-aid-for-cars-sector-government-sources-idUSKBN27X1S9</t>
  </si>
  <si>
    <t xml:space="preserve">GRC1</t>
  </si>
  <si>
    <t xml:space="preserve">GRC</t>
  </si>
  <si>
    <t xml:space="preserve">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</si>
  <si>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</si>
  <si>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</si>
  <si>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 xml:space="preserve">26 Oct. 2020</t>
  </si>
  <si>
    <t xml:space="preserve">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</si>
  <si>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</si>
  <si>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 xml:space="preserve">https://covid19.gov.gr/apozimiosi-idikou-skopou-ypsous-800-efro-se-epipleon-160-000-ergazomenous/; https://covid19.gov.gr/diatirisi-ton-theseon-ergasias-stirixi-tou-isodimatos-ton-ergazomenon/</t>
  </si>
  <si>
    <t xml:space="preserve">GRC3</t>
  </si>
  <si>
    <t xml:space="preserve">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</si>
  <si>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</si>
  <si>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 xml:space="preserve">https://covid19.gov.gr/epistreptea-prokatavoli-gia-epichirisis/</t>
  </si>
  <si>
    <t xml:space="preserve">https://covid19.gov.gr/epistreptea-prokatavoli-iii/</t>
  </si>
  <si>
    <t xml:space="preserve">GRC4</t>
  </si>
  <si>
    <t xml:space="preserve">100 mil EUR</t>
  </si>
  <si>
    <t xml:space="preserve">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</si>
  <si>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 xml:space="preserve">https://covid19.gov.gr/systasi-tamiou-engyodosias-os-anexartitis-chrimatodotikis-monadas-sto-plesio-tou-evropaikou-tamiou-ependyseon-gia-ti-veltiosi-prosvasis-ton-epichiriseon-se-chrimatodotisi/</t>
  </si>
  <si>
    <t xml:space="preserve">GRC5</t>
  </si>
  <si>
    <t xml:space="preserve">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</si>
  <si>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</si>
  <si>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 xml:space="preserve">https://covid19.gov.gr/metra-gia-tin-prostasia-tis-naftikis-ergasias-ke-tin-aktoploia/</t>
  </si>
  <si>
    <t xml:space="preserve">GRC6</t>
  </si>
  <si>
    <t xml:space="preserve">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</si>
  <si>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 xml:space="preserve">https://covid19.gov.gr/rythmisis-gia-tin-enischysi-tis-refstotitas-stin-agora-energias/</t>
  </si>
  <si>
    <t xml:space="preserve">GRC7</t>
  </si>
  <si>
    <t xml:space="preserve">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</si>
  <si>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 xml:space="preserve">https://covid19.gov.gr/metra-gia-plia-ypo-elliniki-simea-paratasi-pistopiitikon-plion/</t>
  </si>
  <si>
    <t xml:space="preserve">GRC8</t>
  </si>
  <si>
    <t xml:space="preserve">10 mil EUR</t>
  </si>
  <si>
    <t xml:space="preserve">Greek State aid scheme to support the floriculture primary production sector in the context of the coronavirus outbreak. </t>
  </si>
  <si>
    <t xml:space="preserve">https://ec.europa.eu/commission/presscorner/detail/en/ip_20_809</t>
  </si>
  <si>
    <t xml:space="preserve">GRC9</t>
  </si>
  <si>
    <t xml:space="preserve">Modification of the institutional framework that governs the implementation of the Measures of Aquaculture, Processing and Modernisation of fishing vessels, of the Operational Program of Fisheries &amp; Marine 2014-2020.</t>
  </si>
  <si>
    <t xml:space="preserve">https://covid19.gov.gr/metra-ydatokalliergion-metapiisis-ke-eksygchronismou-alieftikon-skafon-tou-epalth-2014-2020/</t>
  </si>
  <si>
    <t xml:space="preserve">GRC10 </t>
  </si>
  <si>
    <t xml:space="preserve">Additional support to landlords, through the extension of deadlines for payment of certified debts and adjustment installments, the suspension of overdue debt collection and the offset by 25% of certified debts [see also GRC1]</t>
  </si>
  <si>
    <t xml:space="preserve">https://covid19.gov.gr/prostheti-stirixi-stous-ekmisthotes-akiniton-meso-tis-paratasis-ton-prothesmion-katavolis-veveomenon-ofilon-ke-doseon-rythmiseon-tis-anastolis-ispraxis-lixiprothesmon-ofilon-ke-tou-sympsifismou-kat/</t>
  </si>
  <si>
    <t xml:space="preserve">GRC11</t>
  </si>
  <si>
    <t xml:space="preserve">1.25 bil EUR</t>
  </si>
  <si>
    <t xml:space="preserve">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</si>
  <si>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 xml:space="preserve">https://covid19.gov.gr/tamio-engyodosias-tis-ellinikis-anaptyxiakis-trapezas/</t>
  </si>
  <si>
    <t xml:space="preserve">GRC12</t>
  </si>
  <si>
    <t xml:space="preserve">Until 31.10.2020, in the rented furnished rooms - apartments that are adjacent to the shore and the beach, lagoon, lake or navigable river and which operate legally, can be granted access for the simple use of seashore, beach, shore, with payment, without a call for tender.</t>
  </si>
  <si>
    <t xml:space="preserve">https://covid19.gov.gr/ektaktes-rythmisis-gia-tin-parachorisi-aplis-chrisis-egialou-ke-paralias-apoklistika-gia-to-etos-2020-logo-tis-pandimias/</t>
  </si>
  <si>
    <t xml:space="preserve">GRC13</t>
  </si>
  <si>
    <t xml:space="preserve">VAT reduction from 24% to 13% from 1/6 to 31/10. Covers economic activities such as passenger transport (taxis and car rentals with driver)</t>
  </si>
  <si>
    <t xml:space="preserve">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</si>
  <si>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 xml:space="preserve">GRC14</t>
  </si>
  <si>
    <t xml:space="preserve">No cruise ships (of any flag) to sail the Greek seas until 30/7. </t>
  </si>
  <si>
    <t xml:space="preserve">https://covid19.gov.gr/epivoli-tou-metrou-tis-apagorefsis-tou-apoplou-ke-kataplou-krouazieroplion-stin-elliniki-epikratia-pros-periorismo-tis-diadosis-tou-koronoiou/</t>
  </si>
  <si>
    <t xml:space="preserve">GRC15</t>
  </si>
  <si>
    <t xml:space="preserve">No application of Athens' Low Emission Zone ("Green Ring") until 17/7, to ease citizens' mobility to and from city centre (as congestion in public transport should be avoided for health reasons). </t>
  </si>
  <si>
    <t xml:space="preserve">https://covid19.gov.gr/paratasi-tis-arsis-ton-metron-periorismou-kykloforias-daktyliou-sto-kentro-tis-athinas/</t>
  </si>
  <si>
    <t xml:space="preserve">GRC16</t>
  </si>
  <si>
    <t xml:space="preserve">2 mil EUR</t>
  </si>
  <si>
    <t xml:space="preserve">Financial support for viticutlurists/ vineyards' owners who apply early harvest measure (green vintage). Amount under the Nataional Support Programme of the wine sector 2019-2023.</t>
  </si>
  <si>
    <t xml:space="preserve">https://covid19.gov.gr/enischysis-ston-abeloiniko-klado/</t>
  </si>
  <si>
    <t xml:space="preserve">GRC17</t>
  </si>
  <si>
    <t xml:space="preserve">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</si>
  <si>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</si>
  <si>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 xml:space="preserve">GRC18</t>
  </si>
  <si>
    <t xml:space="preserve">Employment under short-term contracts of staff to support public transport network in Athens, due to changes in the public transport network because of COVID-19</t>
  </si>
  <si>
    <t xml:space="preserve">http://www.et.gr/idocs-nph/search/pdfViewerForm.html?args=5C7QrtC22wHUdWr4xouZundtvSoClrL8px6_ZGPuoJd5MXD0LzQTLWPU9yLzB8V68knBzLCmTXKaO6fpVZ6Lx3UnKl3nP8NxdnJ5r9cmWyJWelDvWS_18kAEhATUkJb0x1LIdQ163nV9K--td6SIuXrn8Mg45lE9ZYf7ayLuuO7PjIic4H7FyDjm3adeW2MX</t>
  </si>
  <si>
    <t xml:space="preserve">GRC19</t>
  </si>
  <si>
    <t xml:space="preserve">Co-operation between Athens Urban Transport Organisation S.A. and KTEL (intercity public transport bus service) to provide additional buses as certain routes are crowded. Main reason is health protection and safeguarding passengers from COVID infection.</t>
  </si>
  <si>
    <t xml:space="preserve">https://covid19.gov.gr/synergasia-oasa-ktel-me-stocho-tin-aposymforisi-sta-mesa-metaforas-kai-ti-meiosi-ton-chronoapostaseon/</t>
  </si>
  <si>
    <t xml:space="preserve">http://www.oasa.gr/news.php?id=funk2216</t>
  </si>
  <si>
    <t xml:space="preserve">Measure not directly targeting environment or environmental health; however, improving public transport services could support passengers' shift from private car use to public transport use</t>
  </si>
  <si>
    <t xml:space="preserve">GRC20</t>
  </si>
  <si>
    <t xml:space="preserve">850 mil EUR</t>
  </si>
  <si>
    <t xml:space="preserve">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</si>
  <si>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 xml:space="preserve">http://www.ypeka.gr/Portals/0/Arxiki/20201013-Exoikonomw-Aytonomw.pdf</t>
  </si>
  <si>
    <t xml:space="preserve">Measure is part of the National Energy and Climate Plan presented in November 2019 (pre-exists COVID-19 and measures). Programme was already scheduled. It has been revisited due to COVID-19, providing additional 10% financing for energy efficiency of buildings. </t>
  </si>
  <si>
    <t xml:space="preserve">GRC21</t>
  </si>
  <si>
    <t xml:space="preserve">63.5 mil EUR</t>
  </si>
  <si>
    <t xml:space="preserve">Programme "Moving Electrically". Promotion of electric mobility by financially supporting the purchase of electric vehicles (private cars for personal or professional use, taxis), and the development of "smart" house infrastructure for charging EV. Programme for 2020.</t>
  </si>
  <si>
    <t xml:space="preserve">https://kinoumeilektrika.gov.gr/filehelp/document-fek.pdf</t>
  </si>
  <si>
    <t xml:space="preserve">Measure is part of the National Energy and Climate Plan presented in November 2019 (pre-exists COVID-19 and measures). Programme was already scheduled. </t>
  </si>
  <si>
    <t xml:space="preserve">GRC22</t>
  </si>
  <si>
    <t xml:space="preserve">391 mln EUR</t>
  </si>
  <si>
    <t xml:space="preserve">National Reforestation Program to support climate mitigation, biodiversity and ecosystem restoration. EU funded programme to run for the period 2020-2030. Total estimated budget for the 10-year period: 703,998,00 EUR, of which 309 mil. EUR from the Recovery and Resilience Facility and 391 mil. EUR from the Greek National Strategic Reference Framework, the EU Rural Development Programme etc. </t>
  </si>
  <si>
    <t xml:space="preserve">http://www.opengov.gr/minfin/wp-content/uploads/downloads/2020/11/Greece-RRP-EN-1.pdf</t>
  </si>
  <si>
    <t xml:space="preserve">The project is part of the draft National Recovery and Resilience Plan. </t>
  </si>
  <si>
    <t xml:space="preserve">GRC23</t>
  </si>
  <si>
    <t xml:space="preserve">356 mln EUR</t>
  </si>
  <si>
    <t xml:space="preserve">Interconnection of the island of Crete to the mainland's power grid. EU Greece co-financing and EIB loan</t>
  </si>
  <si>
    <t xml:space="preserve">This project is in the context of the overall project of the interconnection of non-connected islands to the mainland's grid, which is part of the National Energy and Climate Plan , as well as part of the draft National Recovery and Resilience Plan. </t>
  </si>
  <si>
    <t xml:space="preserve">HUN1</t>
  </si>
  <si>
    <t xml:space="preserve">HUN</t>
  </si>
  <si>
    <t xml:space="preserve">32 bn HUF</t>
  </si>
  <si>
    <t xml:space="preserve">Employers who have employees working in R&amp;D receive 40% salary support for three months </t>
  </si>
  <si>
    <t xml:space="preserve">Hungarian Parliament: https://www.parlament.hu/irom41/10735/10735.pdf</t>
  </si>
  <si>
    <t xml:space="preserve">HUF</t>
  </si>
  <si>
    <t xml:space="preserve">HUN2</t>
  </si>
  <si>
    <t xml:space="preserve">7 bn HUF</t>
  </si>
  <si>
    <t xml:space="preserve">Support for the technological change in the plastic industry</t>
  </si>
  <si>
    <t xml:space="preserve">https://www.palyazat.gov.hu/ginop-1213-20-az-egyszer-hasznlatos-s-egyb-manyagtermkek-forgalomba-hozatalnak-korltozsval-rintett-valamint-az-ezeket-helyettest-termkek-gyrtsval-foglalkoz-vllalkozsok-technolgiavltsnak-s-kapacitsbvtsnek-tmogatsa-2#</t>
  </si>
  <si>
    <t xml:space="preserve">HUN3</t>
  </si>
  <si>
    <t xml:space="preserve">7.3 bn HUF</t>
  </si>
  <si>
    <t xml:space="preserve">Energy efficiency microentreprises and SMEs to receive support for technology development</t>
  </si>
  <si>
    <t xml:space="preserve">HUN4</t>
  </si>
  <si>
    <t xml:space="preserve">Structural digital training </t>
  </si>
  <si>
    <t xml:space="preserve">HUN5</t>
  </si>
  <si>
    <t xml:space="preserve">140 bn HUF</t>
  </si>
  <si>
    <t xml:space="preserve">Priority public road projects </t>
  </si>
  <si>
    <t xml:space="preserve">https://www.portfolio.hu/en/economy/20200702/hungarian-government-exhausts-coronavirus-war-chest-in-no-time-439652</t>
  </si>
  <si>
    <t xml:space="preserve">HUN6</t>
  </si>
  <si>
    <t xml:space="preserve">24 bn HUF</t>
  </si>
  <si>
    <t xml:space="preserve">Renewal of public road projects </t>
  </si>
  <si>
    <t xml:space="preserve">HUN7</t>
  </si>
  <si>
    <t xml:space="preserve">82.1 bn HUF</t>
  </si>
  <si>
    <t xml:space="preserve">Budapest-Belgrade rail line development (2020-2025) </t>
  </si>
  <si>
    <t xml:space="preserve">http://njt.hu/cgi_bin/njt_doc.cgi?docid=219509.383053; https://www.portfolio.hu/en/economy/20200702/hungarian-government-exhausts-coronavirus-war-chest-in-no-time-439653</t>
  </si>
  <si>
    <t xml:space="preserve">HUN8</t>
  </si>
  <si>
    <t xml:space="preserve">126.7 bn HUF</t>
  </si>
  <si>
    <t xml:space="preserve">Reimbursement of the costs of public passenger transport by bus </t>
  </si>
  <si>
    <t xml:space="preserve">https://www.portfolio.hu/en/economy/20200715/hungarian-govt-reallocates-huf-300-billion-from-economic-protection-fund-441326</t>
  </si>
  <si>
    <t xml:space="preserve">078/01/2021</t>
  </si>
  <si>
    <t xml:space="preserve">HUN9</t>
  </si>
  <si>
    <t xml:space="preserve">24.6 bn HUF</t>
  </si>
  <si>
    <t xml:space="preserve">Expenses relating to the termination of the cushion gas contract </t>
  </si>
  <si>
    <t xml:space="preserve">https://www.portfolio.hu/en/economy/20200715/hungarian-govt-reallocates-huf-300-billion-from-economic-protection-fund-441327</t>
  </si>
  <si>
    <t xml:space="preserve">HUN10</t>
  </si>
  <si>
    <t xml:space="preserve">22 bn HUF</t>
  </si>
  <si>
    <t xml:space="preserve">Hungarian Village Programme, village road fund </t>
  </si>
  <si>
    <t xml:space="preserve">https://www.portfolio.hu/en/economy/20200715/hungarian-govt-reallocates-huf-300-billion-from-economic-protection-fund-441328</t>
  </si>
  <si>
    <t xml:space="preserve">HUN11</t>
  </si>
  <si>
    <t xml:space="preserve">46 bn HUF</t>
  </si>
  <si>
    <t xml:space="preserve">Support for the National Coordination of Waste Management and Asset Management Plc </t>
  </si>
  <si>
    <t xml:space="preserve">https://www.portfolio.hu/en/economy/20200715/hungarian-govt-reallocates-huf-300-billion-from-economic-protection-fund-441329</t>
  </si>
  <si>
    <t xml:space="preserve">HUN12</t>
  </si>
  <si>
    <t xml:space="preserve">15.1 bn HUF</t>
  </si>
  <si>
    <t xml:space="preserve">Capital increase in nuclear power plant Paks II. Atomerőmű Zrt </t>
  </si>
  <si>
    <t xml:space="preserve">https://www.portfolio.hu/en/economy/20200715/hungarian-govt-reallocates-huf-300-billion-from-economic-protection-fund-441330</t>
  </si>
  <si>
    <t xml:space="preserve">HUN13</t>
  </si>
  <si>
    <t xml:space="preserve">31.04 bn HUF</t>
  </si>
  <si>
    <t xml:space="preserve">Settlement of the previous reimbursement of the costs of railway passenger transport</t>
  </si>
  <si>
    <t xml:space="preserve">https://www.portfolio.hu/en/economy/20200715/hungarian-govt-reallocates-huf-300-billion-from-economic-protection-fund-441331</t>
  </si>
  <si>
    <t xml:space="preserve">HUN14</t>
  </si>
  <si>
    <t xml:space="preserve">231.3 bn HUF</t>
  </si>
  <si>
    <t xml:space="preserve">Reimbursement of the costs of railway passenger transport public services</t>
  </si>
  <si>
    <t xml:space="preserve">https://www.portfolio.hu/en/economy/20200715/hungarian-govt-reallocates-huf-300-billion-from-economic-protection-fund-441332</t>
  </si>
  <si>
    <t xml:space="preserve">HUN15</t>
  </si>
  <si>
    <t xml:space="preserve">4.9 bn HUF</t>
  </si>
  <si>
    <t xml:space="preserve">Reimbursement of the costs of operating Hungary's railway network</t>
  </si>
  <si>
    <t xml:space="preserve">https://www.portfolio.hu/en/economy/20200715/hungarian-govt-reallocates-huf-300-billion-from-economic-protection-fund-441333</t>
  </si>
  <si>
    <t xml:space="preserve">HUN16</t>
  </si>
  <si>
    <t xml:space="preserve">43.6 bn HUF</t>
  </si>
  <si>
    <t xml:space="preserve">Support for regional water services companies</t>
  </si>
  <si>
    <t xml:space="preserve">https://www.portfolio.hu/en/economy/20200715/hungarian-govt-reallocates-huf-300-billion-from-economic-protection-fund-441334</t>
  </si>
  <si>
    <t xml:space="preserve">HUN17</t>
  </si>
  <si>
    <t xml:space="preserve">136 bn HUF</t>
  </si>
  <si>
    <t xml:space="preserve">The winning enterprises will be able to spend the 10-629.3 million forints (EUR 27.8 thousand -1.75 million) in funding to, amongst others, procure new equipment, invest in infrastructural and property development projects, develop technological systems such as RE technology and use of cloud services. </t>
  </si>
  <si>
    <t xml:space="preserve">https://www.kormany.hu/en/ministry-for-national-economy/news/over-seven-billion-forints-in-funding-for-green-enterprises</t>
  </si>
  <si>
    <t xml:space="preserve">HUN18</t>
  </si>
  <si>
    <t xml:space="preserve">5 bn HUF</t>
  </si>
  <si>
    <t xml:space="preserve">Subsidy given to electric vehicles (EV) - total framework subsidy of 5 billion HUF = approx. 17 million USD</t>
  </si>
  <si>
    <t xml:space="preserve">https://ceenergynews.com/finance/hungarian-government-to-announce-further-subsidies-for-e-mobility/</t>
  </si>
  <si>
    <t xml:space="preserve">HUN19</t>
  </si>
  <si>
    <t xml:space="preserve">NA</t>
  </si>
  <si>
    <t xml:space="preserve">The deadline for taxi drivers (companies) to scrap older cars for newer ones is extended to the end of 2022</t>
  </si>
  <si>
    <t xml:space="preserve">https://kormany.hu/hirek/meghosszabbodik-taxisokra-vonatkozo-szemelygepjarmu-csere-hatarideje</t>
  </si>
  <si>
    <t xml:space="preserve">HUN20</t>
  </si>
  <si>
    <t xml:space="preserve">13 bn HUF</t>
  </si>
  <si>
    <t xml:space="preserve">Clean up campaign against illegal waste</t>
  </si>
  <si>
    <t xml:space="preserve">1598/2020. (IX. 21.) Government Resolution on the first phase of the project to clean up illegal landfills, “Clean the Country!” to be implemented in 2020</t>
  </si>
  <si>
    <t xml:space="preserve">https://index.hu/belfold/2020/10/27/gazdasag_kornyezetvedelem_belfold_tisztitsuk_meg_az_orszagot/</t>
  </si>
  <si>
    <t xml:space="preserve">HUN21</t>
  </si>
  <si>
    <t xml:space="preserve">36 bn HUF</t>
  </si>
  <si>
    <t xml:space="preserve">Subsidies for electric buses as well as support for manufacturers of equipment relevant for electric buses (i.e. storage, recharge equipment)</t>
  </si>
  <si>
    <t xml:space="preserve">https://ceenergynews.com/transport/hungarian-government-to-launch-green-bus-program/</t>
  </si>
  <si>
    <t xml:space="preserve">HUN22</t>
  </si>
  <si>
    <t xml:space="preserve">Increasing the domestic share of raw materials used in public catering</t>
  </si>
  <si>
    <t xml:space="preserve">https://magyarkozlony.hu/hivatalos-lapok/tMkTed9rU4L8GJ85RJmk5fe3ba8f5a9e6/dokumentumok/859e519d6c6249e6fb9f896bca0f5a928ddcb983/letoltes</t>
  </si>
  <si>
    <t xml:space="preserve">Initiated by the Economic Protection Operative Unit which was tasked to propose economic and administrative measures for the recovery</t>
  </si>
  <si>
    <t xml:space="preserve">HUN23</t>
  </si>
  <si>
    <t xml:space="preserve">Possibility to extend the shelf-life of food</t>
  </si>
  <si>
    <t xml:space="preserve">HUN24</t>
  </si>
  <si>
    <t xml:space="preserve">Modification of authorization and evaluation of plant protection products, the removal and simplification of compulsory notification</t>
  </si>
  <si>
    <t xml:space="preserve">HUN25</t>
  </si>
  <si>
    <t xml:space="preserve">Review of soil protection planning and authorization procedures related to irrigation</t>
  </si>
  <si>
    <t xml:space="preserve">HUN26</t>
  </si>
  <si>
    <t xml:space="preserve">Simplification of feed authorization and registration procedures</t>
  </si>
  <si>
    <t xml:space="preserve">HUN27</t>
  </si>
  <si>
    <t xml:space="preserve">Expanding sales opportunities for small food producers</t>
  </si>
  <si>
    <t xml:space="preserve">HUN28</t>
  </si>
  <si>
    <t xml:space="preserve">3.3 bn HUF</t>
  </si>
  <si>
    <t xml:space="preserve">Support for the modernization of SMEs (GINOP-1.2.8-20)</t>
  </si>
  <si>
    <t xml:space="preserve">https://www.palyazat.gov.hu/ginop-128-20-a-mikro-kis-s-kzpvllalkozsok-modern-zleti-s-termelsi-kihvsokhoz-val-alkalmazkodst-segt-fejlesztsek-tmogatsa-1</t>
  </si>
  <si>
    <t xml:space="preserve">HUN29</t>
  </si>
  <si>
    <t xml:space="preserve">18.8 bn HUF</t>
  </si>
  <si>
    <t xml:space="preserve">Support for the modernization of SMEs (VEKOP-1.2.6-20)</t>
  </si>
  <si>
    <t xml:space="preserve">https://www.palyazat.gov.hu/vekop-126-20-a-mikro-kis-s-kzpvllalkozsok-modern-zleti-s-termelsi-kihvsokhoz-val-alkalmazkodst-segt-fejlesztsek-tmogatsa-1</t>
  </si>
  <si>
    <t xml:space="preserve">HUN30</t>
  </si>
  <si>
    <t xml:space="preserve">Support for developments in the fashion and design industry (GINOP-1.2.14-20)</t>
  </si>
  <si>
    <t xml:space="preserve">https://www.palyazat.gov.hu/ginop-1214-20-divat-s-dizjnipari-mikro-kis-s-kzpvllalkozsok-modern-zleti-s-termelsi-kihvsokhoz-val-alkalmazkodst-segt-fejlesztsek-tmogatsa-1</t>
  </si>
  <si>
    <t xml:space="preserve">HUN31</t>
  </si>
  <si>
    <t xml:space="preserve">3 bn HUF</t>
  </si>
  <si>
    <t xml:space="preserve">Support for developments in the fashion and design industry (VEKOP-1.2.7.20)</t>
  </si>
  <si>
    <t xml:space="preserve">https://www.palyazat.gov.hu/vekop-127-20-divat-s-dizjnipari-mikro-kis-s-kzpvllalkozsok-modern-zleti-s-termelsi-kihvsokhoz-val-alkalmazkodst-segt-fejlesztsek-tmogatsa-1</t>
  </si>
  <si>
    <t xml:space="preserve">ISL1</t>
  </si>
  <si>
    <t xml:space="preserve">ISL</t>
  </si>
  <si>
    <t xml:space="preserve">Reimbursement of VAT on labour for work carried out at a residential construction site will temporarily be increased from 60% to 100%. The authorisation will also extend to vacation property and to design or supervision.</t>
  </si>
  <si>
    <t xml:space="preserve">https://www.government.is/topics/economic-affairs-and-public-finances/measures-in-response-to-covid19/#Tab3</t>
  </si>
  <si>
    <t xml:space="preserve">ISL2</t>
  </si>
  <si>
    <t xml:space="preserve">less than 1.1 bn ISK</t>
  </si>
  <si>
    <t xml:space="preserve">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</si>
  <si>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 xml:space="preserve">https://home.kpmg/xx/en/home/insights/2020/04/iceland-tax-developments-in-response-to-covid-19.html</t>
  </si>
  <si>
    <t xml:space="preserve">ISK</t>
  </si>
  <si>
    <t xml:space="preserve">ISL3</t>
  </si>
  <si>
    <t xml:space="preserve">..</t>
  </si>
  <si>
    <t xml:space="preserve">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t>
  </si>
  <si>
    <t xml:space="preserve">https://www.government.is/news/article/?newsid=5a7b7cb1-83f7-11ea-9467-005056bc4d74</t>
  </si>
  <si>
    <t xml:space="preserve">ISL4</t>
  </si>
  <si>
    <t xml:space="preserve">ISK 250 million top-up, adding up to ISK 628 million for 2021</t>
  </si>
  <si>
    <t xml:space="preserve">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</si>
  <si>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</si>
  <si>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 xml:space="preserve">ISL5</t>
  </si>
  <si>
    <t xml:space="preserve">ISK 4.5 billion total (ISK 1.7 billion on circular economy measures; ISK 2.8 billion on sewerage improvements)</t>
  </si>
  <si>
    <t xml:space="preserve">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</si>
  <si>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 xml:space="preserve">https://www.stjornarradid.is/efst-a-baugi/frettir/stok-frett/2020/10/13/4-5-milljardar-i-eflingu-hringrasarhagkerfis-og-urbaetur-i-fraveitumalum/</t>
  </si>
  <si>
    <t xml:space="preserve">ISL6</t>
  </si>
  <si>
    <t xml:space="preserve">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</si>
  <si>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</si>
  <si>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 xml:space="preserve">https://www.stjornarradid.is/efst-a-baugi/frettir/stok-frett/2020/10/13/3-milljarda-krona-aukning-til-loftslagsmala/</t>
  </si>
  <si>
    <t xml:space="preserve">IRL1</t>
  </si>
  <si>
    <t xml:space="preserve">IRL</t>
  </si>
  <si>
    <t xml:space="preserve">440 million Euros</t>
  </si>
  <si>
    <t xml:space="preserve">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</si>
  <si>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 xml:space="preserve">https://www.gov.ie/en/press-release/946d8-minister-donohoe-announces-details-of-tax-measures-contained-in-the-july-stimulus-plan/ </t>
  </si>
  <si>
    <t xml:space="preserve">IRL2</t>
  </si>
  <si>
    <t xml:space="preserve">€42 million ( as part of a €115 million investment in sustainable mobility)</t>
  </si>
  <si>
    <t xml:space="preserve">Cycle to Work Scheme
The allowable expenditure will be increased from €1000 to €1500 in respect of "ebikes" and €1250 in respect of bicycles.  The scheme currently allows the purchase of a new bicycle every 5 years and this will be reducd to every 4 years.</t>
  </si>
  <si>
    <t xml:space="preserve">IRL3</t>
  </si>
  <si>
    <t xml:space="preserve">2 billion Euros</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</si>
  <si>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</si>
  <si>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 xml:space="preserve">https://isif.ie/pandemic-stabilisation-and-recovery-fund</t>
  </si>
  <si>
    <t xml:space="preserve">https://isif.ie/uploads/publications/PSRF-GUIDE-PUBLISHED.pdf</t>
  </si>
  <si>
    <t xml:space="preserve">IRL4</t>
  </si>
  <si>
    <t xml:space="preserve">2.35 billion Euros</t>
  </si>
  <si>
    <t xml:space="preserve">Employment Wage Subsidy Scheme (this will replace the Gemporary Wage Subsidy Scheme (TWSS) as from 1 September 2020 to 31 March 2021.  The TWSS and EWSS will run in parallel from 31 July until the TWSS ends at the end of August.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t>
  </si>
  <si>
    <t xml:space="preserve">IRL5</t>
  </si>
  <si>
    <t xml:space="preserve">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Incentive is for the period 1 October 2020 to 30 April 2021</t>
  </si>
  <si>
    <t xml:space="preserve">IRL6</t>
  </si>
  <si>
    <t xml:space="preserve">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t>
  </si>
  <si>
    <t xml:space="preserve">IRL7</t>
  </si>
  <si>
    <t xml:space="preserve">150 million Euros</t>
  </si>
  <si>
    <t xml:space="preserve">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</si>
  <si>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 xml:space="preserve">IRL8</t>
  </si>
  <si>
    <t xml:space="preserve">18 million Euros</t>
  </si>
  <si>
    <t xml:space="preserve">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It will expire on 31 December 2020. All other parameters of the scheme will remain the same.</t>
  </si>
  <si>
    <t xml:space="preserve">IRL9</t>
  </si>
  <si>
    <t xml:space="preserve">Legislative basis for the warehousing of tax liabiilities
This will allow for businesses affected by COVID-19 to delay payment of their PAYE and VAT debts in part of in full for a set period with no interest or penalities (this measure was announced in May and currently being operated by Revenue Commissioners pending legislation).</t>
  </si>
  <si>
    <t xml:space="preserve">IRL10</t>
  </si>
  <si>
    <t xml:space="preserve">Reduuction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t>
  </si>
  <si>
    <t xml:space="preserve">https://www.gov.ie/en/press-release/946d8-minister-donohoe-announces-details-of-tax-measures-contained-in-the-july-stimulus-plan/ </t>
  </si>
  <si>
    <t xml:space="preserve">IRL 11</t>
  </si>
  <si>
    <t xml:space="preserve">€25 million</t>
  </si>
  <si>
    <t xml:space="preserve">Grants up to 50% of capital investment in the COVID Life Sciences Products Scheme to aid the research, development and production of medicinal products in Ireland that are used in the fight against COVID-19</t>
  </si>
  <si>
    <t xml:space="preserve">https://dbei.gov.ie/en/News-And-Events/Department-News/2020/June/04062020b.html</t>
  </si>
  <si>
    <t xml:space="preserve">IRL 12</t>
  </si>
  <si>
    <t xml:space="preserve">19,000 places on the government's Skills to Complete programme to be used to support people developing skills and attain qualifications for emering growth sectors and occupations</t>
  </si>
  <si>
    <t xml:space="preserve">Many green sectors are considered emering and growing</t>
  </si>
  <si>
    <t xml:space="preserve">IRL 13</t>
  </si>
  <si>
    <t xml:space="preserve">€10 million</t>
  </si>
  <si>
    <t xml:space="preserve">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t>
  </si>
  <si>
    <t xml:space="preserve">https://www.epa.ie/researchandeducation/research/epafunding/greenenterprise/</t>
  </si>
  <si>
    <t xml:space="preserve">IRL 14</t>
  </si>
  <si>
    <t xml:space="preserve">€10 million added to the already €30 million in the scheme</t>
  </si>
  <si>
    <t xml:space="preserve">An increase of €10 million in funding for the Seed and Venture Capital sector though Enterprise Ireland as a top-up to existing funds and leveraging a combined additional pool of €55 million, as part of the commitment to innovation driven enterprises</t>
  </si>
  <si>
    <t xml:space="preserve">https://www.enterprise-ireland.com/en/Invest-in-Emerging-Companies/Seed-and-Venture-Capital-Scheme/</t>
  </si>
  <si>
    <t xml:space="preserve">IRL 15</t>
  </si>
  <si>
    <t xml:space="preserve">€100 million</t>
  </si>
  <si>
    <t xml:space="preserve">Better Energy Homes Scheme.  Grant for the following energy-saving and renewable solutions (to be retrofitted into older dwellings):  Attic insulation, Wall insulation, Heating controls upgrade, Solar therman solultions, Heat pump systems.</t>
  </si>
  <si>
    <t xml:space="preserve">https://www.citizensinformation.ie/en/housing/housing_grants_and_schemes/home_energy_saving_scheme.html#</t>
  </si>
  <si>
    <t xml:space="preserve">https://assets.gov.ie/81556/d4fa4cc4-7e9f-4431-8540-a9ecb7126505.pdf</t>
  </si>
  <si>
    <t xml:space="preserve">Data from draft EPR of Ireland</t>
  </si>
  <si>
    <t xml:space="preserve">IRL 16</t>
  </si>
  <si>
    <t xml:space="preserve">€40 million ( as part of a €115 million investment in sustainable mobility)</t>
  </si>
  <si>
    <t xml:space="preserve">Allocated to local authorities to improve pedestrian infrastructure across the country</t>
  </si>
  <si>
    <t xml:space="preserve">https://platform2020redesign.org/countries/ireland/</t>
  </si>
  <si>
    <t xml:space="preserve">IRL 17</t>
  </si>
  <si>
    <t xml:space="preserve">€2 million ( as part of a €115 million investment in sustainable mobility)</t>
  </si>
  <si>
    <t xml:space="preserve">Support new and expanded bus services in rural and urban areas.</t>
  </si>
  <si>
    <t xml:space="preserve">IRL 18</t>
  </si>
  <si>
    <t xml:space="preserve">€21 million ( as part of a €115 million investment in sustainable mobility)</t>
  </si>
  <si>
    <t xml:space="preserve">Support improving rail journeys, primarily an enhanced programme of track relaying on the main inter-urban route between Dublin and Cork to facilitate increased speeds as well as an expanded programme of ballast cleaning on the network generally</t>
  </si>
  <si>
    <t xml:space="preserve">IRL 19</t>
  </si>
  <si>
    <t xml:space="preserve">€250,000 ( as part of a €115 million investment in sustainable mobility)</t>
  </si>
  <si>
    <t xml:space="preserve">Transitioning local link service vehicles to zero-emission alternatives in rural parts of the country.</t>
  </si>
  <si>
    <t xml:space="preserve">IRL 20</t>
  </si>
  <si>
    <t xml:space="preserve">€15 million</t>
  </si>
  <si>
    <t xml:space="preserve">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t>
  </si>
  <si>
    <t xml:space="preserve">https://www.westmeathindependent.ie/2020/07/24/e15m-fund-for-peatland-rehabilitation-announced/</t>
  </si>
  <si>
    <t xml:space="preserve">IRL 21</t>
  </si>
  <si>
    <t xml:space="preserve">€11 million</t>
  </si>
  <si>
    <t xml:space="preserve">As part of the "Just Transition Fund" money will be available for projects focusing on retraining workers and proposals to generate sustainable employment in green enterprise in the region, and supporting communitities to transition to a low carbon economy.  It will support and reinforce the other just transition and peat protection measures underway.  The objective is to fund innovative projects that contribute to the economic, social and environmental sustain.</t>
  </si>
  <si>
    <t xml:space="preserve">https://www.gov.ie/en/publication/ed10d-just-transition-fund/</t>
  </si>
  <si>
    <t xml:space="preserve">IRL 22</t>
  </si>
  <si>
    <t xml:space="preserve">€10 million ( as part of a €115 million investment in sustainable mobility)</t>
  </si>
  <si>
    <t xml:space="preserve">Allocated to adapt roads to the effects of climate change, which including repairs to damaged roads as a result of severe weather events, improved drainage provisions, and the upgrade of certain strategic roads to protect them from the effects of climate change.</t>
  </si>
  <si>
    <t xml:space="preserve">https://www.gov.ie/en/publication/b8bc5-july-jobs-stimulus-plan/</t>
  </si>
  <si>
    <t xml:space="preserve">IRL 23</t>
  </si>
  <si>
    <t xml:space="preserve">Fishery and on-farm renewable energy investments</t>
  </si>
  <si>
    <t xml:space="preserve">IRL 24</t>
  </si>
  <si>
    <t xml:space="preserve">Support businesses to adapt to green economy (support to green research, development and innovation, capacity building, capital investment)</t>
  </si>
  <si>
    <t xml:space="preserve">IRL 25</t>
  </si>
  <si>
    <t xml:space="preserve">€30 million</t>
  </si>
  <si>
    <t xml:space="preserve">Investment in water infrastructure</t>
  </si>
  <si>
    <t xml:space="preserve">ISR1</t>
  </si>
  <si>
    <t xml:space="preserve">ISR</t>
  </si>
  <si>
    <t xml:space="preserve">NIS 6.5 billion </t>
  </si>
  <si>
    <t xml:space="preserve">Promotion of new renewable energy (solar) projects in the amount of 2000 megawatts and the volume of investment in the economy will be approximately NIS 6.5 billion - investment in clean and sustainable energy.</t>
  </si>
  <si>
    <t xml:space="preserve">https://www.gov.il/he/departments/publications/reports/economic_growth
https://www.gov.il/BlobFolder/reports/economic_growth/he/economic_growth.pdf</t>
  </si>
  <si>
    <t xml:space="preserve">ILS</t>
  </si>
  <si>
    <t xml:space="preserve">ISR2</t>
  </si>
  <si>
    <t xml:space="preserve">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</si>
  <si>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</si>
  <si>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 xml:space="preserve">ISR3</t>
  </si>
  <si>
    <t xml:space="preserve">n.a.</t>
  </si>
  <si>
    <t xml:space="preserve">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</si>
  <si>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 xml:space="preserve">ISR4</t>
  </si>
  <si>
    <t xml:space="preserve">Removal of barriers that will enable rapid and efficient development of the transmission and distribution network in electricity</t>
  </si>
  <si>
    <t xml:space="preserve">ISR5</t>
  </si>
  <si>
    <t xml:space="preserve">NIS 300 million</t>
  </si>
  <si>
    <t xml:space="preserve">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</si>
  <si>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 xml:space="preserve">ISR6</t>
  </si>
  <si>
    <t xml:space="preserve">NIS 180 million</t>
  </si>
  <si>
    <t xml:space="preserve">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</si>
  <si>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 xml:space="preserve">ISR7</t>
  </si>
  <si>
    <t xml:space="preserve">NIS 600 million</t>
  </si>
  <si>
    <t xml:space="preserve">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</si>
  <si>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 xml:space="preserve">ISR8</t>
  </si>
  <si>
    <t xml:space="preserve">NIS 250 million</t>
  </si>
  <si>
    <t xml:space="preserve">Consolidation of infrastructures - creating synchronization in the establishment of infrastructure Transport infrastructures (light rail, subway, Ayalon routes, Moriah, etc.) - This is a step that will lead to an investment of about 250 million NIS</t>
  </si>
  <si>
    <t xml:space="preserve">ISR9</t>
  </si>
  <si>
    <t xml:space="preserve">NIS 1 billion</t>
  </si>
  <si>
    <t xml:space="preserve">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</si>
  <si>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 xml:space="preserve">ITA1</t>
  </si>
  <si>
    <t xml:space="preserve">ITA</t>
  </si>
  <si>
    <t xml:space="preserve">EUR 300 mn</t>
  </si>
  <si>
    <t xml:space="preserve">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</si>
  <si>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 xml:space="preserve">Art 44 of Decreto Rilancio (aka Law-Decree 19 May 2020, n. 34 - http://www.governo.it/it/dl-rilancio)</t>
  </si>
  <si>
    <t xml:space="preserve">04.11.2020</t>
  </si>
  <si>
    <t xml:space="preserve">ITA2</t>
  </si>
  <si>
    <t xml:space="preserve">EUR 11.4 bn</t>
  </si>
  <si>
    <t xml:space="preserve">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</si>
  <si>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 xml:space="preserve">Art 119 of Decreto Rilancio (aka Law-Decree 19 May 2020, n. 34 - http://www.governo.it/it/dl-rilancio)</t>
  </si>
  <si>
    <t xml:space="preserve">ITA3</t>
  </si>
  <si>
    <t xml:space="preserve">--</t>
  </si>
  <si>
    <t xml:space="preserve">Measure potentially detrimental for the environment: 20% reduction on energy bills for energy consumed in the months of  April, May, June, uly and August 2020</t>
  </si>
  <si>
    <t xml:space="preserve">Art 132 of Decreto Rilancio (aka Law-Decree 19 May 2020, n. 34 - http://www.governo.it/it/dl-rilancio)</t>
  </si>
  <si>
    <t xml:space="preserve">ITA4</t>
  </si>
  <si>
    <t xml:space="preserve">EUR 40 mn</t>
  </si>
  <si>
    <t xml:space="preserve">Establishment of a a fund of € 40 million aimed at supporting micro, small and medium enterprises that operate in "economic-environmental zones" (e.g. national parks) and that carry out "eco-friendly" activities. </t>
  </si>
  <si>
    <t xml:space="preserve">Art 227 of Decreto Rilancio (aka Law-Decree 19 May 2020, n. 34 - http://www.governo.it/it/dl-rilancio)</t>
  </si>
  <si>
    <t xml:space="preserve">ITA5</t>
  </si>
  <si>
    <t xml:space="preserve">EUR 0.05 bn</t>
  </si>
  <si>
    <t xml:space="preserve">In order to encourage "sustainable mobility alternatives", under a government scheme residents of age living in cities with more than 50,000 residents can claim back 60% of the cost of a new bike, an electric bike, small electric vehicles (not cars) etc, up to EUR 500 per person.</t>
  </si>
  <si>
    <t xml:space="preserve">Art 229 of Decreto Rilancio (aka Law-Decree 19 May 2020, n. 34 - http://www.governo.it/it/dl-rilancio)</t>
  </si>
  <si>
    <t xml:space="preserve">ITA6</t>
  </si>
  <si>
    <t xml:space="preserve">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</si>
  <si>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 xml:space="preserve">ITA7</t>
  </si>
  <si>
    <t xml:space="preserve">EUR 100 mn (unclear)</t>
  </si>
  <si>
    <t xml:space="preserve">Incentives for the technological innovation in areas of energy efficiency and renewable energies</t>
  </si>
  <si>
    <t xml:space="preserve">Art 42-bis of Decreto Rilancio (July update) (aka Law-Decree 19 May 2020, n. 34 - http://www.governo.it/it/dl-rilancio)</t>
  </si>
  <si>
    <t xml:space="preserve">ITA 8</t>
  </si>
  <si>
    <t xml:space="preserve">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</si>
  <si>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</si>
  <si>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 xml:space="preserve">Art 200 of Decreto Rilancio (aka Law-Decree 19 May 2020, n. 34 - http://www.governo.it/it/dl-rilancio)</t>
  </si>
  <si>
    <t xml:space="preserve">ITA9</t>
  </si>
  <si>
    <t xml:space="preserve">Measure potentially detrimental for the environment: The so-called "safeguard clauses" which provide for automatic increases in the rates of value added tax and those relating to excise duty on certain fuel products are definitively abolished, starting from 1 January 2021.</t>
  </si>
  <si>
    <t xml:space="preserve">Art 123 of Decreto Rilancio (aka Law-Decree 19 May 2020, n. 34 - http://www.governo.it/it/dl-rilancio)</t>
  </si>
  <si>
    <t xml:space="preserve">05.11.2020</t>
  </si>
  <si>
    <t xml:space="preserve">ITA10</t>
  </si>
  <si>
    <t xml:space="preserve">Increase in state incentives for those who buy and register low-carbon cars </t>
  </si>
  <si>
    <t xml:space="preserve">Art 74 of Decreto Agosto (aka Law-Decree 14 August 2020, n. 104) https://www.gazzettaufficiale.it/eli/id/2020/08/14/20G00122/sg</t>
  </si>
  <si>
    <t xml:space="preserve">https://www.idealista.it/news/finanza/economia/2020/10/21/151392-ecoincentivi-auto-le-misure-del-decreto-agosto-2020-in-gazzetta-ufficiale#:~:text=L'articolo%2074%20del%20decreto,euro%20per%20l'anno%202020.</t>
  </si>
  <si>
    <t xml:space="preserve">ITA 11</t>
  </si>
  <si>
    <t xml:space="preserve">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</si>
  <si>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 xml:space="preserve">Art 30 of Decreto Crescita (Law-Decree 30 April 2019, n. 34) -- period of implementation of the measure extended to October 31 2020 by the Decreto Rilancio)</t>
  </si>
  <si>
    <t xml:space="preserve">https://www.mise.gov.it/index.php/it/incentivi/energia/comuni-progetti-di-efficientamento-energetico-e-sviluppo-territoriale</t>
  </si>
  <si>
    <t xml:space="preserve">ITA 12</t>
  </si>
  <si>
    <t xml:space="preserve">3000000000 EUR</t>
  </si>
  <si>
    <t xml:space="preserve">Alitalia (national carrier) nationalisation</t>
  </si>
  <si>
    <t xml:space="preserve">http://www.governo.it/sites/new.governo.it/files/DL_20200520.pdf _x005F_x000D_
Accessed 13 May 2020</t>
  </si>
  <si>
    <t xml:space="preserve">https://www.reuters.com/article/us-italy-alitalia-minister/italy-to-inject-3-billion-euros-in-new-alitalia-industry-minister-idUSKBN22J19P_x005F_x000D_
Accessed 13 May 2020</t>
  </si>
  <si>
    <t xml:space="preserve">ITA 13</t>
  </si>
  <si>
    <t xml:space="preserve">This measure is an economic incentive of up to 2,000 euros for those who scrap their old car and buy a new one instead. </t>
  </si>
  <si>
    <t xml:space="preserve">https://www.innovationpost.it/wp-content/uploads/2020/07/Ultimi-Emendamenti-approvati-DL-Rilancio.pdf 7 July 2020</t>
  </si>
  <si>
    <t xml:space="preserve">17.11.2020</t>
  </si>
  <si>
    <t xml:space="preserve">ITA 14</t>
  </si>
  <si>
    <t xml:space="preserve">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</si>
  <si>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</si>
  <si>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 xml:space="preserve">JPN1</t>
  </si>
  <si>
    <t xml:space="preserve">JPN</t>
  </si>
  <si>
    <t xml:space="preserve">¥5 billion</t>
  </si>
  <si>
    <t xml:space="preserve">Support the installation of self-consumption, on-site solar power generation facilities through PPA. 
Also includes support for supply chain reform and domestic investment in production bases. </t>
  </si>
  <si>
    <t xml:space="preserve">https://www.env.go.jp/guide/budget/r02/r0204-hos-gaiyo/005.pdf; https://www5.cao.go.jp/keizai1/keizaitaisaku/2020/20200420_economic_measures_all.pdf</t>
  </si>
  <si>
    <t xml:space="preserve">The Japanese Government is dedicating a revised budget of five billion JPY to support the adoption of solar power generation equipment to allow solar energy to be produced for one's own use. This scheme is based on the on-site power purchase agreement (PPA) model, which contributes to the promotion of decarbonization and disaster prevention. Under this model, energy companies offer renewable electricity to businesses and individuals and install panels that they will continue to own and maintain where their clients reside. Meanwhile, businesses and individuals buy renewable electricity at a fixed long-term price with minimal risk of price hikes and only pay for the electricity they use. </t>
  </si>
  <si>
    <t xml:space="preserve">JPY</t>
  </si>
  <si>
    <t xml:space="preserve">JPN3</t>
  </si>
  <si>
    <t xml:space="preserve">¥2 trillion</t>
  </si>
  <si>
    <t xml:space="preserve">Measures to promote a green society - 2 trillion-yen fund to support innovative technology developments which contribute to achieving 2050 carbon neutral target, Promoting EV (Electric Vehicle) and ZEH (Net Zero Energy House)</t>
  </si>
  <si>
    <t xml:space="preserve">https://www5.cao.go.jp/keizai1/keizaitaisaku/2020-2/20201208_economic_measures.pdf</t>
  </si>
  <si>
    <t xml:space="preserve">https://english.kyodonews.net/news/2020/12/8a909b0c27bb-urgent-japan-to-compile-73-tril-yen-new-stimulus-package.html</t>
  </si>
  <si>
    <t xml:space="preserve">JPN4</t>
  </si>
  <si>
    <t xml:space="preserve">unquantified</t>
  </si>
  <si>
    <t xml:space="preserve">Addressing infectious medical waste</t>
  </si>
  <si>
    <t xml:space="preserve">https://www.env.go.jp/saigai/novel_coronavirus_2020.html</t>
  </si>
  <si>
    <t xml:space="preserve">http://www.env.go.jp/saigai/novel_coronavirus_2020/COVID-19_0727QA_en.pdf</t>
  </si>
  <si>
    <t xml:space="preserve">To address waste management issues relevant to COVID-19, Japan is implementing initiatives to maintain the waste management system, such as considering various countermeasures based on individual circumstances, creating communication documents related to measures, and sharing information with local governments and relevant organizations.</t>
  </si>
  <si>
    <t xml:space="preserve">JPN5</t>
  </si>
  <si>
    <t xml:space="preserve">JAXA, ESA, and NASA cooperation for development and operation of Earth observing dashboard on COVID-19</t>
  </si>
  <si>
    <t xml:space="preserve">https://eodashboard.org/</t>
  </si>
  <si>
    <t xml:space="preserve">The COVID-19 pandemic has caused various changes in socio-economic activities and the environments. Since satellite-based Earth observation can monitor the earth's surface globally and periodically with various physical parameters, the Japan Aerospace Exploration Agency (JAXA), European Space Agency (ESA), and National Aeronautics and Space Administration (NASA) have cooperated in developing the "Earth Observing Dashboard" by combining the resources, technical knowledge and expertise of the three partner agencies. The dashboard provides socio-economic activities and earth environmental change information, such as air quality, green house gasses,  port / airport activities, agriculture, and water quality, before / after COVID-19 pandemic to strengthen our global understanding of the economic and environmental effects of the COVID-19 pandemic.</t>
  </si>
  <si>
    <t xml:space="preserve">JPN6</t>
  </si>
  <si>
    <t xml:space="preserve">Promoting dissemination of electric vehicles and fuel cell vehicles.</t>
  </si>
  <si>
    <t xml:space="preserve">https://www.env.go.jp/guide/budget/r02/r02-hos_03-gaiyo/001.pd</t>
  </si>
  <si>
    <t xml:space="preserve">The Ministry of the Environment is working on decarbonization of lifestyles, especially in mobility, by subsidizing electrified vehicles such as electric vehicles and fuel cell vehicles as moving storage batteries, and promoting preferential treatments such as introducing charging and </t>
  </si>
  <si>
    <t xml:space="preserve">JPN7</t>
  </si>
  <si>
    <t xml:space="preserve">Green Growth Strategy towards 2050 Carbon Neutrality</t>
  </si>
  <si>
    <t xml:space="preserve">https://www.meti.go.jp/english/press/2020/1225_001.html</t>
  </si>
  <si>
    <t xml:space="preserve">The Ministry of Economy, Trade and Industry (METI) formulated a “Green Growth Strategy towards 2050 Carbon Neutrality” in collaboration with related ministries and agencies. This strategy is an industrial policy to lead the challenging goal of achieving carbon neutrality by 2050, a vision that is upheld by the Suga administration and aims toward a positive cycle of economic growth and the environmental protection.</t>
  </si>
  <si>
    <t xml:space="preserve">JPN8</t>
  </si>
  <si>
    <t xml:space="preserve">Addressing infectious waste</t>
  </si>
  <si>
    <t xml:space="preserve">To address waste management issues relevant to COVID-19, Japan is implementing initiatives to promote environmentally sound management on infectious waste, such as considering various countermeasures based on individual circumstances, creating communication documents related to measures, and sharing information with local governments and relevant organizations and developing collection with automated control.</t>
  </si>
  <si>
    <t xml:space="preserve">JPN9</t>
  </si>
  <si>
    <t xml:space="preserve">3 billion JPY</t>
  </si>
  <si>
    <t xml:space="preserve">Support for the introduction of high-performance ventilation equipment to reduce the risk of large-scale infection</t>
  </si>
  <si>
    <t xml:space="preserve">http://www.env.go.jp/guide/budget/r02/r0204-hos-gaiyo/full.pdf</t>
  </si>
  <si>
    <t xml:space="preserve">The new coronavirus infection has rapidly deteriorated business conditions of restaurants and other establishments where an unspecified large number of people congregate. In response, we support the introduction of high-efficiency equipment, such as high-performance ventilation equipment, which has high ventilation capacity and contributes to reducing the amount of CO2 in buildings, to avoid creating an enclosed space for restaurants and other facilities used by an unspecified large number of people, thereby reducing the risk of the spread of infectious diseases, such as the new coronavirus, as well as reducing emissions from commercial facilities.</t>
  </si>
  <si>
    <t xml:space="preserve">Changed from indeterminate to Positive</t>
  </si>
  <si>
    <t xml:space="preserve">JPN10</t>
  </si>
  <si>
    <t xml:space="preserve">Promotion of integrated hazards assessment research</t>
  </si>
  <si>
    <t xml:space="preserve">http://www.jamstec.go.jp/tougou/eng/research/theme_d.html</t>
  </si>
  <si>
    <t xml:space="preserve"> COVID-19 outbreaks bring various changes in socioeconomic activities all over the world. Since Japan is predicted to see natural disasters more frequently due to climate change, it will be also important to make adaptation plans to natural disasters taking account of these changes. Under the Japan's climate model development program (TOUGOU), Japanese government promotes researches on how natural disasters will change over the next 100 years quantifying the probability of climate change impact on typhoons and flooding etc.These research studies are expected to contribute to better adaptations in Japan after the COVID-19 crisis.</t>
  </si>
  <si>
    <t xml:space="preserve">JPN11</t>
  </si>
  <si>
    <t xml:space="preserve">Attracting customers to national parks and promoting 'workations' in National Parks and hot springs.</t>
  </si>
  <si>
    <t xml:space="preserve">https://www5.cao.go.jp/keizai1/keizaitaisaku/2020/20200420_economic_measures_all.pdf</t>
  </si>
  <si>
    <t xml:space="preserve">"Workations", a portmanteau of "work" and "vacation", are trips that enable both telework and tourism. Since the COVID-19 outbreak, campgrounds have become popular as recreational spaces that allow for social distancing. At the same time, inns in hot spring areas have also become increasingly viable as workation options, leading to a greater momentum for the trend. Japan is planning to further promote workations in National Parks and hot springs through providing infrastructural support (Wi-Fi availability), promoting workation tours. This project aims to maintain and secure employment for businesses involved, increase the number of travelers through attractive tours, and revitalize the local economy by preparing tours and other activities with an eye to the post-concussive phase.</t>
  </si>
  <si>
    <t xml:space="preserve">JPN12</t>
  </si>
  <si>
    <t xml:space="preserve">Assessment Report on Climate Change Impact including infectious disiease and regular review of adaptation planning</t>
  </si>
  <si>
    <t xml:space="preserve">https://www.env.go.jp/en/earth/cc/adaptation.html</t>
  </si>
  <si>
    <r>
      <rPr>
        <sz val="10"/>
        <color rgb="FF000000"/>
        <rFont val="Arial"/>
        <family val="2"/>
        <charset val="1"/>
      </rPr>
      <t xml:space="preserve">Based on the Climate Change Adaptation Act,  Japan publishes Assessment Report on Climate Change Impact, including infectious diseases, approximately every five years. It becomes  basic information for regular reviewing of adaptation planning by national and local governments.  In addition, it provides information on climate change impacts through the information platforms called A-PLAT (domestic) and AP-PLAT (Asia-Pacific) for the purpose of promoting studies on climate change impacts and activities that apply the scientific knowledge. </t>
    </r>
    <r>
      <rPr>
        <sz val="10"/>
        <color rgb="FFFF0000"/>
        <rFont val="Arial"/>
        <family val="2"/>
        <charset val="1"/>
      </rPr>
      <t xml:space="preserve">The first report based on the Act was published on December 2020</t>
    </r>
    <r>
      <rPr>
        <sz val="10"/>
        <color rgb="FF000000"/>
        <rFont val="Arial"/>
        <family val="2"/>
        <charset val="1"/>
      </rPr>
      <t xml:space="preserve">.</t>
    </r>
  </si>
  <si>
    <t xml:space="preserve">JPN13</t>
  </si>
  <si>
    <t xml:space="preserve">Promoting ESG finance including "impact finance" for sustainable post COVID-19 world</t>
  </si>
  <si>
    <t xml:space="preserve">Actively promote “impact finance”, a developed form of ESG finance and the axis for creating the post-COVID-19 society, for the future that contributes to “Sustainability” improvement as well as promoting cooperation with regional financial institutions for the creation of the sustainable and decentralized society in the post-COVID-19 world.</t>
  </si>
  <si>
    <t xml:space="preserve">JPN14</t>
  </si>
  <si>
    <t xml:space="preserve">Promoting the Satoyama initiative for the conservation and sustainable use of local natural resources, while also practicing "local production for local consumption" and building communities.</t>
  </si>
  <si>
    <t xml:space="preserve">https://satoyama-initiative.org/</t>
  </si>
  <si>
    <t xml:space="preserve">Aiming toward realizing "societies in harmony with nature" similar to the 2050 Biodiversity Vision of "living in harmony with nature", the Satoyama Initiative promotes the conservation and sustainable use of local natural resources, while also practicing "local production for local consumption" and building communities. Experiences from implementing the Satoyama Initiative are clearly the first potential step toward designing a new society post-COVID-19. The idea of "local production for local consumption" is based on building 'face-to-face relationships' between producers and consumers, and reevaluating relationships with communities in which we live or to which we have close ties. This is done in practice through the Satoyama Initiative.
The practice of "local production for local consumption" will allow people living in the region to rethink their habits and the underlying environment and nurture environmental values. This buildup of value will lead to productive and strong local communities. Furthermore, strong local communities contribute not only to biodiversity conservation, but also various other priorities such as disaster risk reduction. For example, as the climate crisis intensify disasters, it is necessary to build societies that are resilient -- societies that can repair the damage caused and swiftly recover. To do so, strong community ties among residents built over day-to-day life are indispensable, in addition to employing nature-based solutions. To redesign socioeconomic systems through COVID-19 recovery, the three transitions of decarbonization, circular economy, and decentralization are critical. To realize these transitions, independent, productive, and strong communities will clearly have important roles to play.</t>
  </si>
  <si>
    <t xml:space="preserve">KOR1</t>
  </si>
  <si>
    <t xml:space="preserve">KOR</t>
  </si>
  <si>
    <t xml:space="preserve">07/04 announced by the Ministry of  Environment of Korea: first case benefited from the shortened period for permission/authorization of the use of toxic chemicals (the period is shortened from 75 days max to almost half)</t>
  </si>
  <si>
    <t xml:space="preserve">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</si>
  <si>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 xml:space="preserve">KOR2</t>
  </si>
  <si>
    <t xml:space="preserve">KRW 163.4 billion </t>
  </si>
  <si>
    <t xml:space="preserve">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</si>
  <si>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 xml:space="preserve">Ministry of Environment of Korea, 12 April:
https://www.me.go.kr/home/web/board/read.do?pagerOffset=10&amp;maxPageItems=10&amp;maxIndexPages=10&amp;searchKey=title&amp;searchValue=%EC%BD%94%EB%A1%9C%EB%82%98&amp;menuId=286&amp;orgCd=&amp;boardId=1364490&amp;boardMasterId=1&amp;boardCategoryId=&amp;decorator=</t>
  </si>
  <si>
    <t xml:space="preserve">KRW</t>
  </si>
  <si>
    <t xml:space="preserve">KOR3</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</si>
  <si>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</si>
  <si>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</si>
  <si>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 xml:space="preserve">KOR4</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</si>
  <si>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</si>
  <si>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 xml:space="preserve">KOR5</t>
  </si>
  <si>
    <t xml:space="preserve">22/04 announced by K-water Research Institute under the Ministry of Environment of Korea: 
Charges for the use of dam water and multiregional water supply to be lowered in the light of COVID-19 crisis (for individuals,small-business owners and SMEs)</t>
  </si>
  <si>
    <t xml:space="preserve">Ministry of Environment of Korea, 22 April:
https://www.me.go.kr/home/web/board/read.do?pagerOffset=10&amp;maxPageItems=10&amp;maxIndexPages=10&amp;searchKey=title&amp;searchValue=%EC%BD%94%EB%A1%9C%EB%82%98&amp;menuId=286&amp;orgCd=&amp;boardId=1366840&amp;boardMasterId=1&amp;boardCategoryId=&amp;decorator=</t>
  </si>
  <si>
    <t xml:space="preserve">KOR6</t>
  </si>
  <si>
    <t xml:space="preserve">KRW 11.2 billion</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</si>
  <si>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</si>
  <si>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 xml:space="preserve">Ministry of Environment of Korea, 13 May:
https://www.me.go.kr/home/web/board/read.do?pagerOffset=10&amp;maxPageItems=10&amp;maxIndexPages=10&amp;searchKey=title&amp;searchValue=%EC%BD%94%EB%A1%9C%EB%82%98&amp;menuId=286&amp;orgCd=&amp;boardId=1370870&amp;boardMasterId=1&amp;boardCategoryId=&amp;decorator=</t>
  </si>
  <si>
    <t xml:space="preserve">KOR7</t>
  </si>
  <si>
    <t xml:space="preserve">03/06 announced by the Ministry of Environment of Korea: Minister of Environment CHO had a discussion with the representatives from industry (CEOs from the Korea Business Council for Sustainable Development) to seek for  ways to support industry to overcome the crisis in COVID-19, e.g. relaxing the environmental regulation, expansion of the upbrining funds for environment industry, etc.
- Minister Cho said that the Korean style "Green New Deal" would be the innovative growth engine for the future.</t>
  </si>
  <si>
    <t xml:space="preserve">Ministry of Environment of Korea, 3 June:
https://www.me.go.kr/home/web/board/read.do?pagerOffset=0&amp;maxPageItems=10&amp;maxIndexPages=10&amp;searchKey=title&amp;searchValue=%EC%BD%94%EB%A1%9C%EB%82%98&amp;menuId=286&amp;orgCd=&amp;boardId=1375490&amp;boardMasterId=1&amp;boardCategoryId=&amp;decorator=
</t>
  </si>
  <si>
    <t xml:space="preserve">KOR8</t>
  </si>
  <si>
    <t xml:space="preserve">sectoral</t>
  </si>
  <si>
    <t xml:space="preserve">KRW 35.8 trillion</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</si>
  <si>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won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</si>
  <si>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 xml:space="preserve">Sources in English
The Korean Joongang Daily, 14 July 2020
Moon's Korean New Deal targets 1.9 million new jobs
https://koreajoongangdaily.joins.com/2020/07/14/business/economy/Korea-New-Deal-Digital-New-Deal-Green-New-Deal/20200714174000390.html 
Bloomberg  Green, 14 July 2020
South Korea’s $35 Billion Green Plan Skirts Zero-Carbon Target
https://www.bloomberg.com/news/articles/2020-07-14/green-new-deal-in-south-korea-stops-short-of-zero-carbon-target
Forbes, 16 April:
South Korea Embraces EU-Style Green Deal For COVID-19 Recovery:
https://www.forbes.com/sites/davidrvetter/2020/04/16/south-korea-embraces-eu-style-green-deal-for-covid-19-recovery/#34513ce05611</t>
  </si>
  <si>
    <t xml:space="preserve">KOR11</t>
  </si>
  <si>
    <t xml:space="preserve">KRW 30.1 trillion</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</si>
  <si>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one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</si>
  <si>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 xml:space="preserve">KOR12</t>
  </si>
  <si>
    <t xml:space="preserve">KRW 7.6 trillion</t>
  </si>
  <si>
    <t xml:space="preserve">KOR13</t>
  </si>
  <si>
    <t xml:space="preserve">KRW 40 trillion</t>
  </si>
  <si>
    <t xml:space="preserve">Key Industry Support Fund - allocated to aviation and shipping</t>
  </si>
  <si>
    <t xml:space="preserve">http://www.businesskorea.co.kr/news/articleView.html?idxno=45666</t>
  </si>
  <si>
    <t xml:space="preserve">KOR9</t>
  </si>
  <si>
    <t xml:space="preserve">KRW 2.9 trillion</t>
  </si>
  <si>
    <t xml:space="preserve">Bailout for the Airline Companies (Korean Air &amp;#038; Asiana)</t>
  </si>
  <si>
    <t xml:space="preserve">https://asia.nikkei.com/Business/Transportation/Virus-hit-Korean-Air-and-Asiana-offered-2bn-bailout Accessed 7 July 2020</t>
  </si>
  <si>
    <t xml:space="preserve">KOR10</t>
  </si>
  <si>
    <t xml:space="preserve">KRW 3 trillion</t>
  </si>
  <si>
    <t xml:space="preserve">Bailout of Doosan Heavy Industries &amp;#038; Construction Co</t>
  </si>
  <si>
    <t xml:space="preserve">https://www.koreaexim.go.kr/site/program/board/basicboard/view?boardtypeid=284&amp;boardid=62860&amp;menuid=002001007  Accessed 7 July 2020</t>
  </si>
  <si>
    <t xml:space="preserve">LVA1</t>
  </si>
  <si>
    <t xml:space="preserve">LVA</t>
  </si>
  <si>
    <t xml:space="preserve">Rail Baltica: additional EU funding for large-scale infra project connecting the rail networks of the Baltic states with Finland (via ferry) and Poland</t>
  </si>
  <si>
    <t xml:space="preserve">https://www.mk.gov.lv/en/aktualitates/karins-more-10-billion-euros-will-be-available-latvian-economy-over-next-seven-years</t>
  </si>
  <si>
    <t xml:space="preserve">LVA2</t>
  </si>
  <si>
    <t xml:space="preserve">"On June 29 the Government of the Republic of Latvia has supported several municipal investment projects with the aim of supporting those who contribute to the economy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</si>
  <si>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 xml:space="preserve">https://platform2020redesign.org/countries/latvia/</t>
  </si>
  <si>
    <t xml:space="preserve">LVA3</t>
  </si>
  <si>
    <t xml:space="preserve">EUR 9.4 million (EU funding)</t>
  </si>
  <si>
    <t xml:space="preserve">"13 Latvian municipalities. The goal is to increase energy efficiency in municipal buildings, to create public infrastructure and to promote business development in order to create new jobs, to support local producers and service providers, thus attracting private investment in the regions. Simultaneously as a result of the implementation of these projects, the achievement of Latvia's climate change goals will be promoted (increasing the energy efficiency of municipal buildings and using of renewable energy resources). Reducing dependence on fossil energy imports and switching to local renewables is also expected to benefit the health of the population by improving air quality, especially in cities."</t>
  </si>
  <si>
    <t xml:space="preserve">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</si>
  <si>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</si>
  <si>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 xml:space="preserve">LTU1</t>
  </si>
  <si>
    <t xml:space="preserve">LTU</t>
  </si>
  <si>
    <t xml:space="preserve">1.1 billion Euros</t>
  </si>
  <si>
    <t xml:space="preserve">1.1 Billion for Healthcare</t>
  </si>
  <si>
    <t xml:space="preserve">https://www.imf.org/en/Topics/imf-and-covid19/Policy-Responses-to-COVID-19#L</t>
  </si>
  <si>
    <t xml:space="preserve">LTU2</t>
  </si>
  <si>
    <t xml:space="preserve">1.3 billion euros</t>
  </si>
  <si>
    <t xml:space="preserve">1.3 billion for SME loans</t>
  </si>
  <si>
    <t xml:space="preserve">LTU3</t>
  </si>
  <si>
    <t xml:space="preserve">1 billion euros</t>
  </si>
  <si>
    <t xml:space="preserve">additional 1 billion for businesses economic recover</t>
  </si>
  <si>
    <t xml:space="preserve">LTU4</t>
  </si>
  <si>
    <t xml:space="preserve">6.3 billion Euro</t>
  </si>
  <si>
    <t xml:space="preserve">plan was approved, comprising 6.3 billion euros, of which 2.2 billion euros is new investment and the remainder is already planned investment that will be accelerated. The plan covers investments in human capital, digital economy and business, innovation and research, infrastructure and climate change and energy through the end of 2021.</t>
  </si>
  <si>
    <t xml:space="preserve">LTU5</t>
  </si>
  <si>
    <t xml:space="preserve">the Bank of Lithuania has lowered its counter-cyclical capital buffer from 1 to 0 percent and has encouraged banks to be flexible and negotiate, on a case-by-case basis, loan terms with borrowers if necessary</t>
  </si>
  <si>
    <t xml:space="preserve">LUX1</t>
  </si>
  <si>
    <t xml:space="preserve">LUX</t>
  </si>
  <si>
    <t xml:space="preserve">up to EUR 800 000 per company</t>
  </si>
  <si>
    <t xml:space="preserve">the state is encouraging companies (both SMEs and large companies) to invest in 'environmental protection projects'</t>
  </si>
  <si>
    <t xml:space="preserve">https://meco.gouvernement.lu/dam-assets/dossiers/Neistart-Letzebuerg-Tableau-Mesures.pdf</t>
  </si>
  <si>
    <t xml:space="preserve">On how much has been disbursed up to October 2020 (but not very fine-grained): https://gouvernement.lu/dam-assets/documents/actualites/2020/10-octobre/Dashboard.pdf</t>
  </si>
  <si>
    <t xml:space="preserve">LUX2</t>
  </si>
  <si>
    <t xml:space="preserve">up to 50% of consulting fees; cannot exceed 30 000 EUR per company </t>
  </si>
  <si>
    <t xml:space="preserve">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</si>
  <si>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 xml:space="preserve">https://guichet.public.lu/fr/entreprises/financement-aides/coronavirus/programme-fit4-resilience.html</t>
  </si>
  <si>
    <t xml:space="preserve">LUX3</t>
  </si>
  <si>
    <t xml:space="preserve">50% increase to current support</t>
  </si>
  <si>
    <t xml:space="preserve">Increased support for individuals or non-state entities for energy efficiency improvements in renovation projects initiated between now and the end of the first trimester of 2021</t>
  </si>
  <si>
    <t xml:space="preserve">LUX4</t>
  </si>
  <si>
    <t xml:space="preserve">25% increase to current support</t>
  </si>
  <si>
    <t xml:space="preserve">Increased support for individuals and non-state entities to install heating systems based on renewable energies; same timeline as measure listed above</t>
  </si>
  <si>
    <t xml:space="preserve">LUX5</t>
  </si>
  <si>
    <t xml:space="preserve">60% increase to current support (8k EUR instead of 5k per car)</t>
  </si>
  <si>
    <t xml:space="preserve">State increasing incentives for buying electric vehicles (between now and end of third trimester 2021)</t>
  </si>
  <si>
    <t xml:space="preserve">LUX6</t>
  </si>
  <si>
    <t xml:space="preserve">Up to 600 EUR</t>
  </si>
  <si>
    <t xml:space="preserve">Similar assistance as that listed above but for electric bikes, push bikes, etc</t>
  </si>
  <si>
    <t xml:space="preserve">LUX7</t>
  </si>
  <si>
    <t xml:space="preserve">not listed</t>
  </si>
  <si>
    <t xml:space="preserve">Support for individuals to install smart charging stations for electric vehicles</t>
  </si>
  <si>
    <t xml:space="preserve">LUX8</t>
  </si>
  <si>
    <t xml:space="preserve">Temporary compensation of administrative fees for energy efficiency programmes</t>
  </si>
  <si>
    <t xml:space="preserve">LUX9</t>
  </si>
  <si>
    <t xml:space="preserve">Expansion of state aid for the installation of solar PV (30kW+) to all individuals, companies and municipalities (currently reserved for cooperatives and civil society)</t>
  </si>
  <si>
    <t xml:space="preserve">Expansion of existing policy to wider audience</t>
  </si>
  <si>
    <t xml:space="preserve">LUX10</t>
  </si>
  <si>
    <t xml:space="preserve">carbon tax currently at 20, will go up to 25 euros per tonne by 2022 and 30 euros by 2023; other measures with unclear budget allocations</t>
  </si>
  <si>
    <t xml:space="preserve">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</si>
  <si>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 xml:space="preserve">https://mea.gouvernement.lu/fr/actualites.gouvernement%2Bfr%2Bactualites%2Btoutes_actualites%2Bcommuniques%2B2020%2B10-octobre%2B30-pollueur-payeur.html</t>
  </si>
  <si>
    <t xml:space="preserve">Not explicitly linked to COVID in this press release, but the 2021 budget (where these measures are written out in more detail) makes the link</t>
  </si>
  <si>
    <t xml:space="preserve">MEX1</t>
  </si>
  <si>
    <t xml:space="preserve">MEX</t>
  </si>
  <si>
    <t xml:space="preserve">MXN 65 million ( USD 2.88 million)</t>
  </si>
  <si>
    <t xml:space="preserve">Tax reduction for PEMEX (State-owned oil company)</t>
  </si>
  <si>
    <t xml:space="preserve">https://www.eleconomista.com.mx/empresas/Gobierno-de-AMLO-otorga-estimulo-fiscal-a-Pemex-por-65000-millones-de-pesos-20200427-0142.html</t>
  </si>
  <si>
    <t xml:space="preserve">MEX2</t>
  </si>
  <si>
    <t xml:space="preserve">(MXN25 billion )USD 1.1 billion- not all going to water facilities (see summary)</t>
  </si>
  <si>
    <t xml:space="preserve">Construction of pavement and drinking water facilities in deprived areas</t>
  </si>
  <si>
    <t xml:space="preserve">https://presidente.gob.mx/presidente-anuncia-acciones-para-la-reactivacion-economica-ante-covid-19-en-primer-informe-del-ano-al-pueblo-de-mexico/</t>
  </si>
  <si>
    <t xml:space="preserve">MEX3</t>
  </si>
  <si>
    <t xml:space="preserve">161,000 million pesos (USD 7.94 billion) </t>
  </si>
  <si>
    <t xml:space="preserve">Continuation of construction of Oil Refinary in Dos Bocas. Announced as part of plan for recovery although it was already planned</t>
  </si>
  <si>
    <t xml:space="preserve">https://www.msn.com/es-mx/dinero/noticias/el-paquete-econ%C3%B3mico-2021-asigna-19-000-mdp-m%C3%A1s-al-tren-maya-que-a-salud-pese-a-crisis-de-coronavirus/ar-BB18RsCV?li=AAggPN5</t>
  </si>
  <si>
    <t xml:space="preserve">MEX4</t>
  </si>
  <si>
    <t xml:space="preserve">45,000 million pesos (USD 2.2 billion) </t>
  </si>
  <si>
    <t xml:space="preserve">Continuation of construction of Mayan Train in the Riviera Maya region. The project does not have an environmental impact assessment and it has been recently announced that it will be diesel-based. Announced as part of plan for recovery althouh it was already planned.</t>
  </si>
  <si>
    <t xml:space="preserve">https://www.dineroenimagen.com/economia/paquete-economico-en-2021-destinaran-45-mil-50-mdp-la-refineria-de-dos-bocas/126549</t>
  </si>
  <si>
    <t xml:space="preserve">MEX5</t>
  </si>
  <si>
    <t xml:space="preserve">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</si>
  <si>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</si>
  <si>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 xml:space="preserve">https://www.gob.mx/sedatu/documentos/movilidad-4s-para-mexico-saludable-segura-sustentable-y-solidaria-plan-de-movilidad-para-una-nueva-normalidad</t>
  </si>
  <si>
    <t xml:space="preserve">MEX6</t>
  </si>
  <si>
    <t xml:space="preserve">Expansion of Cycling Lanes in Mexico City</t>
  </si>
  <si>
    <t xml:space="preserve">https://web.archive.org/save/, https://www.semovi.cdmx.gob.mx/comunicacion/nota/boletin-guia-ciclovias-emergentes </t>
  </si>
  <si>
    <t xml:space="preserve">MEX7</t>
  </si>
  <si>
    <t xml:space="preserve">EUR 750 million </t>
  </si>
  <si>
    <t xml:space="preserve">First Sustainable Sovereign Bonds linked to the UN Sustainable Development Goals</t>
  </si>
  <si>
    <t xml:space="preserve">https://www.gob.mx/cms/uploads/attachment/file/577794/Comunicado_No._071.pdf</t>
  </si>
  <si>
    <t xml:space="preserve">MEX8</t>
  </si>
  <si>
    <t xml:space="preserve">MXN 177 million (USD 7.8 million) </t>
  </si>
  <si>
    <t xml:space="preserve">Loans for housing during the next 9 months. Potentially could cause people moving further out of places that are better connected by publict transport and that imply shorter trip to destinations. This as in general population could more easily afford to rent in more central areas but can only afford housing located in outskirts. ther is no information on the eligibility of population, and also no links/ conditionality to more sustainable housing.</t>
  </si>
  <si>
    <t xml:space="preserve">NLD1</t>
  </si>
  <si>
    <t xml:space="preserve">NLD</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</si>
  <si>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</si>
  <si>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 xml:space="preserve">EPT</t>
  </si>
  <si>
    <t xml:space="preserve">NLD2</t>
  </si>
  <si>
    <t xml:space="preserve">Though not directly a 'stimulus' effort, in the middle of the pandemic, the Dutch government announced measures to cut the use of coal, limit livestock herds and increase garden greening. See also NLD8 and NLD9 for associated funding allocation</t>
  </si>
  <si>
    <t xml:space="preserve">https://www.theguardian.com/world/2020/apr/24/dutch-officials-reveal-measures-to-cut-emissions-after-court-ruling</t>
  </si>
  <si>
    <t xml:space="preserve">NLD3</t>
  </si>
  <si>
    <t xml:space="preserve">EUR 1.65 billion</t>
  </si>
  <si>
    <t xml:space="preserve">Compensation to cover losses made by public transport companies due to COVID-19</t>
  </si>
  <si>
    <t xml:space="preserve">https://www.energypolicytracker.org/country/the-netherlands</t>
  </si>
  <si>
    <t xml:space="preserve">NLD4</t>
  </si>
  <si>
    <t xml:space="preserve">Tax deferral on almost entirely CO2-based passenger cars and motorcycles tax</t>
  </si>
  <si>
    <t xml:space="preserve">https://www.rijksoverheid.nl/onderwerpen/coronavirus-financiele-regelingen/overzicht-financiele-regelingen/belastingmaatregelen  Accessed 16 June 2020</t>
  </si>
  <si>
    <t xml:space="preserve">NLD5</t>
  </si>
  <si>
    <t xml:space="preserve">Tax deferral on sustainable energy surcharge</t>
  </si>
  <si>
    <t xml:space="preserve">NLD6</t>
  </si>
  <si>
    <t xml:space="preserve">Environmental tax deferral (coal tax)</t>
  </si>
  <si>
    <t xml:space="preserve">https://www.belastingdienst.nl/wps/wcm/connect/nl/ondernemers/content/bijzonder-uitstel-van-betaling-vanwege-coronacrisis  Accessed 16 June 2020</t>
  </si>
  <si>
    <t xml:space="preserve">NLD7</t>
  </si>
  <si>
    <t xml:space="preserve">Environmental tax deferral (energy tax)</t>
  </si>
  <si>
    <t xml:space="preserve">https://www.rijksoverheid.nl/onderwerpen/coronavirus-financiele-regelingen/overzicht-financiele-regelingen/energiebelastingen  Accessed 16 June 2020</t>
  </si>
  <si>
    <t xml:space="preserve">NLD8</t>
  </si>
  <si>
    <t xml:space="preserve">EUR 2.33 billion</t>
  </si>
  <si>
    <t xml:space="preserve">Commitment to Renewables (2bn, mostly rooftop solar) and household efficiency (0.3bn). See also NLD2</t>
  </si>
  <si>
    <t xml:space="preserve">https://www.urgenda.nl/en/themas/climate-case/dutch-implementation-plan/</t>
  </si>
  <si>
    <t xml:space="preserve">NLD9</t>
  </si>
  <si>
    <t xml:space="preserve">EUR 0.36 billion</t>
  </si>
  <si>
    <t xml:space="preserve">Compensation to reduce livestock herds. See also NLD2</t>
  </si>
  <si>
    <t xml:space="preserve">NZL1</t>
  </si>
  <si>
    <t xml:space="preserve">NZL</t>
  </si>
  <si>
    <t xml:space="preserve">NZD 27.5 million  (20/21-23/24)</t>
  </si>
  <si>
    <t xml:space="preserve">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</si>
  <si>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 xml:space="preserve">https://treasury.govt.nz/system/files/2020-05/b20-sum-initiatives-crrf.pdf</t>
  </si>
  <si>
    <t xml:space="preserve">NZD</t>
  </si>
  <si>
    <t xml:space="preserve">NZL2</t>
  </si>
  <si>
    <t xml:space="preserve">NZD 100 million (20/21-23/24)</t>
  </si>
  <si>
    <t xml:space="preserve">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</si>
  <si>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 xml:space="preserve">NZL3</t>
  </si>
  <si>
    <t xml:space="preserve">NZ 10.55 million (20/21)</t>
  </si>
  <si>
    <t xml:space="preserve">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</si>
  <si>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 xml:space="preserve">NZL4</t>
  </si>
  <si>
    <t xml:space="preserve">NZD 80 million</t>
  </si>
  <si>
    <t xml:space="preserve">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</si>
  <si>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 xml:space="preserve">NZL5</t>
  </si>
  <si>
    <t xml:space="preserve">NZD 56.4 million (20/21-21/22)</t>
  </si>
  <si>
    <t xml:space="preserve">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</si>
  <si>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 xml:space="preserve">NZL6</t>
  </si>
  <si>
    <t xml:space="preserve">NZ 154.245 million (20/21-23/24)</t>
  </si>
  <si>
    <t xml:space="preserve">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</si>
  <si>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 xml:space="preserve">NZL7</t>
  </si>
  <si>
    <t xml:space="preserve">NZD 147.506 million (20/21-23/24)</t>
  </si>
  <si>
    <t xml:space="preserve">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</si>
  <si>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 xml:space="preserve">NZL8</t>
  </si>
  <si>
    <t xml:space="preserve">NZD 200 million (20/21-23/24)</t>
  </si>
  <si>
    <t xml:space="preserve">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</si>
  <si>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 xml:space="preserve">NZL9</t>
  </si>
  <si>
    <t xml:space="preserve">NZD 124 million (20/21-23/24)</t>
  </si>
  <si>
    <t xml:space="preserve">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</si>
  <si>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 xml:space="preserve">https://www.beehive.govt.nz/release/government-steps-action-waste-funds-recycling-infrastructure-and-expands-levy-scheme</t>
  </si>
  <si>
    <t xml:space="preserve">NZL10</t>
  </si>
  <si>
    <t xml:space="preserve">NZD 433 million (20/21-23/24)</t>
  </si>
  <si>
    <t xml:space="preserve">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</si>
  <si>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 xml:space="preserve">NZL11</t>
  </si>
  <si>
    <t xml:space="preserve">NZD 40 million (20/21-23/24)</t>
  </si>
  <si>
    <t xml:space="preserve">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</si>
  <si>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 xml:space="preserve">NZL12</t>
  </si>
  <si>
    <t xml:space="preserve">NZD 50 million</t>
  </si>
  <si>
    <t xml:space="preserve">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</si>
  <si>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 xml:space="preserve">NZL13</t>
  </si>
  <si>
    <t xml:space="preserve">NZD 600 million</t>
  </si>
  <si>
    <t xml:space="preserve">Aviation support package w/o environmental conditioanlity</t>
  </si>
  <si>
    <t xml:space="preserve">https://www.beehive.govt.nz/release/121-billion-support-new-zealanders-and-business</t>
  </si>
  <si>
    <t xml:space="preserve">NZL14</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</si>
  <si>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</si>
  <si>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 xml:space="preserve">NZL15</t>
  </si>
  <si>
    <t xml:space="preserve">NZD 182 million</t>
  </si>
  <si>
    <t xml:space="preserve">Part of NZD 3 billion infrastructure Investment Fund. investment package in public transport and walking and cycling infrastructure, helping the region's economic recovery while reducing emissions. This investment is expected to create 800 jobs and protects around 200 jobs on the two projects already underway. </t>
  </si>
  <si>
    <t xml:space="preserve">https://www.beehive.govt.nz/release/auckland-transport-infrastructure-revealed</t>
  </si>
  <si>
    <t xml:space="preserve">Infrastructure Investment Fund is NZD 3 billion and part of the broader NZD 50 billion Response and Recovery Fund. This is a specific project supported by the fund. Not all projects have been announced (or not all funding allocated). Those announced but not included here have indeterminate impacts. </t>
  </si>
  <si>
    <t xml:space="preserve">NZL16</t>
  </si>
  <si>
    <t xml:space="preserve">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</si>
  <si>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</si>
  <si>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 xml:space="preserve">https://www.beehive.govt.nz/release/green-light-te-awa-river-ride-220m-nationwide-cycleways-investment</t>
  </si>
  <si>
    <t xml:space="preserve">NZL17</t>
  </si>
  <si>
    <t xml:space="preserve">NZD 220 million</t>
  </si>
  <si>
    <t xml:space="preserve">Part of NZD 3 billion infrastructure Investment Fund. Nationwide cycleway package</t>
  </si>
  <si>
    <t xml:space="preserve">NZL18</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</si>
  <si>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</si>
  <si>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 xml:space="preserve">https://www.beehive.govt.nz/release/low-emissions-options-heavy-transport-step-closer</t>
  </si>
  <si>
    <t xml:space="preserve">NZL19</t>
  </si>
  <si>
    <t xml:space="preserve">NZD 210 million</t>
  </si>
  <si>
    <t xml:space="preserve">Part of NZD 3 billion infrastructure Investment Fund. Projects, focused on protecting land from soil erosion, flooding and the destruction of infrastructure associated with extreme weather events, will also create more than 500 jobs. </t>
  </si>
  <si>
    <t xml:space="preserve">https://www.beehive.govt.nz/release/less-flooding-more-jobs-southland-and-otago https://www.beehive.govt.nz/release/climate-resilience-packages-regions</t>
  </si>
  <si>
    <t xml:space="preserve">NZL20</t>
  </si>
  <si>
    <t xml:space="preserve">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</si>
  <si>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</si>
  <si>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 xml:space="preserve">https://www.beehive.govt.nz/release/big-boost-chatham-islands%E2%80%99-economy</t>
  </si>
  <si>
    <t xml:space="preserve">NZL21</t>
  </si>
  <si>
    <t xml:space="preserve">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</si>
  <si>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Approx 77 jobs for construction.
</t>
  </si>
  <si>
    <t xml:space="preserve">NOR1</t>
  </si>
  <si>
    <t xml:space="preserve">NOR</t>
  </si>
  <si>
    <t xml:space="preserve">NOK 6 billion</t>
  </si>
  <si>
    <t xml:space="preserve">Loan guaranties to airline companies under some conditions</t>
  </si>
  <si>
    <t xml:space="preserve">NOK</t>
  </si>
  <si>
    <t xml:space="preserve">NOR2</t>
  </si>
  <si>
    <t xml:space="preserve">Suspension  of the air passengers tax from 1 January until 31 October 2020</t>
  </si>
  <si>
    <t xml:space="preserve">NOR3</t>
  </si>
  <si>
    <t xml:space="preserve">NOK 59 
billion in 2020 and NOK 40 billion in 2021. Tax revenues should increase in later years.</t>
  </si>
  <si>
    <t xml:space="preserve">Several temporary tax reductions fort oil companies operating on the continental shelf, combined with new committments to reduce emissions.
A tax relief package has been recently approved by the Norwegian government which will benefit liquidity and reduce breakeven prices for near term projects by about 40% on average, for use by oil and gas exploration and production companies. 
The package will allow O&amp;G companies to deduct costs faster and is expected to fast-track new projects on the Norwegian continental shelf over the next two years.</t>
  </si>
  <si>
    <t xml:space="preserve">https://www.regjeringen.no/contentassets/a29386c923894b9b91a8df7a0903fff2/no/pdfs/prp201920200127000dddpdfs.pdf
https://oilprice.com/Energy/Energy-General/Tax-Relief-Lowers-Breakeven-Prices-For-Norwegian-Oil-Drillers.html</t>
  </si>
  <si>
    <t xml:space="preserve">NOR4</t>
  </si>
  <si>
    <t xml:space="preserve">NOK 2 billion in 2020
NOK 3.3 billion in 2021</t>
  </si>
  <si>
    <t xml:space="preserve">Increased grant  to "Enova", which provides R&amp;D funding for industries</t>
  </si>
  <si>
    <t xml:space="preserve">https://www.regjeringen.no/contentassets/a29386c923894b9b91a8df7a0903fff2/no/pdfs/prp201920200127000dddpdfs.pdf</t>
  </si>
  <si>
    <t xml:space="preserve">23.10.20</t>
  </si>
  <si>
    <t xml:space="preserve">NOR5</t>
  </si>
  <si>
    <t xml:space="preserve">NOK 485 million</t>
  </si>
  <si>
    <t xml:space="preserve">Grants to promote green shipping, including R&amp;D and investments in low-emission ships</t>
  </si>
  <si>
    <t xml:space="preserve">NOR6</t>
  </si>
  <si>
    <t xml:space="preserve">NOK 333 million in 2020; NOK 1 Billion over 3 years</t>
  </si>
  <si>
    <t xml:space="preserve">Increased grants to 3 R&amp;D-funding organisations other than Enova</t>
  </si>
  <si>
    <t xml:space="preserve">NOR7</t>
  </si>
  <si>
    <t xml:space="preserve">NOK 100 million</t>
  </si>
  <si>
    <t xml:space="preserve">Grants to stimulate a circular economy</t>
  </si>
  <si>
    <t xml:space="preserve">NOR8</t>
  </si>
  <si>
    <t xml:space="preserve">NOK 25 million</t>
  </si>
  <si>
    <t xml:space="preserve">Grants to promote ocean-based wind tubines</t>
  </si>
  <si>
    <t xml:space="preserve">NOR9</t>
  </si>
  <si>
    <t xml:space="preserve">Almost NOK 20 million</t>
  </si>
  <si>
    <t xml:space="preserve">Grants to support genbanks for wild salmon, etc.</t>
  </si>
  <si>
    <t xml:space="preserve">NOR10</t>
  </si>
  <si>
    <t xml:space="preserve">NOK 30 million</t>
  </si>
  <si>
    <t xml:space="preserve">Grants to increase the basic funding of environmental research institutions</t>
  </si>
  <si>
    <t xml:space="preserve">NOR11</t>
  </si>
  <si>
    <t xml:space="preserve">NOK 50 million in 2020
NOK 100 million in 2021</t>
  </si>
  <si>
    <t xml:space="preserve">Grants to "Klimasats", which supports measures in local authorities to reduce GHG emissions</t>
  </si>
  <si>
    <t xml:space="preserve">NOR12</t>
  </si>
  <si>
    <t xml:space="preserve">NOK 13 million</t>
  </si>
  <si>
    <t xml:space="preserve">Increased grants to support measures to prevent invasive species</t>
  </si>
  <si>
    <t xml:space="preserve">NOR13</t>
  </si>
  <si>
    <t xml:space="preserve">A reduction in the compulsory capital reserve requirements for banks, in order to avoid a reduction in their lending activities.</t>
  </si>
  <si>
    <t xml:space="preserve">NOR14</t>
  </si>
  <si>
    <t xml:space="preserve">A reduction to zero of Bank of Norway's lending rate to the banks, in three stages, from 1½% prior to the crisis.</t>
  </si>
  <si>
    <t xml:space="preserve">NOR15</t>
  </si>
  <si>
    <t xml:space="preserve">NOK 2 billion. The Government may exceed the limit by NOK 300 million if needed</t>
  </si>
  <si>
    <t xml:space="preserve">Purchase of regional air transport services, in order to compensate to income losses</t>
  </si>
  <si>
    <t xml:space="preserve">NOR16</t>
  </si>
  <si>
    <t xml:space="preserve">NOK 35 million. Orininally NOK 100 was allocated, but due to low demand, the grant was reduced.</t>
  </si>
  <si>
    <t xml:space="preserve">Purchase of services from airline companies for home transport of Norwegian citizens from abroad</t>
  </si>
  <si>
    <t xml:space="preserve">NOR17</t>
  </si>
  <si>
    <t xml:space="preserve">NOK 235 million </t>
  </si>
  <si>
    <t xml:space="preserve">Purchase of services from ferry companies operating in connection with national roads, in order to compensate to income losses</t>
  </si>
  <si>
    <t xml:space="preserve">NOR18</t>
  </si>
  <si>
    <t xml:space="preserve">NOK 100 million </t>
  </si>
  <si>
    <t xml:space="preserve">Income support for commercial bus and ferry companies</t>
  </si>
  <si>
    <t xml:space="preserve">NOR19</t>
  </si>
  <si>
    <t xml:space="preserve">NOK 1550 million. The Government may exceed the limit by NOK 300 if needed.</t>
  </si>
  <si>
    <t xml:space="preserve">Purchase of services from railway companies, in order to compensate to income losses</t>
  </si>
  <si>
    <t xml:space="preserve">NOR20</t>
  </si>
  <si>
    <t xml:space="preserve">NOK 900 million</t>
  </si>
  <si>
    <t xml:space="preserve">Increased maintenance of road, railway and coastal infrastructure</t>
  </si>
  <si>
    <t xml:space="preserve">NOR21</t>
  </si>
  <si>
    <t xml:space="preserve">NOK 1900 million</t>
  </si>
  <si>
    <t xml:space="preserve">Compensation for income losses for rail and other public transport companies, due to the COVID crisis, covering the first 6 months of 2021</t>
  </si>
  <si>
    <t xml:space="preserve">https://www.regjeringen.no/no/dokumenter/meld.-st.-1-20202021/id2768215/</t>
  </si>
  <si>
    <t xml:space="preserve">22.10.20</t>
  </si>
  <si>
    <t xml:space="preserve">NOR22</t>
  </si>
  <si>
    <t xml:space="preserve">NOK 40 million</t>
  </si>
  <si>
    <t xml:space="preserve">Grant to cover the operating deficit for the last remaining coal mine on the remote island of Spitsbergen. </t>
  </si>
  <si>
    <t xml:space="preserve">https://www.regjeringen.no/no/aktuelt/regjeringa-vil-dekkje-driftsunderskottet-i-gruve-7-pa-svalbard/id2769019/ </t>
  </si>
  <si>
    <t xml:space="preserve">The community in the population centre of this very remote island relies on coal from this mine to generate electricity.</t>
  </si>
  <si>
    <t xml:space="preserve">NOR23</t>
  </si>
  <si>
    <t xml:space="preserve">NOK 700 million</t>
  </si>
  <si>
    <t xml:space="preserve">Grant to increase the capital of the venture company "Nysnø" (New Snow), which invests in firms that develop new climate-friendly technologies.</t>
  </si>
  <si>
    <t xml:space="preserve">https://www.regjeringen.no/no/aktuelt/meir-pengar-til-klimavenlege-investeringar-i-nysno2/id2769012/ </t>
  </si>
  <si>
    <t xml:space="preserve">The venture company was established in 2017, and its capital now stands at NOK 2425 million.</t>
  </si>
  <si>
    <t xml:space="preserve">NOR24</t>
  </si>
  <si>
    <t xml:space="preserve">NOK 600 million</t>
  </si>
  <si>
    <t xml:space="preserve">Loans to support green fleet renewal in the coastal transport and fisheries sectors.</t>
  </si>
  <si>
    <t xml:space="preserve"> https://www.regjeringen.no/no/aktuelt/regjeringa-fortset-satsinga-pa-gron-skipsfart-og-maritim-naring/id2769006/ </t>
  </si>
  <si>
    <t xml:space="preserve">POL1</t>
  </si>
  <si>
    <t xml:space="preserve">POL</t>
  </si>
  <si>
    <t xml:space="preserve">The compensation system for energy-intensive sectors and sub-sectors to improve and accelerate compensation payments for indirect costs of emission allowances that were incurred by energy-intensive enterprises in 2019;</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</si>
  <si>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</si>
  <si>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 xml:space="preserve">POL2</t>
  </si>
  <si>
    <t xml:space="preserve">Postponing the dates of activities related to environmental protection: plans to build charging station networks, air protection plans, reporting dates for entrepreneurs, proceedings conducted on the basis of the provisions of the Energy Law;</t>
  </si>
  <si>
    <t xml:space="preserve">https://www.gov.pl/web/tarczaantykryzysowa/nowe-terminy </t>
  </si>
  <si>
    <t xml:space="preserve">https://dziennikustaw.gov.pl/D2020000069501.pdf
https://wyborcza.pl/7,155287,25821533,sa-juz-gotowe-projekty-ustaw-o-pomocy-pracownikom-i-firmom.html</t>
  </si>
  <si>
    <t xml:space="preserve">Consider verification of impact as not related to long term consequences </t>
  </si>
  <si>
    <t xml:space="preserve">POL3</t>
  </si>
  <si>
    <t xml:space="preserve">Conditional possibility of utilization of medical waste in thermal waste treatment installations technologically adapted to this (appropriate combustion temperatures, etc.), which do not have the required decisions and permits.</t>
  </si>
  <si>
    <t xml:space="preserve">https://www.dentons.com/pl/insights/alerts/2020/april/1/covid-19-environmental-alert</t>
  </si>
  <si>
    <t xml:space="preserve">POL4</t>
  </si>
  <si>
    <t xml:space="preserve">n/a</t>
  </si>
  <si>
    <t xml:space="preserve">"Facilitation of investment in new technologies".</t>
  </si>
  <si>
    <t xml:space="preserve">https://serwisy.gazetaprawna.pl/nowe-technologie/artykuly/1475040,uzyskaniu-kredytu-na-innowacje-technologiczne.html</t>
  </si>
  <si>
    <t xml:space="preserve">POL5</t>
  </si>
  <si>
    <t xml:space="preserve">PLN 300 million (EUR 68 million)</t>
  </si>
  <si>
    <t xml:space="preserve">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</si>
  <si>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 xml:space="preserve">https://www.gov.pl/web/tarczaantykryzysowa/zielona-tarcza-wojewodzkie-fundusze-ochrony-srodowiska-i-gospodarki-wodnej-wspieraja-przedsiebiorcow-w-czasie-epidemii</t>
  </si>
  <si>
    <t xml:space="preserve">POL6</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</si>
  <si>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</si>
  <si>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 xml:space="preserve">https://www.cire.pl/item,204624,1,0,0,0,0,0,minister-klimatu-zatwierdzil-regulamin-tegorocznych-aukcji-oze.html (accessed 21 Sep 2020)</t>
  </si>
  <si>
    <t xml:space="preserve">POL7</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</si>
  <si>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</si>
  <si>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 xml:space="preserve">https://www.cire.pl/item,203346,1,0,0,0,0,0,prezydent-podpisal-zmiane-ustawy-o-oze-z-nowa-definicja-drewna-energetycznego.html (accessed 8 Sep 2020)</t>
  </si>
  <si>
    <t xml:space="preserve">POL8</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</si>
  <si>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</si>
  <si>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 xml:space="preserve">https://www.gov.pl/web/aktywa-panstwowe/informacja-dotyczaca-dzialan-podjetych-w-sektorze-energetyki-i-gornictwa-wegla-kamiennego</t>
  </si>
  <si>
    <t xml:space="preserve">POL9</t>
  </si>
  <si>
    <t xml:space="preserve">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</si>
  <si>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 xml:space="preserve">https://www.gov.pl/web/infrastruktura/ponad-140-mln-zl-rzadowego-wsparcia-dla-lotnisk</t>
  </si>
  <si>
    <t xml:space="preserve">POL10</t>
  </si>
  <si>
    <t xml:space="preserve">PLN 50 million</t>
  </si>
  <si>
    <t xml:space="preserve">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</si>
  <si>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 xml:space="preserve">https://media.tauron.pl/pr/555846/grupa-tauron-niemal-10-mld-zl-przychodow-i-2-4-mld-zl-ebitda-w-pierwszym-polroczu-2020-r</t>
  </si>
  <si>
    <t xml:space="preserve">POL11</t>
  </si>
  <si>
    <t xml:space="preserve">Clean transport as a mitigation tool for local governments - support for CTZs</t>
  </si>
  <si>
    <t xml:space="preserve">Country submission</t>
  </si>
  <si>
    <t xml:space="preserve">Early stage of the project - no information published</t>
  </si>
  <si>
    <t xml:space="preserve">Poland is facing the challenge of decarbonizing the transport sector. As much as 93% of greenhouse gases coming from the transport sector are generated by road transport.  While the law of 11.01.2018 on electromobility and alternative fuels (the Act of 11.01.2018) introducedbinding targets for the gradual replacement of the public transport fleet with low- and zero-emissionvehicles, there are no top-down obligations or restrictions for private passenger vehicles.  Currently, Poland has one of the highest motorization rates in the European Union (698 vehicles  per 1000 inhabitants, EU average 602). The Clean Transport Zone (CTZ) can and should become a tool to stimulate thedevelopment of zero-emission transport and reduce pollutant emissions.  This is also confirmed by the results of the survey - 64.8% of Poles agree to establishCTZ in the city where they live. The project will be addressed mainly to 38 Polish cities  meeting the statutory criterion of 100,000 inhabitants. The workshops will be addressed to representatives of local government units, which  have expressed interest in gaining knowledge about the creation and functioning of CTZ.  Activities: Conducting practical workshops for representatives of local government units, carried out by  a team of Polish experts as well as foreign partners. Organization of study vistis to Norway. Consultations - exchange of knowledge and joint solutions to sample problems that can  appear at the CTZ stage. Social awareness. Signing letters of intent. Substantive report. Results of the project:  Increased interest of Polish cities in establishing or piloting a fully-fledged CTZ. Acquisition by officials of competences allowing for proper design of zones. Building social acceptance for introducing this type of solution. Establishing bilateral contacts and possible cooperation between Polishand European municipalities. Promotional and educational campaigns that will influence the level of local acceptance for the introduction of the zones. Strategic goal - Equipping Polish city authorities with knowledge and skills  necessary to create a clean transport zone. </t>
  </si>
  <si>
    <t xml:space="preserve">PLN</t>
  </si>
  <si>
    <t xml:space="preserve">POL12</t>
  </si>
  <si>
    <t xml:space="preserve">PLN 2.2 million (2 yr)</t>
  </si>
  <si>
    <t xml:space="preserve">Green Funds Search Engine (Wyszukiwarka EkoDotacji)</t>
  </si>
  <si>
    <t xml:space="preserve">www.ekodotacje.ios.edu.pl</t>
  </si>
  <si>
    <t xml:space="preserve">To increase the accessibility of the green funds and loans, the National Center for Climate Change developed a web page that provides categorised information on suitable financial supporting schemes. This free tool allows all kinds of users (households, entrepreneurs, NGOs, public institutions) to find the most adequate local, national, international programme to finance their pro-climate investments. In future it is planned to support the web page with the information contact point that will advise the investors more precisely on the most suitable subsidy for their plans.</t>
  </si>
  <si>
    <t xml:space="preserve">POL13</t>
  </si>
  <si>
    <t xml:space="preserve">PLN 2 million</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</si>
  <si>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</si>
  <si>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 xml:space="preserve">https://www.rockefellerfoundation.org/report/city-resilience-framework/</t>
  </si>
  <si>
    <t xml:space="preserve">POL14</t>
  </si>
  <si>
    <t xml:space="preserve">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</si>
  <si>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</si>
  <si>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 xml:space="preserve">POL15</t>
  </si>
  <si>
    <t xml:space="preserve">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</si>
  <si>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</si>
  <si>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 xml:space="preserve">https://unfccc.int/topics/education-and-outreach/resources/ace-guidelines</t>
  </si>
  <si>
    <t xml:space="preserve">POL16</t>
  </si>
  <si>
    <t xml:space="preserve">PLN 304 million</t>
  </si>
  <si>
    <t xml:space="preserve">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</si>
  <si>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 xml:space="preserve">POL17</t>
  </si>
  <si>
    <t xml:space="preserve">PLN 1.5 million</t>
  </si>
  <si>
    <t xml:space="preserve">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</si>
  <si>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 xml:space="preserve">POL19</t>
  </si>
  <si>
    <t xml:space="preserve">EUR 1.77 billion</t>
  </si>
  <si>
    <t xml:space="preserve">Support scheme package launched by the NFEP&amp;WM to facilitate investment in energy transition (launched in spring 2020)</t>
  </si>
  <si>
    <t xml:space="preserve">www.nfosigw.gov.pl</t>
  </si>
  <si>
    <t xml:space="preserve">POL20</t>
  </si>
  <si>
    <t xml:space="preserve">New Law for Offshore Wind Farm</t>
  </si>
  <si>
    <t xml:space="preserve">https://www.gov.pl/web/klimat/ustawa-offshore-przyjeta-przez-senat</t>
  </si>
  <si>
    <t xml:space="preserve">POL21</t>
  </si>
  <si>
    <t xml:space="preserve">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</si>
  <si>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t>
  </si>
  <si>
    <t xml:space="preserve">https://www.gov.pl/web/fundusze-regiony/konkurs-dotacji-w-ramach-partnerskiej-inicjatywy-miast-dla-sieci-pilotazowych-w-latach-2017--2019</t>
  </si>
  <si>
    <t xml:space="preserve">POL22</t>
  </si>
  <si>
    <t xml:space="preserve">Regulation of the Council of Ministries on the maximum amount and value of energy from renewable energy sources that can be sold at auctions in 2021 r.</t>
  </si>
  <si>
    <t xml:space="preserve">https://www.cire.pl/item,209269,1,0,0,0,0,0,rzad-przyjal-rozporzadzenie-w-sprawie-przyszlorocznych-aukcji-oze-.html</t>
  </si>
  <si>
    <t xml:space="preserve">https://isap.sejm.gov.pl/isap.nsf/DocDetails.xsp?id=WDU20200002363</t>
  </si>
  <si>
    <t xml:space="preserve">POL25</t>
  </si>
  <si>
    <t xml:space="preserve">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</si>
  <si>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 xml:space="preserve">Ministry of Climate and Environment</t>
  </si>
  <si>
    <t xml:space="preserve">https://www.gov.pl/web/klimat/program-polskiej-energetyki-jadrowej1</t>
  </si>
  <si>
    <t xml:space="preserve">PRT1</t>
  </si>
  <si>
    <t xml:space="preserve">PRT</t>
  </si>
  <si>
    <t xml:space="preserve">Expansion of the Lisbon and Porto metros, new bridge over the Douro. It also proposes to accelerate the electric mobility of cities, including providing public transport fleets with zero-emission vehicles, electric or hydrogen.</t>
  </si>
  <si>
    <t xml:space="preserve">PRT2</t>
  </si>
  <si>
    <t xml:space="preserve">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</si>
  <si>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 xml:space="preserve">PRT3</t>
  </si>
  <si>
    <t xml:space="preserve">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</si>
  <si>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 xml:space="preserve">PRT4</t>
  </si>
  <si>
    <t xml:space="preserve">Centre for managing natural hazards and solutions for the water scarcity. Evidencing a concern with the transformation of the landscape, in order to restore ecosystems, balance land use and combat desertification, the preliminary version highlights the need to create a competence centre for the management of natural and public health risks.
“Portugal may face significant risks in the future, not only in terms of new pandemics, but also in terms of seismic, energy, climate, cyber attacks, natural risks of various types. It is important for the country to invest in its capacities and human resources directed towards the identification and prevention of risk, and the development of response strategies and resilience of the territory”</t>
  </si>
  <si>
    <t xml:space="preserve">https://www.portugal.gov.pt/download-ficheiros/ficheiro.aspx?v=%3d%3dBQAAAB%2bLCAAAAAAABAAzNDCztAQAGgIv2wUAAAA%3d</t>
  </si>
  <si>
    <t xml:space="preserve">PRT5</t>
  </si>
  <si>
    <t xml:space="preserve">International consortia to explore national resources. Unclear the implications: the policy proposed creation of "international consortia" to take advantage of its strategic resources such as minerals for energy transition (lithium, cobalt, nickel, niobium, tantalum, rare earths) important in the energy transition (manufacture of new batteries, high-end electronics industry precision) - but extraction will have environmental implications.</t>
  </si>
  <si>
    <t xml:space="preserve">PRT6</t>
  </si>
  <si>
    <t xml:space="preserve">140 M Euros</t>
  </si>
  <si>
    <t xml:space="preserve">Waters of Portugal has developed a Urban Water Cycle which includes a set of interventions for the increased resilience and improvement the quality of service of supply systems water and sanitation. (Plan for 2030)</t>
  </si>
  <si>
    <t xml:space="preserve">PRT7</t>
  </si>
  <si>
    <t xml:space="preserve">480 M Euros</t>
  </si>
  <si>
    <t xml:space="preserve">Promotion of Asset Renewal: Ensuring better functional conditions for water supply and water drainage system infrastructures
domestic wastewater and rainwater, contributing to operational optimization and improving service quality provided. (2021-2030)</t>
  </si>
  <si>
    <t xml:space="preserve">PRT8</t>
  </si>
  <si>
    <t xml:space="preserve">724 M Euros</t>
  </si>
  <si>
    <t xml:space="preserve">Increased Resiliance of Water Supply Systems, Water and Rainwater Drainage:Contribute to the efficient use of water, reduce vulnerability and ensure the resilience of systems and infrastructure, as well as
maintenance of the service in the context of climate change and the occurrence of extreme events.(2021-2030)</t>
  </si>
  <si>
    <t xml:space="preserve">PRT9</t>
  </si>
  <si>
    <t xml:space="preserve">109 M Euros</t>
  </si>
  <si>
    <t xml:space="preserve">Promoting Circular Transition for Water Supply: Valuing the resources and by-products generated in the urban water cycle, promoting increased levels of eco-efficiency,
environmental sustainability and innovation (2021-2030)</t>
  </si>
  <si>
    <t xml:space="preserve">PRT10</t>
  </si>
  <si>
    <t xml:space="preserve">204 M Euros</t>
  </si>
  <si>
    <t xml:space="preserve">Decarbonisation of Water Sector and Support Climate Change Adaptation: Contribute to the efficient valorisation of available resources, ensuring a sustainable trajectory for reducing greenhouse gas (GHG) emissions, with direct effects on mitigating climate change</t>
  </si>
  <si>
    <t xml:space="preserve">PRT11</t>
  </si>
  <si>
    <t xml:space="preserve">130 M Euros</t>
  </si>
  <si>
    <t xml:space="preserve">Program to Adapt regions with water to risk of flooding by contributing to the development of a higher resilient society that can face climate change while protecting hydro resources to the risk associated to flooding. </t>
  </si>
  <si>
    <t xml:space="preserve">PRT12</t>
  </si>
  <si>
    <t xml:space="preserve">580 M Euros</t>
  </si>
  <si>
    <t xml:space="preserve">Program for protecting and revaluing hydro resources: Guarantee the compliance of the Directive of Water, ensuring the good state of water sources and disponibility of the resource to support populations, economic activities and ecosystems. </t>
  </si>
  <si>
    <t xml:space="preserve">PRT13</t>
  </si>
  <si>
    <t xml:space="preserve">600 M Euros</t>
  </si>
  <si>
    <t xml:space="preserve">Adaptation Program of Hydro Areas and Droughts seeks to contribute to the creation of a society that is better prepared for the new climate challenges, ensuring simmultaneausly protection of hydro resources and adaptation of these regions to extreme droughts. </t>
  </si>
  <si>
    <t xml:space="preserve">PRT14</t>
  </si>
  <si>
    <t xml:space="preserve">150 M Euros</t>
  </si>
  <si>
    <t xml:space="preserve">Monitoring of marine biodiversity and maritime space by deepening the knowledge of the portuguese sea, understand biodiversity and ecosystems. Develop new systems for monitoring and observating marine areas and develop a network of Marine Protected Areas</t>
  </si>
  <si>
    <t xml:space="preserve">PRT15</t>
  </si>
  <si>
    <t xml:space="preserve">75 M Euros</t>
  </si>
  <si>
    <t xml:space="preserve">Development of Sustainable Agriculture: Promote a sustainable agricultural production in open seas and circular systems to ensure use of all all nutrients. Additionally promote the incorporation of all side-products created in well established chains of production. </t>
  </si>
  <si>
    <t xml:space="preserve">PRT16</t>
  </si>
  <si>
    <t xml:space="preserve">3.850 M Euros</t>
  </si>
  <si>
    <t xml:space="preserve">Sustainable Mobility an Public Transport includes 3.850 M Euros in three different policies. Firstly, Consolidation of Metro Networks (1.895 M Euros), Collective Transport AM (1.755 M Euros) and Collective Transport CIM (200 M Euros), Decarbonising Transport (590 M Euros), National Cycling Grid (300 M Euros), Urban Logistical Decarbonisation (450 M Euros), Electrical Mobility (360 M Euros), Flexible Mobility (75 M Euros) and Innovative Solutions (200 M Euros). PROTransP - program that finances the increase in the offer of public transportation outside the two metropolitan areas of the country - will be provided with € 15 M, the Environmental Fund being also the source of financing</t>
  </si>
  <si>
    <t xml:space="preserve">PRT17</t>
  </si>
  <si>
    <t xml:space="preserve">6.901 M Euros (2021)</t>
  </si>
  <si>
    <t xml:space="preserve">Sustinable Environment Support which includes CUA, Residual Management, Hydro Resources, Nature Conservation, Forestry, Marine Resources (Together Private and Public Investments ranging up to 7.418 M Euros till 2030). </t>
  </si>
  <si>
    <t xml:space="preserve">PRT18</t>
  </si>
  <si>
    <t xml:space="preserve">223 M Euros</t>
  </si>
  <si>
    <t xml:space="preserve">Solutions for Collective Organic Resiudes: Promote innovative solutions for the selective collection of organic and biodegradable products, as well as reinforce selective collection
multimaterial, in view of new targets foreseen for 2030</t>
  </si>
  <si>
    <t xml:space="preserve">PRT19</t>
  </si>
  <si>
    <t xml:space="preserve">535 M Euros</t>
  </si>
  <si>
    <t xml:space="preserve">Promote the efficient use of resources in the transition to a circular economy, covering production, consumption, waste management and the market for secondary raw materials</t>
  </si>
  <si>
    <t xml:space="preserve">PRT20</t>
  </si>
  <si>
    <t xml:space="preserve">2 M Euros</t>
  </si>
  <si>
    <t xml:space="preserve">The Environmental Fund will provide support to municipalities or associations of municipalities up to € 2 million. The objective of this budget is to support the implementation of the Biorresident Strategy, with the objective of diverting this waste from landfills. and incineration, through separation and recycling solutions at the source and a selective collection network. This will contribute to the mitigation of climate change, the return of organic matter to the soil and the production of energy</t>
  </si>
  <si>
    <t xml:space="preserve">PRT21</t>
  </si>
  <si>
    <t xml:space="preserve">Mitigation and Environmental Recovery of contaminated areas resulting from old industrial abandonned areas: Repurpose degraded territories from old industrial zones like coal mines and prevention of contamination of soils, providing higher public and environmental health. </t>
  </si>
  <si>
    <t xml:space="preserve">PRT22</t>
  </si>
  <si>
    <t xml:space="preserve">Pick up of marine waste in particular in regards to fishing equipement: Contribute to the reduction of sea waste and support of new projects of puck up waste and environmentally-friendly disposal of fishing equipement. </t>
  </si>
  <si>
    <t xml:space="preserve">PRT23</t>
  </si>
  <si>
    <t xml:space="preserve">13.060 M Euros</t>
  </si>
  <si>
    <t xml:space="preserve">Energy Grids, Production, Energy Efficiency and Renewable Gases</t>
  </si>
  <si>
    <t xml:space="preserve">PRT24</t>
  </si>
  <si>
    <t xml:space="preserve">Continued elimination of tax exemptions in the area of product tax petroleum and energy (ISP) that are used in the production of electricity from more polluting fuels, extending this policy to the autonomous regions. Additionally, the scope of theelimination of carbon tax exemptions for the most polluting fuels (coal, fuel and petroleum coke)</t>
  </si>
  <si>
    <t xml:space="preserve">The exact quantity of Tax Exemptions changes as new policies are established but currently they range between 10 000 000 euros in 2020 to 9 820 000 Euros in 2021</t>
  </si>
  <si>
    <t xml:space="preserve">PRT25</t>
  </si>
  <si>
    <t xml:space="preserve">80 M Euros </t>
  </si>
  <si>
    <t xml:space="preserve">With an investment budget of around 80 million, ICNF will reinforce its role in the execution of the Landscape Transformation programs for Vulnerable Forest Territories and structural fire prevention forestry, with emphasis on the execution of the primary network of fuel management bands, including the implementation and the payment of administrative subsidies. Florestgal, S.A. will become a key organization in the landscape transformation policy, reinforcing its role in management of forests and rustic and mixed properties that are of particular relevance for fire prevention forestry</t>
  </si>
  <si>
    <t xml:space="preserve">PRT26</t>
  </si>
  <si>
    <t xml:space="preserve">495 M Euros</t>
  </si>
  <si>
    <t xml:space="preserve">Program for Protecting Zones at Risk: Ensuring the protection and maintenance of the coastline, adapting the territory to climate change and safeguarding people, goods and natural systems and reinforce scientific knowledge about coastal dynamics (2021-2030)</t>
  </si>
  <si>
    <t xml:space="preserve">PRT27</t>
  </si>
  <si>
    <t xml:space="preserve">74 M Euros</t>
  </si>
  <si>
    <t xml:space="preserve">Program for revaluing coastal activities: Increase the contribution that economic activities in coastal regions generate while ensuring its decarbonisation, adaptation and circularity. </t>
  </si>
  <si>
    <t xml:space="preserve">PRT28</t>
  </si>
  <si>
    <t xml:space="preserve">231 M Euros</t>
  </si>
  <si>
    <t xml:space="preserve">Safeguard and enhance coastal resources and systems, as well as the rehabilitation of the seafront, the preservation and enhancement of the natural, scenic and historical-cultural heritage, which marks the litora's image</t>
  </si>
  <si>
    <t xml:space="preserve">PRT29</t>
  </si>
  <si>
    <t xml:space="preserve">120 M Euros</t>
  </si>
  <si>
    <t xml:space="preserve">Improvement of the state of conservation of the natural patrimony: Global compromise to end biodiversity loss that will bring wealth in both cultural and social dimensions to the country</t>
  </si>
  <si>
    <t xml:space="preserve">PRT30</t>
  </si>
  <si>
    <t xml:space="preserve">100 M Euros</t>
  </si>
  <si>
    <t xml:space="preserve">Promotion of knowledge based on natural resources and recognition of its true value to society</t>
  </si>
  <si>
    <t xml:space="preserve">PRT32</t>
  </si>
  <si>
    <t xml:space="preserve">800 M Euros</t>
  </si>
  <si>
    <t xml:space="preserve">Promotion of Landscape transformation of vulnerable forestry territories by turning these territories more resilient to fires by promotng a structural change in management models.</t>
  </si>
  <si>
    <t xml:space="preserve">PRT33</t>
  </si>
  <si>
    <t xml:space="preserve">250 M Euros</t>
  </si>
  <si>
    <t xml:space="preserve">Concentration of a primary network of fuel management: Strucutral Primary Network with the objective of segregate landscapes in order to limit the reach of forestry fires by reducing their occurrence in accordance with the carbon neutrality objectives assumed by Portugal by 2050. </t>
  </si>
  <si>
    <t xml:space="preserve">PRT34</t>
  </si>
  <si>
    <t xml:space="preserve">Investment to fulfill the purposes for which the areas subject to the Forestry Regime are intended: “creation, exploitation and conservation of forestry wealth, from the point of view of view of the national economy, but also the forest cover of land whose afforestation is of public utility, and convenient or necessary for the good water regime and defense of the floodplains, for the enhancement of arid plains and the benefit of the climate, or for the fixation and conservation of the soil, in the mountains, and the sands on the sea coast ”</t>
  </si>
  <si>
    <t xml:space="preserve">PRT35</t>
  </si>
  <si>
    <t xml:space="preserve">Creation of a forestry barrier against dessertification: Prevent and mitigate the effects of desertification by creating a forest barrier through soil densification and recovery degraded areas occupied by cork and holm oak and afforestation of new areas as measures to adapt to climate change, valuing the territory and promoting the sustainability of its resources</t>
  </si>
  <si>
    <t xml:space="preserve">SVK1</t>
  </si>
  <si>
    <t xml:space="preserve">SVK</t>
  </si>
  <si>
    <t xml:space="preserve">2.097 billion EUR</t>
  </si>
  <si>
    <t xml:space="preserve">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</si>
  <si>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 xml:space="preserve">https://sario.sk/sites/default/files/files/new_loan_instrument_for_smes_by_sih-sih_anti-corona_guarantee_2.pdf</t>
  </si>
  <si>
    <t xml:space="preserve">SVK2</t>
  </si>
  <si>
    <t xml:space="preserve">-</t>
  </si>
  <si>
    <t xml:space="preserve">Due to COVID the adoption of deposit refund system for beverage packaging has been postoned by one year (to 2023). This was due to administrative constraints during the COVID pandemic (regarding the selection of the system administrator). It is now being discussed that this amendment of Act is to be repealed so as to still make the legislation effective by 2022 as planned.  The Amendment has now been repealed and the legislation will take effect as planned in January 2022.
In April 2020, amendments to 11 individual laws (e.g. water, geology, waste, air) were passed. The consequence was to temporarily halt/postpone deadlines for issuing decisions, deadlines for applications for financial compensation as well as applications for financial support from the Environmental Fund. Currently only the amendment of act suspending the EIA (environmental impact assessments) is still in place. This amendment is now also scheduled to be repealed.  Repealed.</t>
  </si>
  <si>
    <t xml:space="preserve">ORIGINAL ANNOUNCEMENTS:
https://www.odpady-portal.sk/Dokument/105249/zalohovanie-sa-posuva-o-rok-viacere-lehoty-dostali-odklad-nr-sr-prijala-dolezite-zmeny.aspx
https://www.odpady-portal.sk/Dokument/105313/covid-19-ovplyvnuje-legislativu-v-oblasti-zivotneho-prostredia.aspx
https://www.minzp.sk/spravy/100-dni-ministra-jana-budaja-restart-ministerstva-zivotneho-prostredia-sr.html
REPEALED:
https://www.minzp.sk/spravy/minister-jan-budaj-chce-dodrzat-termin-spustenia-zalohovania-pet-flias.html
https://www.enviroportal.sk/clanok/konania-v-oblasti-zivotneho-prostredia-sa-spriechodnia-odobrila-to-prezidentka</t>
  </si>
  <si>
    <t xml:space="preserve">Please note that the postponement of the individual environmental proceedings due to Covid-19 has been repealed by the Parliament in October. Keeping the entry here for the record.</t>
  </si>
  <si>
    <t xml:space="preserve">SVK3</t>
  </si>
  <si>
    <t xml:space="preserve">Removing duplicate emissions reporting for resources included in the ETS.
Eliminating duplicate reporting of emissions data to the National Emission Information System and National Pollution Register.
Removing duplicate charging for listed resources within the ETS.</t>
  </si>
  <si>
    <t xml:space="preserve">https://www.mhsr.sk/uploads/files/O7zsfw1f.pdf</t>
  </si>
  <si>
    <t xml:space="preserve">SVK4</t>
  </si>
  <si>
    <t xml:space="preserve">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</si>
  <si>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 xml:space="preserve">SVK5</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</si>
  <si>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</si>
  <si>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 xml:space="preserve">SVK6</t>
  </si>
  <si>
    <t xml:space="preserve">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</si>
  <si>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 xml:space="preserve">https://www.odpady-portal.sk/Dokument/105543/vlada-schvalila-rozsiahle-zmeny-v-odpadovom-hospodarstve-platit-maju-uz-od-1-oktobra.aspx
https://www.odpady-portal.sk/Dokument/105626/exkluzivne-zmeny-v-zakone-c-792015-o-odpadoch-schvalene-24-septembra-2020.aspx</t>
  </si>
  <si>
    <t xml:space="preserve">Please note that the amendment of law had been planned before the outbreak of the pandemic, but the latter has accelerated its adoption (to be effective from 1 October 2020) in a shortened legislative procedure as a response to "problems that have arisen also for emergency measures adopted in relation to the prevention of the spread of COVID-19".</t>
  </si>
  <si>
    <t xml:space="preserve">SVK7</t>
  </si>
  <si>
    <t xml:space="preserve">1.85 billion EUR</t>
  </si>
  <si>
    <t xml:space="preserve">Energy efficiency measures - part of the draft reform programme for the period 2021-2026 (for more information please refer to the comment field). More specifically:
- replacement of solid fuel boilers for households;
- comprehensive renovation of public and private buildings;
- reduction in volume of heat produced from coal.
(Note that the sectors affected are buildings and heating industry)</t>
  </si>
  <si>
    <t xml:space="preserve">https://spectator.sme.sk/c/22502978/the-finance-ministry-introduced-a-reform-plan-for-slovakia.html
https://digitalnakoalicia.sk/wp-content/uploads/2020/10/ModerneaUspesneSlovenskoza10minut.pdf
https://www.mfsr.sk/files/archiv/59/Moderne_a_uspesne_Slovensko_NIRP1.pdf</t>
  </si>
  <si>
    <t xml:space="preserve">The draft document titled "A Modern and Successful Slovakia" is Slovakia's new integrated reform plan, which aims at defining the necessary reforms for the period 2021-2016 across 8 areas. One of these is also the green economy. This is not a direct outcome of the pandemic, but it acknowledges climate change along with Covid as the main trigger behind the proposed measures for the green transition. The document is currently undergoing public consultation, and once approved it is intended to form a basis for Slovakia making use of the funds from the EU's Recovery plan. Please note the investment amounts in column F represent the estimated total financial needs for the period 2021 - 2026 and are incomplete (the missing amounts are to be added by April 2021).</t>
  </si>
  <si>
    <t xml:space="preserve">SVK8</t>
  </si>
  <si>
    <t xml:space="preserve">216 million EUR</t>
  </si>
  <si>
    <t xml:space="preserve">Circular economy transition measures - part of the draft reform programme for the period 2021-2026 (for more information please refer to the comment field). More specifically:
- reforming sorted collection of waste, and making pay-as-you-throw mandatory;
- availability of re-use centres;
- removal of priority illegal dumping sites.</t>
  </si>
  <si>
    <t xml:space="preserve">SVK9</t>
  </si>
  <si>
    <t xml:space="preserve">581 million EUR</t>
  </si>
  <si>
    <t xml:space="preserve">Measures for strengthening nature protection and supporting tourism and regions - part of the draft reform programme for the period 2021-2026 (for more information please refer to the comment field). More specifically:
- transfer of land in the third and higher level of nature protection under the administration of nature protection bodies;
- zoning of natural and national parks;
- implementation of regional development plans in protected areas.
(Note that the sectors affected are forestry and tourism)</t>
  </si>
  <si>
    <t xml:space="preserve">SVK10</t>
  </si>
  <si>
    <t xml:space="preserve">9.094 billion EUR</t>
  </si>
  <si>
    <t xml:space="preserve">other</t>
  </si>
  <si>
    <t xml:space="preserve">Efficient transport investments - part of the draft reform programme for the period 2021-2026 (for more information please refer to the comment field). More specifically:
- elaboration of priority plans for the development of road, rail, and cycling infrastructure and municipal public transportation;
- modernisation of laws to ensure more efficient construction and lay the groundwork for transport infrastructure;
- construction and modernisation of transport infrastructure according to new rules.
(Note that the main contribution, in terms of environmental focus, is the increased efficiency and environmental benefits of transport investments)</t>
  </si>
  <si>
    <t xml:space="preserve">SVK11</t>
  </si>
  <si>
    <t xml:space="preserve">TBA</t>
  </si>
  <si>
    <t xml:space="preserve">Comprehensive renovations of building across different sectors and fields as education or health care system. Energy efficiency measures will be included in renovation schemes. </t>
  </si>
  <si>
    <t xml:space="preserve">SVK12</t>
  </si>
  <si>
    <t xml:space="preserve">700 million EUR</t>
  </si>
  <si>
    <t xml:space="preserve">Comprehensive renovation of public and private buildings including historic buildings</t>
  </si>
  <si>
    <t xml:space="preserve">SVK13</t>
  </si>
  <si>
    <t xml:space="preserve">150 million EUR</t>
  </si>
  <si>
    <t xml:space="preserve">Adaptation to Climate Change (including biodiversity protection): adaptation measures, renaturalization of rivers, increasing strictly protected areas</t>
  </si>
  <si>
    <t xml:space="preserve">SVK14</t>
  </si>
  <si>
    <t xml:space="preserve">300 million EUR</t>
  </si>
  <si>
    <t xml:space="preserve">Decarbonisation of industry sectors: Allocation based on auction criteria of abatement cost per tonne of GHG emissions. The scheme will support broad spectre of businesses, both those included in the EU ETS and outside. 
</t>
  </si>
  <si>
    <t xml:space="preserve">SVK15</t>
  </si>
  <si>
    <t xml:space="preserve">750 million EUR</t>
  </si>
  <si>
    <t xml:space="preserve">Efficient transport investments - support of low-emission transport, ecological public and cargo transport and building the infrastructure for alternative fuels</t>
  </si>
  <si>
    <t xml:space="preserve">SVK16</t>
  </si>
  <si>
    <t xml:space="preserve">220 million EUR</t>
  </si>
  <si>
    <t xml:space="preserve">Renewable energy: Investment into new installed RES capacities, repowering of existing ones, supporting flexibility of the distribution networks and lastly supporting RES in district heating sector. </t>
  </si>
  <si>
    <t xml:space="preserve">SVN1</t>
  </si>
  <si>
    <t xml:space="preserve">SVN</t>
  </si>
  <si>
    <t xml:space="preserve">EUR million 2305</t>
  </si>
  <si>
    <t xml:space="preserve">Funding from the NRRP for sustainable and green transition (grants: EUR million 705; loans:EUR million 1600)</t>
  </si>
  <si>
    <t xml:space="preserve">https://www.gov.si/en/news/2020-10-08-government-approves-draft-national-recovery-and-resilience-plan/</t>
  </si>
  <si>
    <t xml:space="preserve">http://country.eiu.com/article.aspx?articleid=1910238574&amp;Country=Slovenia&amp;topic=Economy&amp;subtopic=Forecast&amp;subsubtopic=Fiscal+policy+outlook</t>
  </si>
  <si>
    <t xml:space="preserve">The Government approved on 8/10/20 the National Recovery and Resilience Plan (NRRP). Over the next 6 years Slovenia will utilise around EUR 5.7 billion of the funding available under the recovery instrument. In addition to EUR 5.2 billion available under the Recovery and Resilience Facility (RRF), Slovenia is also eligible to EUR 312 million available under the React-EU initiative, EUR 129 million under the Just Transition Fund and EUR 68 million for Rural Development. The government is planning investments in rail and motorway infrastructure, army equipment, and improvements to public health facilities (including energy savings), as well as targeting environmental improvements, scientific research and greater cost competitiveness. The environmental component of the available grants represents the largest share (42%).</t>
  </si>
  <si>
    <t xml:space="preserve">ESP1</t>
  </si>
  <si>
    <t xml:space="preserve">ESP</t>
  </si>
  <si>
    <t xml:space="preserve">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</si>
  <si>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 xml:space="preserve">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</si>
  <si>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 xml:space="preserve">ESP2</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</si>
  <si>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</si>
  <si>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 xml:space="preserve">https://www.boe.es/eli/es/o/2020/03/19/snd271</t>
  </si>
  <si>
    <t xml:space="preserve">https://www.miteco.gob.es/images/es/200331directricesdesarrolloomsnd2712020_tcm30-509522.pdf</t>
  </si>
  <si>
    <t xml:space="preserve">ESP3</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</si>
  <si>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</si>
  <si>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 xml:space="preserve">https://www.boe.es/eli/es/res/2020/05/04/(2)</t>
  </si>
  <si>
    <t xml:space="preserve">ESP4</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</si>
  <si>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</si>
  <si>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 xml:space="preserve">https://www.boe.es/eli/es/rdl/2020/03/17/8</t>
  </si>
  <si>
    <t xml:space="preserve">ESP5</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</si>
  <si>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</si>
  <si>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 xml:space="preserve">https://www.boe.es/eli/es/o/2020/05/23/snd440</t>
  </si>
  <si>
    <t xml:space="preserve">ESP6</t>
  </si>
  <si>
    <t xml:space="preserve">Resolution of the 14th of April of 2020, of the Institute of Diversification and Energy Savings (IDAE), E.P.E., M.P., by which the conditions and the procedure to ask  tax exemptions for moratoriums and quota payments that were meant to enf by 2020 in loans formalised by IDAE</t>
  </si>
  <si>
    <t xml:space="preserve">https://www.boe.es/eli/es/res/2020/04/14/(4)</t>
  </si>
  <si>
    <t xml:space="preserve">ESP7</t>
  </si>
  <si>
    <t xml:space="preserve">Royal Decree 692/2020, of the 21st of July. Measures for the adaptation of the use of maritime-land areas regulated by Law 22/1988, in the contect of exceptional measures adopted by the health authorities in the context of COVID-19</t>
  </si>
  <si>
    <t xml:space="preserve">https://www.boe.es/eli/es/rd/2020/07/21/692/con</t>
  </si>
  <si>
    <t xml:space="preserve">ESP8</t>
  </si>
  <si>
    <t xml:space="preserve">On the 7th of May 2020 Royal Decree 5/2020, on the mitigation of the socio-economic impact of COVID-19 in the area of environment in the region of Murcia. </t>
  </si>
  <si>
    <t xml:space="preserve">https://www.boe.es/ccaa/borm/2020/163/s15878-15878.pdf</t>
  </si>
  <si>
    <t xml:space="preserve">ESP9</t>
  </si>
  <si>
    <t xml:space="preserve">Royal Decree 570/2020, of the 16th of June, by which the administrative process to authorize the import to Spain of species with the enf of preserve spanish native species is regulated.</t>
  </si>
  <si>
    <t xml:space="preserve">https://www.boe.es/eli/es/rd/2020/06/16/570</t>
  </si>
  <si>
    <t xml:space="preserve">ESP10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</si>
  <si>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</si>
  <si>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 xml:space="preserve">https://www.boe.es/eli/es/rdl/2020/06/23/23</t>
  </si>
  <si>
    <t xml:space="preserve">ESP11</t>
  </si>
  <si>
    <t xml:space="preserve">100 million EUR</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</si>
  <si>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</si>
  <si>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 xml:space="preserve">https://www.boe.es/eli/es/rd/2020/06/16/569</t>
  </si>
  <si>
    <t xml:space="preserve">ESP12</t>
  </si>
  <si>
    <t xml:space="preserve">The Climate Change and Energy Transition Law to reach emission neutrality by 2050 was presented by the respective Ministry and approved by the Spanish Parliamnet (Congreso de los Diputados). We can expect further updates on this topic. </t>
  </si>
  <si>
    <t xml:space="preserve">https://www.miteco.gob.es/es/prensa/200519cminproyectoleycambioclimatico_tcm30-509230.pdf</t>
  </si>
  <si>
    <t xml:space="preserve">ESP13</t>
  </si>
  <si>
    <t xml:space="preserve">Order SND/337/2020, of the 9th of April by which measures to guarantee the demand for essential services is met in regards to fuels for cars and boats in the context of COVID-19. </t>
  </si>
  <si>
    <t xml:space="preserve">https://boe.es/boe/dias/2020/04/11/pdfs/BOE-A-2020-4415.pdf</t>
  </si>
  <si>
    <t xml:space="preserve">ESP14</t>
  </si>
  <si>
    <t xml:space="preserve">Royal Decree Law 15/2020,
(BOE núm. 112, 22/04/2020) - Ref. 38-01
of the 21st of April, of urgent measures for supporting the economy and employment. Article 6 has developed subsidies of E.P.E. Institute to IDAE under loans. </t>
  </si>
  <si>
    <t xml:space="preserve">https://www.boe.es/boe/dias/2020/04/22/pdfs/BOE-A-2020-4554.pdf</t>
  </si>
  <si>
    <t xml:space="preserve">https://www.idae.es/sites/default/files/documentos/ayudas_y_financiacion/escron_06-20ac.pdf</t>
  </si>
  <si>
    <t xml:space="preserve">ESP15</t>
  </si>
  <si>
    <t xml:space="preserve">316 million EUR</t>
  </si>
  <si>
    <t xml:space="preserve">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</si>
  <si>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 xml:space="preserve">https://www.miteco.gob.es/es/prensa/ultimas-noticias/el-idae-destina-181-millones-a-las-primeras-convocatorias-para-financiar-proyectos-renovables-innovadores-en-siete-comunidades-aut%C3%B3nomas/tcm:30-511638</t>
  </si>
  <si>
    <t xml:space="preserve">https://www.miteco.gob.es/es/prensa/200910coadidae_tcm30-511636.pdf</t>
  </si>
  <si>
    <t xml:space="preserve">ESP16</t>
  </si>
  <si>
    <t xml:space="preserve">10.7 million EUR</t>
  </si>
  <si>
    <t xml:space="preserve">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</si>
  <si>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 xml:space="preserve">https://www.miteco.gob.es/es/prensa/201008convocatoriasprogramaempleaverde_tcm30-513891.pdf</t>
  </si>
  <si>
    <t xml:space="preserve">ESP17</t>
  </si>
  <si>
    <t xml:space="preserve">4.3 million EUR</t>
  </si>
  <si>
    <t xml:space="preserve">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</si>
  <si>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 xml:space="preserve">https://www.miteco.gob.es/es/prensa/201015elmitecodestina43millonesparaapoyarlasostenibilidaddelsectorpesqueroyacuicola_tcm30-514259.pdf</t>
  </si>
  <si>
    <t xml:space="preserve">Althougth it is not clear whether this project is actually accelerated because of COVID, the Biodiversity Foundation has already financed over 18 million EUR in the last few years. </t>
  </si>
  <si>
    <t xml:space="preserve">ESP18</t>
  </si>
  <si>
    <t xml:space="preserve">7.4 billion USD</t>
  </si>
  <si>
    <t xml:space="preserve">Recovery, Transformation and Resilience Plan for the Spanish Economy: Energy Transition</t>
  </si>
  <si>
    <t xml:space="preserve">https://www.lamoncloa.gob.es/presidente/actividades/Paginas/2020/071020-sanchez_plan.aspx (Accessed 8 October 2020)_x005F_x000D_
, https://www.lamoncloa.gob.es/serviciosdeprensa/notasprensa/presidencia/Paginas/2020/07102020_planrecuperacion.aspx (Accessed 8 October 2020)_x005F_x000D_
, https://www.lamoncloa.gob.es/presidente/actividades/Documents/2020/07102020_PlanRecuperacion.pdf (Accessed 8 October 2020)</t>
  </si>
  <si>
    <t xml:space="preserve">POsitive</t>
  </si>
  <si>
    <t xml:space="preserve">ESP19</t>
  </si>
  <si>
    <t xml:space="preserve">881 million USD</t>
  </si>
  <si>
    <t xml:space="preserve">Compensation for extraordinary expenses in public transport as part of the COVID-19 Fund</t>
  </si>
  <si>
    <t xml:space="preserve">https://www.mitma.gob.es/el-ministerio/sala-de-prensa/noticias/mar-16062020-1616  Accessed 1 September 2020_x005F_x000D_
_x005F_x000D_
, https://www.lamoncloa.gob.es/consejodeministros/resumenes/Paginas/2020/160620-cministros.aspx  Accessed 1 September 2020_x005F_x000D_
_x005F_x000D_
, https://www.boe.es/diario_boe/txt.php?id=BOE-A-2020-6232  Accessed 1 September 2020_x005F_x000D_
</t>
  </si>
  <si>
    <t xml:space="preserve">https://revistas.eleconomista.es/transporte/2020/julio/el-gobierno-destina-800-millones-al-transporte-publico-por-el-covid-19-IN3825082  Accessed 1 September 2020</t>
  </si>
  <si>
    <t xml:space="preserve">ESP20</t>
  </si>
  <si>
    <t xml:space="preserve">303 million USD</t>
  </si>
  <si>
    <t xml:space="preserve">Fund to finance the extraordinary deficit of public transport services of local entities caused by COVID-19</t>
  </si>
  <si>
    <t xml:space="preserve">https://www.boe.es/buscar/act.php?id=BOE-A-2020-9131  Accessed 26 August 2020_x005F_x000D_
_x005F_x000D_
, https://www.lamoncloa.gob.es/serviciosdeprensa/notasprensa/transportes/Paginas/2020/050820-transportes_local.aspx  Accessed 26 August 2020</t>
  </si>
  <si>
    <t xml:space="preserve">ESP21</t>
  </si>
  <si>
    <t xml:space="preserve">1.11 billion USD</t>
  </si>
  <si>
    <t xml:space="preserve">IAG (Iberia, Vueling) airlines support, unconditional</t>
  </si>
  <si>
    <t xml:space="preserve">ESP22</t>
  </si>
  <si>
    <t xml:space="preserve">buildings</t>
  </si>
  <si>
    <t xml:space="preserve">330.3 million USD</t>
  </si>
  <si>
    <t xml:space="preserve">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Spain._x005F_x000D_
These aids are co-financed by the European Regional Development Fund (ERDF)._x005F_x000D_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</si>
  <si>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</si>
  <si>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 xml:space="preserve">ESP23</t>
  </si>
  <si>
    <t xml:space="preserve">271 million uSD</t>
  </si>
  <si>
    <t xml:space="preserve">Subsidies to support innovative projects that stimulate the integration of renewable energies in electrical or thermal power generation systems</t>
  </si>
  <si>
    <t xml:space="preserve">https://www.boe.es/diario_boe/txt.php?id=BOE-A-2020-9261 Accessed 29 September 2020_x005F_x000D_
_x005F_x000D_
, https://www.lamoncloa.gob.es/serviciosdeprensa/notasprensa/transicion-ecologica/Paginas/2020/050820-proyectos.aspx  Accessed 29 September 2020</t>
  </si>
  <si>
    <t xml:space="preserve">SWE1</t>
  </si>
  <si>
    <t xml:space="preserve">SWE</t>
  </si>
  <si>
    <t xml:space="preserve">SEK 5 bn</t>
  </si>
  <si>
    <t xml:space="preserve">17/03 - Proposed credit guarantees for airlines of max SEK 5 billlion (of which 1.5 bn for SAS)</t>
  </si>
  <si>
    <t xml:space="preserve">https://www.government.se/press-releases/2020/03/state-credit-guarantees-to-airlines-and-expanded-credit-guarantee-framework-for-the-swedish-export-credit-agency-to-mitigate-the-effects-of-sars-cov-2/</t>
  </si>
  <si>
    <t xml:space="preserve">tbc if conditions attached to these</t>
  </si>
  <si>
    <t xml:space="preserve">SEK</t>
  </si>
  <si>
    <t xml:space="preserve">SWE2</t>
  </si>
  <si>
    <t xml:space="preserve">SEK 150 million</t>
  </si>
  <si>
    <t xml:space="preserve">Relaunching an initiative for green jobs for people who are far from the labour market (part of the Government’s proposed Spring Amending Budget for 2020)</t>
  </si>
  <si>
    <t xml:space="preserve">https://www.government.se/articles/2020/04/green-jobs-important-measure-to-tackle-unemployment-during-covid-19-crisis/</t>
  </si>
  <si>
    <t xml:space="preserve">SWE3</t>
  </si>
  <si>
    <t xml:space="preserve">Give exploration companies an additional year to carry out their work (does not cover exploration permits for coal, oil or gaseous hydrocarbons)</t>
  </si>
  <si>
    <t xml:space="preserve">https://www.government.se/press-releases/2020/06/one-year-extension-of-exploration-permits-due-to-covid-19-presented-to-riksdag/</t>
  </si>
  <si>
    <t xml:space="preserve">SWE4</t>
  </si>
  <si>
    <t xml:space="preserve">The Government proposes an expansion of support for the installation of solar cells to enable more people to be granted support.</t>
  </si>
  <si>
    <t xml:space="preserve">https://www.government.se/press-releases/2020/04/the-government-presents-the-2020-spring-fiscal-policy-bill/</t>
  </si>
  <si>
    <t xml:space="preserve">SWE5</t>
  </si>
  <si>
    <t xml:space="preserve">SEK 120 million</t>
  </si>
  <si>
    <t xml:space="preserve">The Government proposes a reinforcement of support for the production of biogas.</t>
  </si>
  <si>
    <t xml:space="preserve">SWE6</t>
  </si>
  <si>
    <t xml:space="preserve">SEK 0.90 billion (2021)</t>
  </si>
  <si>
    <t xml:space="preserve">Energy efficiency and renovation of multi-dwelling buildings and outdoor environments 0.90 2.40 1.00 </t>
  </si>
  <si>
    <t xml:space="preserve">https://www.government.se/4a6f35/globalassets/government/dokument/finansdepartementet/excel/bp-2021/table-1.1-reform-table.pdf</t>
  </si>
  <si>
    <t xml:space="preserve">SWE7</t>
  </si>
  <si>
    <t xml:space="preserve">SEK 1.10 billion (2022)</t>
  </si>
  <si>
    <t xml:space="preserve">Investment support for rental housing 1.10 1.90 </t>
  </si>
  <si>
    <t xml:space="preserve">SWE8</t>
  </si>
  <si>
    <t xml:space="preserve">SEK 1.22 billion (2021)</t>
  </si>
  <si>
    <t xml:space="preserve">Transition of the transport sector 1.22 1.22 0.89 </t>
  </si>
  <si>
    <t xml:space="preserve">SWE9</t>
  </si>
  <si>
    <t xml:space="preserve">SEK -0.15 billion (2021)</t>
  </si>
  <si>
    <t xml:space="preserve">Adjusted taxable benefit rates for passenger cars -0.15 -0.73 -1.31 </t>
  </si>
  <si>
    <t xml:space="preserve">SWE10</t>
  </si>
  <si>
    <t xml:space="preserve">SEK -0.33 billion (2021)</t>
  </si>
  <si>
    <t xml:space="preserve">Enhanced and simplified environmental governance in the bonus-malus system -0.33 -0.85 -1.38 </t>
  </si>
  <si>
    <t xml:space="preserve">SWE11</t>
  </si>
  <si>
    <t xml:space="preserve">Abolished reduction of energy tax on fuel in certain sectors -0.15 -0.60 -0.60 </t>
  </si>
  <si>
    <t xml:space="preserve">SWE12</t>
  </si>
  <si>
    <t xml:space="preserve">SEK 0.50 billion (2021)</t>
  </si>
  <si>
    <t xml:space="preserve">Charging infrastructure for heavy vehicles 0.50 0.55 </t>
  </si>
  <si>
    <t xml:space="preserve">SWE13</t>
  </si>
  <si>
    <t xml:space="preserve">SEK 2 billion (2021)</t>
  </si>
  <si>
    <t xml:space="preserve">Support to public transport 2.00 </t>
  </si>
  <si>
    <t xml:space="preserve">SWE14</t>
  </si>
  <si>
    <t xml:space="preserve">Maintenance of railways 0.50 0.50 0.50 </t>
  </si>
  <si>
    <t xml:space="preserve">SWE15</t>
  </si>
  <si>
    <t xml:space="preserve">SEK 1.59 billion (2021)</t>
  </si>
  <si>
    <t xml:space="preserve">Investments to protect natural areas 1.59 1.67 0.61 </t>
  </si>
  <si>
    <t xml:space="preserve">SWE16</t>
  </si>
  <si>
    <t xml:space="preserve">SEK 1.88 billion (2021)</t>
  </si>
  <si>
    <t xml:space="preserve">Reduce climate emissions 1.88 1.14 0.52 </t>
  </si>
  <si>
    <t xml:space="preserve">SWE17</t>
  </si>
  <si>
    <t xml:space="preserve">SEK 0.60 billion (2021)</t>
  </si>
  <si>
    <t xml:space="preserve">Measures to protect valuable natural areas 0.60 0.25</t>
  </si>
  <si>
    <t xml:space="preserve">SWE18</t>
  </si>
  <si>
    <t xml:space="preserve">SEK 0.20 billion (2021)</t>
  </si>
  <si>
    <t xml:space="preserve">Tax reduction for installation of green technology 0.20 0.20 0.20 </t>
  </si>
  <si>
    <t xml:space="preserve">SWE19</t>
  </si>
  <si>
    <t xml:space="preserve">SEK 0.15 billion (2021)</t>
  </si>
  <si>
    <t xml:space="preserve">Circular economy 0.15 0.14 0.01</t>
  </si>
  <si>
    <t xml:space="preserve">CHE1</t>
  </si>
  <si>
    <t xml:space="preserve">CHE</t>
  </si>
  <si>
    <t xml:space="preserve">59.1 billion</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</si>
  <si>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</si>
  <si>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 xml:space="preserve">https://www.swissinfo.ch/eng/sign-off-session_swiss-parliament-extends-coronavirus-relief-package/45737938</t>
  </si>
  <si>
    <t xml:space="preserve">https://www.imf.org/en/Topics/imf-and-covid19/Policy-Responses-to-COVID-19</t>
  </si>
  <si>
    <t xml:space="preserve">Switzerland has not announced further fiscal stimulus packages - with several credit programs having already concluded in August/September. There has been no change to recovery efforts environmentral standard criteria's (I.e. they still don't exist). </t>
  </si>
  <si>
    <t xml:space="preserve">CHE2</t>
  </si>
  <si>
    <t xml:space="preserve">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</si>
  <si>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</si>
  <si>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 xml:space="preserve">https://www.admin.ch/gov/de/start/dokumentation/medienmitteilungen.msg-id-79707.html</t>
  </si>
  <si>
    <t xml:space="preserve">Program on-going. </t>
  </si>
  <si>
    <t xml:space="preserve">CHE3</t>
  </si>
  <si>
    <t xml:space="preserve">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</si>
  <si>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</si>
  <si>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 xml:space="preserve">https://www.swissinfo.ch/eng/coronavirus-and-airlines_parliament-pays-up-to-keep-vital-swiss-air-links-open/45740514</t>
  </si>
  <si>
    <t xml:space="preserve">https://www.swissinfo.ch/eng/-parliament-agrees-extra-millions-for-covid-19-budget/46024120</t>
  </si>
  <si>
    <t xml:space="preserve">Support expanded to provide financial support for companies like Skybridge, which otherwise would face insolvency due to the continued decline in flight numbers. </t>
  </si>
  <si>
    <t xml:space="preserve">CHE4</t>
  </si>
  <si>
    <t xml:space="preserve">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</si>
  <si>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</si>
  <si>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 xml:space="preserve">https://www.smart-energy.com/renewable-energy/covid-19-switzerland-avoids-a-slump-in-the-solar-market/</t>
  </si>
  <si>
    <t xml:space="preserve">CHE5</t>
  </si>
  <si>
    <t xml:space="preserve">168 Million</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</si>
  <si>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</si>
  <si>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 xml:space="preserve">Policy expired in August. </t>
  </si>
  <si>
    <t xml:space="preserve">CHE6</t>
  </si>
  <si>
    <t xml:space="preserve">N/A</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</si>
  <si>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</si>
  <si>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 xml:space="preserve">https://www.reuters.com/article/us-health-coronavirus-swiss-politics/swiss-environmentalists-demand-green-recovery-after-coronavirus-idUSKBN22G1G3</t>
  </si>
  <si>
    <t xml:space="preserve">Still in effect</t>
  </si>
  <si>
    <t xml:space="preserve">CHE7</t>
  </si>
  <si>
    <t xml:space="preserve">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</si>
  <si>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</si>
  <si>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 xml:space="preserve">Still in effect.</t>
  </si>
  <si>
    <t xml:space="preserve">CHE8</t>
  </si>
  <si>
    <t xml:space="preserve">500 Million</t>
  </si>
  <si>
    <t xml:space="preserve">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t>
  </si>
  <si>
    <t xml:space="preserve">https://www.swissinfo.ch/eng/politics/passengers-to-pay-a-co2-tax-on-plane-tickets/45826798</t>
  </si>
  <si>
    <t xml:space="preserve">https://www.swissinfo.ch/eng/parliament-agrees-on-air-ticket-tax-and-other-incentives-to-reach-climate-target/46052860</t>
  </si>
  <si>
    <t xml:space="preserve">Swiss Parliament has approved the legislation, but it is possible it may be lifted to a referendum. </t>
  </si>
  <si>
    <t xml:space="preserve">CHE9</t>
  </si>
  <si>
    <t xml:space="preserve">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</si>
  <si>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</si>
  <si>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 xml:space="preserve">https://www.swissinfo.ch/eng/switzerland-to-substantially-boost-funding-of-green-climate-fund/45977814</t>
  </si>
  <si>
    <t xml:space="preserve">Alongside the Carbon offset deal, I think this policy highlights the extent to which Switzerland is orienting its green recovery response towards international spending</t>
  </si>
  <si>
    <t xml:space="preserve">CHE10</t>
  </si>
  <si>
    <t xml:space="preserve">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</si>
  <si>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</si>
  <si>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 xml:space="preserve">https://www.climatechangenews.com/2020/10/21/peru-switzerland-sign-world-first-carbon-offset-deal-paris-agreement/</t>
  </si>
  <si>
    <t xml:space="preserve">Important to note it's a carbon offset deal - the actual emission reductions will occur in Peru, with Switzerland essentially paying for it in exchange for including it in their national emission reductions. </t>
  </si>
  <si>
    <t xml:space="preserve">TUR1</t>
  </si>
  <si>
    <t xml:space="preserve">TUR</t>
  </si>
  <si>
    <t xml:space="preserve">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</si>
  <si>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 xml:space="preserve">https://www.invest.gov.tr/tr/news/newsletters/lists/investnewsletter/yat%C4%B1r%C4%B1m-ofisi-nis-2020-b%C3%BClten.pdf; https://home.kpmg/xx/en/home/insights/2020/04/turkey-tax-developments-in-response-to-covid-19.html</t>
  </si>
  <si>
    <t xml:space="preserve">https://www.medefinternational.fr/wp-content/uploads/2020/03/C19_Economic-Stability-Shield-Program.pdf</t>
  </si>
  <si>
    <t xml:space="preserve">TUR2</t>
  </si>
  <si>
    <t xml:space="preserve">not specified</t>
  </si>
  <si>
    <t xml:space="preserve">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</si>
  <si>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 xml:space="preserve">https://ms.hmb.gov.tr/uploads/2020/10/New-Economy-Program-2021-2023.pdf</t>
  </si>
  <si>
    <t xml:space="preserve">TUR3</t>
  </si>
  <si>
    <t xml:space="preserve">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</si>
  <si>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 xml:space="preserve">TUR4</t>
  </si>
  <si>
    <t xml:space="preserve">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</si>
  <si>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 xml:space="preserve">TUR5</t>
  </si>
  <si>
    <t xml:space="preserve">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</si>
  <si>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 xml:space="preserve">https://www.resmigazete.gov.tr/eskiler/2020/09/20200918-8.pdf Accessed 21 September 2020.</t>
  </si>
  <si>
    <t xml:space="preserve">TUR6</t>
  </si>
  <si>
    <t xml:space="preserve">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</si>
  <si>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 xml:space="preserve">https://www.resmigazete.gov.tr/eskiler/2020/07/20200724-24.pdf _x005F_x000D_
Accessed 27 July 2020</t>
  </si>
  <si>
    <t xml:space="preserve">GBR1</t>
  </si>
  <si>
    <t xml:space="preserve">GBR</t>
  </si>
  <si>
    <t xml:space="preserve">GBP 500 million</t>
  </si>
  <si>
    <t xml:space="preserve">£500 million funding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t>
  </si>
  <si>
    <t xml:space="preserve">https://www.gov.uk/government/publications/green-homes-grant-local-authority-delivery-scheme-entering-a-bid</t>
  </si>
  <si>
    <t xml:space="preserve">GBP</t>
  </si>
  <si>
    <t xml:space="preserve">GBR2</t>
  </si>
  <si>
    <t xml:space="preserve">GBP 320 million</t>
  </si>
  <si>
    <t xml:space="preserve">£320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</si>
  <si>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 xml:space="preserve">https://www.gov.uk/government/publications/the-ten-point-plan-for-a-green-industrial-revolution/title</t>
  </si>
  <si>
    <t xml:space="preserve">GBR3</t>
  </si>
  <si>
    <t xml:space="preserve">1.4 billion</t>
  </si>
  <si>
    <t xml:space="preserve">£1bn fund for public buildings, such as hospitals, schools, to improve energy efficiency.</t>
  </si>
  <si>
    <t xml:space="preserve">https://www.gov.uk/government/news/rishis-plan-for-jobs-will-help-britain-bounce-back</t>
  </si>
  <si>
    <t xml:space="preserve">GBR4</t>
  </si>
  <si>
    <t xml:space="preserve">182.52 million</t>
  </si>
  <si>
    <t xml:space="preserve">£139 million to cut emissions in heavy industry by supporting the transition from natural gas to clean hydrogen power, and scaling up carbon capture and storage (CCS) technology which can stop over 90% of emissions being released from industrial plants into the air by storing carbon permanently underground</t>
  </si>
  <si>
    <t xml:space="preserve">https://www.gov.uk/government/news/pm-commits-350-million-to-fuel-green-recovery</t>
  </si>
  <si>
    <t xml:space="preserve">GBR5</t>
  </si>
  <si>
    <t xml:space="preserve">195.66 million</t>
  </si>
  <si>
    <t xml:space="preserve">£149 million to drive the use of innovative materials in heavy industry; the 13 initial projects will include proposals to reuse waste ash in the glass and ceramics industry, and the development of recyclable steel</t>
  </si>
  <si>
    <t xml:space="preserve">GBR6</t>
  </si>
  <si>
    <t xml:space="preserve">34.14 million</t>
  </si>
  <si>
    <t xml:space="preserve">£26 million to support advanced new building techniques in order to reduce build costs and carbon emissions in the construction industry</t>
  </si>
  <si>
    <t xml:space="preserve">GBR7</t>
  </si>
  <si>
    <t xml:space="preserve">13.13 million</t>
  </si>
  <si>
    <t xml:space="preserve">£10 million boost for state of the art construction tech which will go towards 19 projects focused on improving productivity and building quality, for example, re-usable roofs and walls and “digital clones” of buildings that analyse data in real time</t>
  </si>
  <si>
    <t xml:space="preserve">GBR8</t>
  </si>
  <si>
    <t xml:space="preserve">19.7 million</t>
  </si>
  <si>
    <t xml:space="preserve">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</si>
  <si>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 xml:space="preserve">GBR9</t>
  </si>
  <si>
    <t xml:space="preserve">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</si>
  <si>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 xml:space="preserve">https://www.gov.uk/government/publications/policy-design-of-the-uk-infrastructure-bank</t>
  </si>
  <si>
    <t xml:space="preserve">GBR10</t>
  </si>
  <si>
    <t xml:space="preserve">7.34 billion</t>
  </si>
  <si>
    <t xml:space="preserve">£5.6bn of infrastructure spending. This will primarily be spent on maintenance and upgrades for hospitals (£1.5bn) and schools (£1.8bn), as well as £1bn for other local projects and smaller sums for maintenance of courts and roads.</t>
  </si>
  <si>
    <t xml:space="preserve">https://www.instituteforgovernment.org.uk/explainers/governments-post-covid-19-stimulus-package</t>
  </si>
  <si>
    <t xml:space="preserve">https://www.gov.uk/government/publications/a-plan-for-jobs-documents/a-plan-for-jobs-2020#policy-decisions</t>
  </si>
  <si>
    <t xml:space="preserve">Some of the projects were planned pre-COVID, others not. PM Johnson set up a taskforce Project Speed, but it is still unclear which projects are being funded at this stage. </t>
  </si>
  <si>
    <t xml:space="preserve">GBR11</t>
  </si>
  <si>
    <t xml:space="preserve">GBP 13.4 billion</t>
  </si>
  <si>
    <t xml:space="preserve">HM Treasury has provided £13.4 billion of targeted support for essential public transport services, in addition to the economy-wide schemes, including £8.8 billion for rail services, £3.3 billion for services in London, and over £1.3 billion of support for bus and light rail services across the rest of England. HM Treasury has approved £5.3 billion of targeted support for essential public transport services, in addition to the economy-wide schemes, including £3.5 billion for rail services, over £1 billion for services in London, and support for bus and light rail services across the rest of England.</t>
  </si>
  <si>
    <t xml:space="preserve">https://assets.publishing.service.gov.uk/government/uploads/system/uploads/attachment_data/file/963166/Supplementary_Estimates_2020-21_web.pdf</t>
  </si>
  <si>
    <t xml:space="preserve">GBR12</t>
  </si>
  <si>
    <t xml:space="preserve">GBP 110 million</t>
  </si>
  <si>
    <t xml:space="preserve">Additional £60 million over FY21/22 to fund energy efficiency upgrades to Social Housing. The scheme builds upon the £50 million Social Housing Demonstrator project launched last year to create a total of £110m</t>
  </si>
  <si>
    <t xml:space="preserve">https://www.gov.uk/government/publications/a-plan-for-jobs-documents/a-plan-for-jobs-2020</t>
  </si>
  <si>
    <t xml:space="preserve">https://www.energypolicytracker.org/search-results/?_sfm_country=82</t>
  </si>
  <si>
    <t xml:space="preserve">GBR13</t>
  </si>
  <si>
    <t xml:space="preserve">GBP 73.5 million</t>
  </si>
  <si>
    <t xml:space="preserve">£73.5m of funding awarded through the APC (Advanced Propulsion Centre) Core Competition which supports R&amp;D targetted at strategically important parts of the vehicle value chain. </t>
  </si>
  <si>
    <t xml:space="preserve">https://www.gov.uk/government/news/735-million-to-boost-green-economic-recovery-in-automotive-sector</t>
  </si>
  <si>
    <t xml:space="preserve">GBR14</t>
  </si>
  <si>
    <t xml:space="preserve">495.72 million</t>
  </si>
  <si>
    <t xml:space="preserve">Support to Iberdrola International B.V. through Covid Corporate Financing Facility (CCFF) - Wind (125.94 million GBP)</t>
  </si>
  <si>
    <t xml:space="preserve">https://www.bankofengland.co.uk/-/media/boe/files/markets/covid-corporate-financing-facility/cp-held-by-ccff-by-business.xlsx?</t>
  </si>
  <si>
    <t xml:space="preserve">All CCFF lines marked as indeterminate following discussion with UK Treasury</t>
  </si>
  <si>
    <t xml:space="preserve">Country asked neutral focus</t>
  </si>
  <si>
    <t xml:space="preserve">GBR15</t>
  </si>
  <si>
    <t xml:space="preserve">181.77 million</t>
  </si>
  <si>
    <t xml:space="preserve">Support to National Express Group PLC through Covid Corporate Financing Facility (CCFF) - Mobility General (377.83 million)</t>
  </si>
  <si>
    <t xml:space="preserve">GBR16</t>
  </si>
  <si>
    <t xml:space="preserve">991.45 million</t>
  </si>
  <si>
    <t xml:space="preserve">Support for Honda Finance Europe PLC through Covid Corporate Financing Facility (CCFF) - Oil and Oil Products (138.54 million) </t>
  </si>
  <si>
    <t xml:space="preserve">GBR17</t>
  </si>
  <si>
    <t xml:space="preserve">Support for Nissan Motor Co., Ltd through Covid Corporate Financing Facility (CCFF) - (755.67 million)</t>
  </si>
  <si>
    <t xml:space="preserve">GBR18</t>
  </si>
  <si>
    <t xml:space="preserve">Support for EasyJet through Covid Corporate Financing Facility (CCFF) - (755.67 million)</t>
  </si>
  <si>
    <t xml:space="preserve">GBR19</t>
  </si>
  <si>
    <t xml:space="preserve">Support for Ryanair through Covid Corporate Financing Facility (CCFF) (755.67 million)</t>
  </si>
  <si>
    <t xml:space="preserve">GBR20</t>
  </si>
  <si>
    <t xml:space="preserve">Support for British Airways through Covid Corporate Financing Facility (CCFF) - (377.83 million)</t>
  </si>
  <si>
    <t xml:space="preserve">GBR21</t>
  </si>
  <si>
    <t xml:space="preserve">Support for Wizz Air through Covid Corporate Financing Facility (CCFF) (377.83 million)</t>
  </si>
  <si>
    <t xml:space="preserve">GBR22</t>
  </si>
  <si>
    <t xml:space="preserve">Celsa Steel Loan - Emergency loan included legally binding conditions, including commitments around climate change and net-zero.</t>
  </si>
  <si>
    <t xml:space="preserve">https://www.gov.uk/government/news/government-agrees-support-package-to-uk-steel-company</t>
  </si>
  <si>
    <t xml:space="preserve">Country asked mixed focus</t>
  </si>
  <si>
    <t xml:space="preserve">GBR23</t>
  </si>
  <si>
    <t xml:space="preserve">2.63 billion</t>
  </si>
  <si>
    <t xml:space="preserve">Emergency Active Travel Fund - A £250 million emergency active travel fund as part of a £2 billion package for cycling and walking as part of plans to boost greener, active transport. Includes £25m Fix Your Bike Voucher Scheme.</t>
  </si>
  <si>
    <t xml:space="preserve">https://www.gov.uk/government/news/2-billion-package-to-create-new-era-for-cycling-and-walking</t>
  </si>
  <si>
    <t xml:space="preserve">GBR24</t>
  </si>
  <si>
    <t xml:space="preserve">Reallocating Road Space Statutory Guidance - Fast-tracked statutory guidance, to tell councils to reallocate roadspace for significantly-increased numbers of cyclists and pedestrians.</t>
  </si>
  <si>
    <t xml:space="preserve">GBR25</t>
  </si>
  <si>
    <t xml:space="preserve">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</si>
  <si>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 xml:space="preserve">GBR26</t>
  </si>
  <si>
    <t xml:space="preserve">13.14 million</t>
  </si>
  <si>
    <t xml:space="preserve">Zero emission vehicle research - Funding for the OLEV R&amp;D programme to launch new competitions this summer with £10m for a new ZEV innovation competition and £2m to the Niche Vehicle Network to support SMEs.</t>
  </si>
  <si>
    <t xml:space="preserve">https://www.gov.uk/government/news/green-number-plates-get-the-green-light-for-a-zero-emission-future</t>
  </si>
  <si>
    <t xml:space="preserve">GBR27</t>
  </si>
  <si>
    <t xml:space="preserve">223.31 million</t>
  </si>
  <si>
    <t xml:space="preserve">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</si>
  <si>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 xml:space="preserve">https://www.gov.uk/government/news/multi-billion-pound-investment-as-government-unveils-new-long-term-plan-to-tackle-flooding</t>
  </si>
  <si>
    <t xml:space="preserve">Country asked mixed focus: Positive to adaptation, but negative for mitigation, as most building infra (concrete!) is.</t>
  </si>
  <si>
    <t xml:space="preserve">GBR28</t>
  </si>
  <si>
    <t xml:space="preserve">The Scottish Government has set a new ambition to increase offshore wind capacity to 11GW of energy installed by 2030, up from 8GW target and 1GW currently installed, and has adopted a plan that identifies commercial-scale offshore wind sites._x005F_x000D_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</si>
  <si>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 xml:space="preserve">https://www.gov.scot/publications/offshore-wind-policy-statement/pages/3/ Accessed 2 November 2020</t>
  </si>
  <si>
    <t xml:space="preserve">GBR29</t>
  </si>
  <si>
    <t xml:space="preserve">80 million</t>
  </si>
  <si>
    <t xml:space="preserve">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</si>
  <si>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 xml:space="preserve">https://www.gov.scot/publications/protecting-scotland-renewing-scotland-governments-programme-scotland-2020-2021/pages/5/#page-top  Accessed 7 September 2020.</t>
  </si>
  <si>
    <t xml:space="preserve">GBR30</t>
  </si>
  <si>
    <t xml:space="preserve">2.02 billion</t>
  </si>
  <si>
    <t xml:space="preserve">The Scottish government plans to increase energy efficiency spending to £398m per year by 2025 (for a total of £1.6bn), with the following: </t>
  </si>
  <si>
    <t xml:space="preserve">https://www.gov.scot/publications/protecting-scotland-renewing-scotland-governments-programme-scotland-2020-2021/pages/5/#page-top Accessed 7 September 2020.</t>
  </si>
  <si>
    <t xml:space="preserve">GBR31</t>
  </si>
  <si>
    <t xml:space="preserve">GBP 1.3 billion</t>
  </si>
  <si>
    <t xml:space="preserve">£1.3 billion investment to deliver homes, infrastructure and jobs</t>
  </si>
  <si>
    <t xml:space="preserve">https://www.gov.uk/government/news/1-3-billion-investment-to-deliver-homes-infrastructure-and-jobs Accessed 4 August 2020</t>
  </si>
  <si>
    <t xml:space="preserve">This consists of £400m Brownfield Fund and a £900 million Getting Building Fund. The latter is to deliver jobs, skills and infrastructure across the country. This investment is being targeted in areas facing the biggest economic challenges as a result of the pandemic. It is supporting the delivery of shovel-ready infrastructure projects, agreed with mayors and Local Enterprise Partnerships to boost economic growth, and fuel local recovery and jobs.  Link to the announcement may be found here https://www.gov.uk/guidance/getting-building-fund </t>
  </si>
  <si>
    <t xml:space="preserve">GBR32</t>
  </si>
  <si>
    <t xml:space="preserve">1.89 billion</t>
  </si>
  <si>
    <t xml:space="preserve">London Â£1.5bn green infrastructure package</t>
  </si>
  <si>
    <t xml:space="preserve">https://www.edie.net/news/6/London-unveils--1-5bn-green-infrastructure-package-to-kick-start-economy-post-lockdown/ Accessed 3 August 2020</t>
  </si>
  <si>
    <t xml:space="preserve">GBR33</t>
  </si>
  <si>
    <t xml:space="preserve">250 million</t>
  </si>
  <si>
    <t xml:space="preserve">£200 million funding for R&amp;D to green the aerospace sector</t>
  </si>
  <si>
    <t xml:space="preserve">https://www.gov.uk/government/news/uk-aerospace-sector-to-benefit-from-400-million-funding-to-go-green Accessed 24 July 2020</t>
  </si>
  <si>
    <t xml:space="preserve">https://www.edie.net/news/11/-350m-for-decarbonising-heavy-industry-and--400m-for-sustainable-aviation--Boris-Johnson-unveils-fresh-green-recovery-spending/ Accessed 24 July 2020</t>
  </si>
  <si>
    <t xml:space="preserve">GBR34</t>
  </si>
  <si>
    <t xml:space="preserve">Phase out the sale of new petrol and diesel cars by 2030. All new cars and vans to have significant zero emission capability
(e.g. plug-in and full hybrids) from 2030 and be 100% zero emissions from 2035.</t>
  </si>
  <si>
    <t xml:space="preserve">https://assets.publishing.service.gov.uk/government/uploads/system/uploads/attachment_data/file/936567/10_POINT_PLAN_BOOKLET.pdf</t>
  </si>
  <si>
    <t xml:space="preserve">Phase out the sale of new petrol and diesel cars by 2030. All new cars and vans to have significant zero emission capability.</t>
  </si>
  <si>
    <t xml:space="preserve">GBR35</t>
  </si>
  <si>
    <t xml:space="preserve">NA </t>
  </si>
  <si>
    <t xml:space="preserve">Produce 40GW of offshore wind by 2030, including 1 GW of floating offshore wind </t>
  </si>
  <si>
    <t xml:space="preserve">GBR36</t>
  </si>
  <si>
    <t xml:space="preserve">212.5 million</t>
  </si>
  <si>
    <t xml:space="preserve"> £160 million into modern ports and manufacturing infrastructure to manufacture wind turbines (for the above goal) </t>
  </si>
  <si>
    <t xml:space="preserve">GBR37</t>
  </si>
  <si>
    <t xml:space="preserve">5GW of low carbon hydrogen production capacity by 2030</t>
  </si>
  <si>
    <t xml:space="preserve">GBR38</t>
  </si>
  <si>
    <t xml:space="preserve">318.8 million</t>
  </si>
  <si>
    <t xml:space="preserve">£240 million Net Zero Hydrogen Fund</t>
  </si>
  <si>
    <t xml:space="preserve">GBR39</t>
  </si>
  <si>
    <t xml:space="preserve">225.8 million </t>
  </si>
  <si>
    <t xml:space="preserve">Up to £170 million for a research and development programme on Advanced Modular Reactors. These reactors could operate at over 800°C and the high-grade heat could unlock efficient production of hydrogen and synthetic fuels</t>
  </si>
  <si>
    <t xml:space="preserve">GBR40</t>
  </si>
  <si>
    <t xml:space="preserve">53.3 million</t>
  </si>
  <si>
    <t xml:space="preserve">£40 million in developing the regulatory frameworks and supporting UK supply chain for small modular and advanced modular reactors </t>
  </si>
  <si>
    <t xml:space="preserve">Nuclear regulatory framework and building a Thermal Hydraulics Facility is not a knock-out positive impact on the climate.</t>
  </si>
  <si>
    <t xml:space="preserve">GBR41</t>
  </si>
  <si>
    <t xml:space="preserve">1.33 billion</t>
  </si>
  <si>
    <t xml:space="preserve">£1 billion to support the electrification of UK vehicles and their supply chains</t>
  </si>
  <si>
    <t xml:space="preserve">Ten Point Plan </t>
  </si>
  <si>
    <t xml:space="preserve">Up to £1 billion to support the electrification of UK vehicles and their supply chains. The first £500m of investment will be made available in this Parliament. </t>
  </si>
  <si>
    <t xml:space="preserve">GBR42</t>
  </si>
  <si>
    <t xml:space="preserve">1.73 billion</t>
  </si>
  <si>
    <t xml:space="preserve">£1.3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</si>
  <si>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 xml:space="preserve">GBR43</t>
  </si>
  <si>
    <t xml:space="preserve">772.86 million</t>
  </si>
  <si>
    <t xml:space="preserve">582 million to extend the Plug-in Car, Van, Taxi and Motorcycle grants to 2022–23 to reduce their sticker price for the consumer.</t>
  </si>
  <si>
    <t xml:space="preserve">GBR44</t>
  </si>
  <si>
    <t xml:space="preserve">26.56 million</t>
  </si>
  <si>
    <t xml:space="preserve">£20 million next year in freight trials to pioneer hydrogen and other zero emission lorries,</t>
  </si>
  <si>
    <t xml:space="preserve">GBR45</t>
  </si>
  <si>
    <t xml:space="preserve">159.35 million</t>
  </si>
  <si>
    <t xml:space="preserve">£120 million next year to begin the introduction of at least 4,000 more British built zero emission buses.</t>
  </si>
  <si>
    <t xml:space="preserve">GBR46</t>
  </si>
  <si>
    <t xml:space="preserve">Amount Unknown </t>
  </si>
  <si>
    <t xml:space="preserve">Fund at least two all-electric bus towns, beginning this financial year, as well as developing the first fully zero-emission city centre.</t>
  </si>
  <si>
    <t xml:space="preserve">GBR47</t>
  </si>
  <si>
    <t xml:space="preserve">19.92 million</t>
  </si>
  <si>
    <t xml:space="preserve">£15 million into FlyZero – a 12-month study, delivered through the Aerospace Technology Institute (ATI), into the strategic, technical and commercial issues in designing and developing zero-emission aircraft that could enter service in 2030.</t>
  </si>
  <si>
    <t xml:space="preserve">GBR48</t>
  </si>
  <si>
    <t xml:space="preserve">£15 million competition to support the production of Sustainable Aviation Fuels (SAF) in the UK, building on the success of the Future, Fuels for Freight and Flight Competition</t>
  </si>
  <si>
    <t xml:space="preserve">GBR49</t>
  </si>
  <si>
    <t xml:space="preserve">£20 million into the Clean Maritime Demonstration Programme to develop clean maritime technology. We are already running hydrogen ferry trials in Orkney and due to launch a hydrogen refuelling port in Teesside, as we seek to revitalise our ports and coastal communities.</t>
  </si>
  <si>
    <t xml:space="preserve">GBR50</t>
  </si>
  <si>
    <t xml:space="preserve">600,000 heat pump installations per year by 2028,</t>
  </si>
  <si>
    <t xml:space="preserve">GBR51</t>
  </si>
  <si>
    <t xml:space="preserve">Extend the Energy Company Obligation to 2026, so suppliers can help improve the draughtiest and coldest homes.</t>
  </si>
  <si>
    <t xml:space="preserve">GBR52</t>
  </si>
  <si>
    <t xml:space="preserve">£1 billion CCUS Infrastructure Fund will provide industry with the certainty required to deploy CCUS at pace and at scale</t>
  </si>
  <si>
    <t xml:space="preserve">GBR53</t>
  </si>
  <si>
    <t xml:space="preserve">106.12million</t>
  </si>
  <si>
    <t xml:space="preserve">The £80m Green Recovery Challenge fund will award grants to environmental charities and their partners across England to create and retain jobs while restoring nature and tackling climate change.</t>
  </si>
  <si>
    <t xml:space="preserve">GBR54</t>
  </si>
  <si>
    <t xml:space="preserve">6.91 billion</t>
  </si>
  <si>
    <t xml:space="preserve">£5.2 billion in a six-year programme for flood and coastal defences</t>
  </si>
  <si>
    <t xml:space="preserve">Country asked for mixed focus: Positive to adaptation, but negative for mitigation, as most building infra (concrete!) is.</t>
  </si>
  <si>
    <t xml:space="preserve">GBR55</t>
  </si>
  <si>
    <t xml:space="preserve">GBP 20 million</t>
  </si>
  <si>
    <t xml:space="preserve">£20 million in financial year 2020/21 under the On-street Residential Chargepoint Scheme to ensure more local authorities and residents can benefit from the scheme.  </t>
  </si>
  <si>
    <t xml:space="preserve">GBR56</t>
  </si>
  <si>
    <t xml:space="preserve">Developing the first fully zero-emission city centre</t>
  </si>
  <si>
    <t xml:space="preserve">GBR57</t>
  </si>
  <si>
    <t xml:space="preserve">3.984 million</t>
  </si>
  <si>
    <t xml:space="preserve">£3m for a clearing house programme to deliver early stage testing, funding and expert advice for new fuels. </t>
  </si>
  <si>
    <t xml:space="preserve">GBR58</t>
  </si>
  <si>
    <t xml:space="preserve">£3m for R&amp;D into the infrastructure upgrades required at UK airports to move to battery and hydrogen aircrafts.</t>
  </si>
  <si>
    <t xml:space="preserve">GBR59</t>
  </si>
  <si>
    <t xml:space="preserve">£150m GBP</t>
  </si>
  <si>
    <t xml:space="preserve">£150 million over FY21/22 for the Home Upgrade Grant scheme to upgrade the worst performing low-income homes not connected to the gas grid. </t>
  </si>
  <si>
    <t xml:space="preserve">https://www.gov.uk/government/news/government-boosts-energy-efficiency-spending-to-13-billion-with-extra-funding-for-green-homes</t>
  </si>
  <si>
    <t xml:space="preserve">GBR60</t>
  </si>
  <si>
    <t xml:space="preserve">£27m GBP</t>
  </si>
  <si>
    <t xml:space="preserve">£27 million for the Aberdeen Energy Transition Zone will help support North East Scotland to play a leading role in meeting our net zero ambitions.</t>
  </si>
  <si>
    <t xml:space="preserve">https://assets.publishing.service.gov.uk/government/uploads/system/uploads/attachment_data/file/966868/BUDGET_2021_-_web.pdf</t>
  </si>
  <si>
    <t xml:space="preserve">GBR61</t>
  </si>
  <si>
    <t xml:space="preserve">£2m GBP</t>
  </si>
  <si>
    <t xml:space="preserve">£2m for North Sea Transition Deal</t>
  </si>
  <si>
    <t xml:space="preserve">GBR62</t>
  </si>
  <si>
    <t xml:space="preserve">£5m GBP</t>
  </si>
  <si>
    <t xml:space="preserve">£5m uplift for Global Underwater Hub</t>
  </si>
  <si>
    <t xml:space="preserve">GBR63</t>
  </si>
  <si>
    <t xml:space="preserve">£300m GBP</t>
  </si>
  <si>
    <t xml:space="preserve">An additional £300 million for FY 21/22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 This is additonal to the £500 million of funding given to the scheme in July 2020</t>
  </si>
  <si>
    <t xml:space="preserve">USA1</t>
  </si>
  <si>
    <t xml:space="preserve">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</si>
  <si>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 xml:space="preserve">https://www.epa.gov/sites/production/files/2020-06/documents/covid19addendumontermination.pdf</t>
  </si>
  <si>
    <t xml:space="preserve">Policy Terminated on August 31st</t>
  </si>
  <si>
    <t xml:space="preserve">USA2</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</si>
  <si>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</si>
  <si>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 xml:space="preserve">https://www.federalregister.gov/documents/2020/06/09/2020-12584/accelerating-the-nations-economic-recovery-from-the-covid-19-emergency-by-expediting-infrastructure</t>
  </si>
  <si>
    <t xml:space="preserve">USA3</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</si>
  <si>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</si>
  <si>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 xml:space="preserve">https://www.nytimes.com/2020/06/01/climate/trump-clean-water-pipelines.html?smid=tw-share</t>
  </si>
  <si>
    <t xml:space="preserve">https://www.onegreenplanet.org/environment/21-states-sue-trump-administration-for-rollback-of-nepa/</t>
  </si>
  <si>
    <t xml:space="preserve">21 states are challening the policy in the court, and observers believe they may be succesfull, but for now the policy is still in place. </t>
  </si>
  <si>
    <t xml:space="preserve">USA4</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</si>
  <si>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</si>
  <si>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 xml:space="preserve">https://www.whitehouse.gov/presidential-actions/executive-order-regulatory-relief-support-economic-recovery/</t>
  </si>
  <si>
    <t xml:space="preserve">Executive Order still in effect, but has not materialized into concrete policies. </t>
  </si>
  <si>
    <t xml:space="preserve">USA5</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</si>
  <si>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</si>
  <si>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 xml:space="preserve">https://www.irs.gov/newsroom/treasury-irs-provide-safe-harbor-for-taxpayers-that-develop-renewable-energy-projects</t>
  </si>
  <si>
    <t xml:space="preserve">https://www.renewableenergymagazine.com/wind/new-american-wind-power-total-capacity-over-20200817</t>
  </si>
  <si>
    <t xml:space="preserve">Expanded for another year (2021)</t>
  </si>
  <si>
    <t xml:space="preserve">USA6</t>
  </si>
  <si>
    <t xml:space="preserve">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</si>
  <si>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</si>
  <si>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 xml:space="preserve">https://www.energy.gov/articles/doe-announces-intent-provide-122m-establish-coal-products-innovation-centers</t>
  </si>
  <si>
    <t xml:space="preserve">USA7</t>
  </si>
  <si>
    <t xml:space="preserve">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</si>
  <si>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</si>
  <si>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 xml:space="preserve">https://www.usda.gov/media/press-releases/2020/05/04/usda-announces-100-million-american-biofuels-infrastructure</t>
  </si>
  <si>
    <t xml:space="preserve">USA8</t>
  </si>
  <si>
    <t xml:space="preserve">500$ Million</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</si>
  <si>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</si>
  <si>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 xml:space="preserve">https://www.reuters.com/article/us-usa-energy-carboncapture/u-s-treasury-unveils-rules-for-carbon-capture-tax-credits-idUSKBN2352S6</t>
  </si>
  <si>
    <t xml:space="preserve">https://www.cpapracticeadvisor.com/tax-compliance/news/21151392/what-does-irs-treasury-carbon-capture-tax-credit-guidance-mean-for-future-energy-production</t>
  </si>
  <si>
    <t xml:space="preserve">Practical guidelines for credits released in mid-august </t>
  </si>
  <si>
    <t xml:space="preserve">USA9</t>
  </si>
  <si>
    <t xml:space="preserve">- 1.95$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</si>
  <si>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</si>
  <si>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 xml:space="preserve">https://www.reuters.com/article/us-usa-interior-renewables/trump-admin-slaps-solar-wind-operators-with-retroactive-rent-bills-idUSKBN22U0FW</t>
  </si>
  <si>
    <t xml:space="preserve">Bureau of Land Managemen's decision to raise rents for renewables and reduce them for Oil and Gas producers is an apt illustration of the recoveries direction.</t>
  </si>
  <si>
    <t xml:space="preserve">Policy continues to generate attention as a hallmark example of the US recovery direction </t>
  </si>
  <si>
    <t xml:space="preserve">USA10</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</si>
  <si>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</si>
  <si>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 xml:space="preserve">https://www.dol.gov/newsroom/releases/eta/eta20200310</t>
  </si>
  <si>
    <t xml:space="preserve">Policy already in planning before COVID-19, only adapted post COVID-19</t>
  </si>
  <si>
    <t xml:space="preserve">USA11</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</si>
  <si>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</si>
  <si>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 xml:space="preserve">https://www.congress.gov/bill/116th-congress/senate-bill/3779</t>
  </si>
  <si>
    <t xml:space="preserve">Program introduced before COVID-19, and it was very popular, so it may have been expanded even without COVID-19. </t>
  </si>
  <si>
    <t xml:space="preserve">USA12</t>
  </si>
  <si>
    <t xml:space="preserve">741$ Million</t>
  </si>
  <si>
    <t xml:space="preserve">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</si>
  <si>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 xml:space="preserve">https://www.governor.ny.gov/news/governor-cuomo-announces-nation-leading-initiatives-expand-electric-vehicle-use-combat-climate</t>
  </si>
  <si>
    <t xml:space="preserve">USA13</t>
  </si>
  <si>
    <t xml:space="preserve">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</si>
  <si>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</si>
  <si>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 xml:space="preserve">https://www.energy.ca.gov/news/2020-05/geothermal-lithium-recovery-projects-get-boost-california-energy-commission</t>
  </si>
  <si>
    <t xml:space="preserve">USA14</t>
  </si>
  <si>
    <t xml:space="preserve">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</si>
  <si>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 xml:space="preserve">https://news.bloombergtax.com/daily-tax-report/u-s-treasury-extends-deadlines-for-renewable-energy-projects</t>
  </si>
  <si>
    <t xml:space="preserve">USA15</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</si>
  <si>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</si>
  <si>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 xml:space="preserve">USA16</t>
  </si>
  <si>
    <t xml:space="preserve">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</si>
  <si>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</si>
  <si>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 xml:space="preserve">https://joebiden.com/BeyondHS/</t>
  </si>
  <si>
    <t xml:space="preserve">USA17</t>
  </si>
  <si>
    <t xml:space="preserve">60$ Billion </t>
  </si>
  <si>
    <t xml:space="preserve">A total of US$60 billion in bailout funding has been made available to ten airlines in the US. 
The stimulus was provided without any green conditions, although conditions on employee retention and equity stakes have been introduced for some carriers depending on firm financials. 
The US government has warrants on up to 1.9% of shares for any airline receiving grants or loans.</t>
  </si>
  <si>
    <t xml:space="preserve">https://www.vivideconomics.com/wp-content/uploads/2020/07/GreenStimulusIndex14July.pdf</t>
  </si>
  <si>
    <t xml:space="preserve">USA18</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</si>
  <si>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</si>
  <si>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 xml:space="preserve">https://www.ft.com/content/4d3d88c8-7eb6-4d06-bec0-c0ca8d91a045</t>
  </si>
  <si>
    <t xml:space="preserve">USA19</t>
  </si>
  <si>
    <t xml:space="preserve">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</si>
  <si>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</si>
  <si>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 xml:space="preserve">USA20</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</si>
  <si>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</si>
  <si>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 xml:space="preserve">https://www.bloomberg.com/news/articles/2020-04-15/u-s-weighs-paying-drillers-to-leave-oil-in-the-ground-amid-glut?sref=HeRxKWIM</t>
  </si>
  <si>
    <t xml:space="preserve">USA21</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</si>
  <si>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</si>
  <si>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 xml:space="preserve">https://oilprice.com/Energy/Crude-Oil/The-Cowboy-State-Looks-To-Stimulate-Oil-Drilling-With-Tax-Cuts.html</t>
  </si>
  <si>
    <t xml:space="preserve">USA22</t>
  </si>
  <si>
    <t xml:space="preserve">USA</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</si>
  <si>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</si>
  <si>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 xml:space="preserve">https://eplanning.blm.gov/public_projects/102555/200241580/20024135/250030339/Coastal%20Plain%20Record%20of%20Decision.pdf</t>
  </si>
  <si>
    <t xml:space="preserve">The Tax Cuts and Jobs Act of 2017 (TCJA) lifted the Section 1003 provision for the Coastal plain and directed the Secretary of Interior (Secretary) to establish a program for leasing, development, production, and transportation of oil and gas in and from the area. </t>
  </si>
  <si>
    <t xml:space="preserve">USA23</t>
  </si>
  <si>
    <t xml:space="preserve">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</si>
  <si>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</si>
  <si>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 xml:space="preserve">https://www.legis.state.pa.us/cfdocs/billInfo/billInfo.cfm?sYear=2019&amp;sInd=0&amp;body=H&amp;type=B&amp;bn=732</t>
  </si>
  <si>
    <t xml:space="preserve">New Policy</t>
  </si>
  <si>
    <t xml:space="preserve">USA24</t>
  </si>
  <si>
    <t xml:space="preserve">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</si>
  <si>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</si>
  <si>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 xml:space="preserve">https://www.governor.ny.gov/news/governor-cuomo-announces-largest-combined-solicitations-renewable-energy-ever-issued-us-combat</t>
  </si>
  <si>
    <t xml:space="preserve">USA25</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</si>
  <si>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</si>
  <si>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 xml:space="preserve">https://www.federalregister.gov/documents/2020/04/22/2020-08581/continuous-emission-monitoring-quality-assurance-requirements-during-the-covid-19-national-emergency</t>
  </si>
  <si>
    <t xml:space="preserve">USA26</t>
  </si>
  <si>
    <t xml:space="preserve">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</si>
  <si>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</si>
  <si>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 xml:space="preserve">https://www.federalregister.gov/documents/2017/09/18/2017-19821/postponement-of-certain-compliance-dates-for-the-effluent-limitations-guidelines-and-standards-for</t>
  </si>
  <si>
    <t xml:space="preserve">CRI1</t>
  </si>
  <si>
    <t xml:space="preserve">CRI</t>
  </si>
  <si>
    <t xml:space="preserve">3 month moratorium on payment of VAT and Customs and import Tariffs by companies </t>
  </si>
  <si>
    <t xml:space="preserve">https://www.thecentralamericangroup.com/five-costa-rican-covid-19-economic-measures/#contactus</t>
  </si>
  <si>
    <t xml:space="preserve">CRI3</t>
  </si>
  <si>
    <t xml:space="preserve">USD 1.6 billion</t>
  </si>
  <si>
    <t xml:space="preserve">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</si>
  <si>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 xml:space="preserve">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</si>
  <si>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 xml:space="preserve">CRI4</t>
  </si>
  <si>
    <t xml:space="preserve">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</si>
  <si>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Elecrtic Passenger Train is a flagship project and key piece transportation infrastruture for the country. </t>
  </si>
  <si>
    <t xml:space="preserve">1. https://intallaght.ie/costa-rica-government-announces-%E2%82%A1-900-billion-in-loans-to-the-productive-sector-for-the-countrys-recovery/ 2. https://www.prensa-latina.cu/index.php?o=rn&amp;id=364412&amp;SEO=gobierno-de-costa-rica-revelara-medidas-para-recuperacion-economica</t>
  </si>
  <si>
    <t xml:space="preserve">CRI5</t>
  </si>
  <si>
    <t xml:space="preserve">Bill to modernise the National Learning Institute and give it greater lattitude to respond to the skilling needs of the young population and enahnce employability in post COVID economy. This includes freelance work. </t>
  </si>
  <si>
    <t xml:space="preserve">https://intallaght.ie/costa-rica-government-announces-%E2%82%A1-900-billion-in-loans-to-the-productive-sector-for-the-countrys-recovery/</t>
  </si>
  <si>
    <t xml:space="preserve">CRI6</t>
  </si>
  <si>
    <t xml:space="preserve">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</si>
  <si>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 xml:space="preserve">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</si>
  <si>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</si>
  <si>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</si>
  <si>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 xml:space="preserve">https://www.worldbank.org/en/news/press-release/2020/06/25/apoyo-del-banco-mundial-a-costa-rica-para-promover-la-recuperacion-economica-y-un-desarrollo-bajo-en-carbono</t>
  </si>
  <si>
    <t xml:space="preserve">CRI8</t>
  </si>
  <si>
    <t xml:space="preserve">USD 300 million loan by the CABEI to support the Government's recover measures and ensure low-carbon development. Taking out this loan alos points towards future expeditures in low-carbon infrastructure and initiatives. </t>
  </si>
  <si>
    <t xml:space="preserve">https://www.eleconomista.net/actualidad/BCIE-aprueba-300-millones-a-Costa-Rica-para-recuperacion-economica-20200724-0008.html</t>
  </si>
  <si>
    <t xml:space="preserve">CRI9</t>
  </si>
  <si>
    <t xml:space="preserve">USD 44.244 million</t>
  </si>
  <si>
    <t xml:space="preserve">Removal of fossil fuel subsidies taking advantage of low international oil prices to protect workers that lost their job due to COVID 19 pandemic (Colon billion 27). The measure will benefits 75 000 families nation-wide</t>
  </si>
  <si>
    <t xml:space="preserve">https://www.elmundo.cr/costa-rica/aprueban-en-segundo-debate-proyecto-que-crea-subsidio-en-favor-de-trabajadores/</t>
  </si>
  <si>
    <t xml:space="preserve">Law 21 909 approved 22/04/20. Prices will be freezed for 3 months, with possible extension of 3 more months. Excluded are diesel, LPG, and fuels for the fishing sector,</t>
  </si>
  <si>
    <t xml:space="preserve">BRA1</t>
  </si>
  <si>
    <t xml:space="preserve">BRA</t>
  </si>
  <si>
    <t xml:space="preserve">US$ 20.6 billion
</t>
  </si>
  <si>
    <t xml:space="preserve">Up to US$ 45.4 billion for workers and the most vulnerable population. Fiscal impact: US$ 20.6 billion</t>
  </si>
  <si>
    <t xml:space="preserve">https://www.gov.br/economia/pt-br/centrais-de-conteudo/publicacoes/publicacoes-em-outros-idiomas/covid-19/covid-19-2020-04-24-brazil-policy-measures-1830-1.pdf/view</t>
  </si>
  <si>
    <t xml:space="preserve">BRA2</t>
  </si>
  <si>
    <t xml:space="preserve">USD 14.4 billion</t>
  </si>
  <si>
    <t xml:space="preserve">Up to US$ 26.7 billion in aid to states and municipalities. Fiscal impact: US$ 14.4 billion</t>
  </si>
  <si>
    <t xml:space="preserve">BRA3</t>
  </si>
  <si>
    <t xml:space="preserve">USD 54.8 billion</t>
  </si>
  <si>
    <t xml:space="preserve">US$ 54.8 billion in credit measures</t>
  </si>
  <si>
    <t xml:space="preserve">BRA4</t>
  </si>
  <si>
    <t xml:space="preserve">USD 10.3 billion.</t>
  </si>
  <si>
    <t xml:space="preserve">Up to US$ 104.9 billion in cash flow measures and a program for employment in companies. Fiscal impact of US$ 10.3 billion.</t>
  </si>
  <si>
    <t xml:space="preserve">BRA5</t>
  </si>
  <si>
    <t xml:space="preserve">USD 3.6 billion</t>
  </si>
  <si>
    <t xml:space="preserve">US$ 4.9 billion to fight the COVID-19 (funds and measures to assure supplies, treatment and protection). Fiscal impact: US$ 3.6 billion</t>
  </si>
  <si>
    <t xml:space="preserve">BRA6</t>
  </si>
  <si>
    <t xml:space="preserve">Liquidity assistance of US$ 240 billion from the Central Bank</t>
  </si>
  <si>
    <t xml:space="preserve">BRA7</t>
  </si>
  <si>
    <t xml:space="preserve">Capital release of US$ 640 billion</t>
  </si>
  <si>
    <t xml:space="preserve">BRA8</t>
  </si>
  <si>
    <t xml:space="preserve">Creation of new financial mechanisms for green bonds issuance for sustainable infrastructure, expected to attract up to US$34 billion by 2029.</t>
  </si>
  <si>
    <t xml:space="preserve">http://www.planalto.gov.br/ccivil_03/_ato2019-2022/2020/decreto/D10387.htm</t>
  </si>
  <si>
    <t xml:space="preserve">BRA9</t>
  </si>
  <si>
    <t xml:space="preserve">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 seen by many as a strategy to push forward easures for easing regulation in the environmental sector while society is "distracted" by the pandemics.</t>
  </si>
  <si>
    <t xml:space="preserve">https://www.camara.leg.br/proposicoesWeb/fichadetramitacao?idProposicao=2252589</t>
  </si>
  <si>
    <t xml:space="preserve">PL 2633/2020 aims at the legalization of public land which will allow for better law enforcement of the Forest Code and other environmental protective measures. The proposal clearly forbids legal land tenure of tenants using practices such as slavery-related labor and irregular deforestation. It fosters the use of satellite images to assess the evolution of land use, regular land tenure by traditional population groups - such as quilombolas - and surveillance of land under suspicion of irregular use and deforestation</t>
  </si>
  <si>
    <t xml:space="preserve">Changed from Neg. to Positive</t>
  </si>
  <si>
    <t xml:space="preserve">BRA10</t>
  </si>
  <si>
    <t xml:space="preserve">Fiscal</t>
  </si>
  <si>
    <t xml:space="preserve">Congress added important points in the MP (Provisional Measure) that had been set by the President early in the pandemic. The airline companies will not be held responsible for flight delays due to "force majeure" and they may use the National Civil Aviation Fund (FNAC) for loan guarantees of up to BRL 3 billion.</t>
  </si>
  <si>
    <t xml:space="preserve">https://www.camara.leg.br/noticias/674316-camara-aprova-texto-base-de-mp-sobre-remarcacao-de-passagens-aereas
http://www.planalto.gov.br/ccivil_03/_ato2019-2022/2020/lei/L14034.htm</t>
  </si>
  <si>
    <t xml:space="preserve">https://www.in.gov.br/en/web/dou/-/lei-n-14.034-de-5-de-agosto-de-2020-270712514 (accessed 07/08/2020)</t>
  </si>
  <si>
    <t xml:space="preserve">The MP was converted into Law n. 14.034/2020. It mainly regulates air companies’s obligations towards passangers regarding refunds in case of cancelation of flights. It also allows the use of the National Civil Aviation Fund (FNAC) for loans and loan guarantees. </t>
  </si>
  <si>
    <t xml:space="preserve">BRL</t>
  </si>
  <si>
    <t xml:space="preserve">Changed from Neg. to Indeterminate</t>
  </si>
  <si>
    <t xml:space="preserve">BRA11</t>
  </si>
  <si>
    <t xml:space="preserve">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</si>
  <si>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 xml:space="preserve">https://agenciadenoticias.bndes.gov.br/detalhe/noticia/Fundo-para-eficiencia-energetica-do-BNDES-recebera-aporte-de-R$-30-milhoes-do-Procel/</t>
  </si>
  <si>
    <t xml:space="preserve">BRA12</t>
  </si>
  <si>
    <t xml:space="preserve">It provides for the reduction of royalties and the incentive for small or medium-sized companies in the activities of exploration, development and production of oil and natural gas.</t>
  </si>
  <si>
    <t xml:space="preserve">https://www.gov.br/anp/pt-br/canais_atendimento/imprensa/noticias-comunicados/reducao-de-royalties-para-empresas-de-pequeno-e-medio-portes-e-tema-de-workshop-1</t>
  </si>
  <si>
    <t xml:space="preserve">https://web.archive.org/web/20200722013932/, http://www.in.gov.br/en/web/dou/-/despacho-do-presidente-da-republica-264424998</t>
  </si>
  <si>
    <t xml:space="preserve">Changed from Neg. to Mixed</t>
  </si>
  <si>
    <t xml:space="preserve">Changed back to neg</t>
  </si>
  <si>
    <t xml:space="preserve">BRA13</t>
  </si>
  <si>
    <t xml:space="preserve">The "More Light for the Amazon" program foresees the use of renewable sources of electricity generation, mainly photovoltaic systems, and the replacement of small diesel or gasoline electric power generators, which today are the only source of electricity for many families that live in these remote regions, thus contributing to the reduction of greenhouse gas emissions and encouraging the sustainable use of resources in the Amazon Forest.</t>
  </si>
  <si>
    <t xml:space="preserve">https://www.gov.br/casacivil/pt-br/assuntos/noticias/2020/junho/mais-luz-para-a-amazonia-manual-de-operacionalizacao-do-programa-e-aprovado</t>
  </si>
  <si>
    <t xml:space="preserve">BRA14</t>
  </si>
  <si>
    <t xml:space="preserve">Aims to encourage the entry of new actors and attract investments to the oil refinery sector. </t>
  </si>
  <si>
    <t xml:space="preserve">https://web.archive.org/web/20200713014452/
http://www.mme.gov.br/web/guest/todas-as-noticias/-/asset_publisher/pdAS9IcdBICN/content/diretrizes-para-desinvestimentos-no-setor-de-refino-brasileiro
http://www.mme.gov.br/web/guest/todas-as-noticias/-/asset_publisher/pdAS9IcdBICN/content/diretrizes-para-desinvestimentos-no-setor-de-refino-brasileiro?inheritRedirect=false&amp;redirect=
http://antigo.mme.gov.br/web/guest/todas-as-noticias/-/asset_publisher/pdAS9IcdBICN/content/cade-e-petrobras-celebram-acordo-para-venda-de-refinarias-de-petrol-1/pop_up?_101_INSTANCE_pdAS9IcdBICN_viewMode=print&amp;_101_INSTANCE_pdAS9IcdBICN_languageId=pt_BR</t>
  </si>
  <si>
    <t xml:space="preserve">https://web.archive.org/web/20200713014452/, http://www.mme.gov.br/web/guest/todas-as-noticias/-/asset_publisher/pdAS9IcdBICN/content/diretrizes-para-desinvestimentos-no-setor-de-refino-brasileiro? </t>
  </si>
  <si>
    <t xml:space="preserve">BRA15</t>
  </si>
  <si>
    <t xml:space="preserve">Establishes procedures for controlling and reducing oil and gas burns and losses. Aims to foster, on economic grounds, an increase in the share of domestic natural gas production in serving the Brazilian market, including by reducing the burning of natural gas in exploration and production activities.</t>
  </si>
  <si>
    <t xml:space="preserve">https://web.archive.org/web/20200713012922/, http://www.anp.gov.br/noticias/5589-anp-aperfeicoa-regras-para-queima-de-gas</t>
  </si>
  <si>
    <t xml:space="preserve">BRA16</t>
  </si>
  <si>
    <t xml:space="preserve">To allow the extension of deadlines related to oil and natural gas exploration and production contracts in the context of COVID.</t>
  </si>
  <si>
    <t xml:space="preserve">https://web.archive.org/web/20200713010848/, http://www.in.gov.br/web/dou/-/resolucao-n-815-de-20-de-abril-de-2020-253195842</t>
  </si>
  <si>
    <t xml:space="preserve">BRA17</t>
  </si>
  <si>
    <t xml:space="preserve">Temporary measures to confront Covid-19 for the oil and gas sector, specifically changes in procedures to be adopted by regulated agents from from the Oil National Agency</t>
  </si>
  <si>
    <t xml:space="preserve">https://web.archive.org/web/20200421193251/, http://www.in.gov.br/web/dou/-/resolucao-n-816-de-20-de-abril-de-2020-253195837</t>
  </si>
  <si>
    <t xml:space="preserve">BRA18</t>
  </si>
  <si>
    <t xml:space="preserve">Relief to the electricity sector (creation of "COVID-account", destined to receive resources to cover deficits or antecipate costs)</t>
  </si>
  <si>
    <t xml:space="preserve">https://web.archive.org/web/20200712204420/, http://www.in.gov.br/en/web/dou/-/decreto-n-10.350-de-18-de-maio-de-2020-257267211</t>
  </si>
  <si>
    <t xml:space="preserve">https://www.demarest.com.br/wp-content/uploads/2020/06/Boletim-Energia-Junho-2020-Demarest-Advogados_.pdf</t>
  </si>
  <si>
    <t xml:space="preserve">BRA19</t>
  </si>
  <si>
    <t xml:space="preserve">Relief to the electricity sector (temporary measures to confront Covid-19 for the electricity sector)</t>
  </si>
  <si>
    <t xml:space="preserve">https://web.archive.org/web/20200712203630/, http://www.in.gov.br/en/web/dou/-/medida-provisoria-n-950-de-8-de-abril-de-2020-251768271</t>
  </si>
  <si>
    <t xml:space="preserve">Indeterminate to Positive</t>
  </si>
  <si>
    <t xml:space="preserve">BRA20</t>
  </si>
  <si>
    <t xml:space="preserve">To postpone energy auctions indefinitely in order to adopt measures to deal with the public health emergency of international importance resulting from the coronavirus  </t>
  </si>
  <si>
    <t xml:space="preserve">https://web.archive.org/web/20200712161825/, http://www.in.gov.br/en/web/dou/-/portaria-n-134-de-28-de-marco-de-2020-250263670</t>
  </si>
  <si>
    <t xml:space="preserve">Changed back to indeterm</t>
  </si>
  <si>
    <t xml:space="preserve">BRA21</t>
  </si>
  <si>
    <t xml:space="preserve">The objective is the guarantee of the provision of energy services; the preservation of the mineral goods production and supply chain; of petroleum and its derivatives; of natural gas; and biofuels. </t>
  </si>
  <si>
    <t xml:space="preserve">https://web.archive.org/web/20200712144231/, http://www.in.gov.br/en/web/dou/-/portaria-n-131-de-27-de-marco-de-2020-250710862</t>
  </si>
  <si>
    <t xml:space="preserve">https://www.iea.org/reports/sustainable-recovery/a-sustainable-recovery-plan-for-the-energy-sector </t>
  </si>
  <si>
    <t xml:space="preserve">BRA22</t>
  </si>
  <si>
    <t xml:space="preserve">To prevent electricity service from being interrupted or cut during the COVID crisis. </t>
  </si>
  <si>
    <t xml:space="preserve">https://web.archive.org/web/20200712142308/, http://www.in.gov.br/en/web/dou/-/resolucao-normativa-n-878-de-24-de-marco-de-2020-249621270</t>
  </si>
  <si>
    <t xml:space="preserve">BRA23</t>
  </si>
  <si>
    <t xml:space="preserve">To help facilitate environmental licensing for uranium and phosphate mining projects.</t>
  </si>
  <si>
    <t xml:space="preserve">https://web.archive.org/web/20200707222635/, http://www.mme.gov.br/web/guest/todas-as-noticias/-/asset_publisher/pdAS9IcdBICN/content/mme-aprova-no-ppi-o-programa-de-minerais-estrategicos?inheritRedirect=false&amp;redirect=, http%3A%2F%2Fwww.mme.gov.br%2Fweb%2Fguest%2Ftodas-as-noticias%3Fp_p_id%3D101_INSTANCE_pdAS9IcdBICN%26p_p_lifecycle%3D0%26p_p_state%3Dnormal%26p_p_mode%3Dview%26p_p_col_id%3Dcolumn-1%26p_p_col_count%3D1</t>
  </si>
  <si>
    <t xml:space="preserve">Negative to Indeterminate</t>
  </si>
  <si>
    <t xml:space="preserve">Changed to mixed</t>
  </si>
  <si>
    <t xml:space="preserve">BRA24</t>
  </si>
  <si>
    <t xml:space="preserve">The Project contributes to the reduction of greenhouse gas emissions per MWh of energy from the Brazilian electric matrix by adding energy generation capacity through a clean and renewable source of resources; and it also contributes to the strengthening of the supply chain for the wind turbine sector established in the country.</t>
  </si>
  <si>
    <t xml:space="preserve">https://web.archive.org/web/20200712024353/, https://www.bndes.gov.br/wps/portal/site/home/imprensa/noticias/conteudo/projeto-eolico-no-rio-grande-do-norte-apoiado-pelo-bndes-fornece-a-energia-limpa-a-800-mil-residencias/%21ut/p/z1/zZRLb9swDMc_yw45EqJl-XV00zzauA22PtL4UsiynKiLJddR222ffnLRAVuHxBiyDPNFoEj__qRJk-TkjuSaP6sVt8povnH2Mg_vs2Q2mrI5ZhhcM0xP_YjdRCOcxZTckpzkQtvGrsmy0KXc3iu9tco-iVfCANemlgNUddNKveUD1MYqofh2gMJoK59KM8CmNQ_SGpBmo4QBbaBVBlYtd0Aou4vWSuCNUdxZjdwYeNWCyrRaCucCqWW7Uhw2Tok7O0aEWm2glVtVSt0pdqk2QpVkGSeFpGHpgYiqEFgQxFB4nge8LApRJdSPaUEWfbXnzo07nhTf3t8TkO_GszHu1-8C8v3pLbp6ezLoy-FdwOQ0o5hmwRjHHy8no5S-D5if-SNMp8MsYKOZN0l8snRVRLvT9MniWckXcuNaXLuBu_rDJk2xR2FOD1TowQfHxUdHxTN2IP68bwjdAqHtxfBi5bDcrkHpypC7f_S_O3H18PiYp25FdbvmiyV3__uO2tswNvZ2NywKMUFRlhB6DIEhp5AEYQlRxTmjzhuK3-fh6sR3-OgsyCYJTmn0l_G_Zn8bHhcfHBd_6Mc579u2B88raeo69r8qBZ8_Tb-dXMJkWMQv11X9dixi-7P54zb98B2x5CNI/dz/d5/L2dBISEvZ0FBIS9nQSEh/</t>
  </si>
  <si>
    <t xml:space="preserve">Investment in 6 windmill parks with 76 generators with a total capacity of 319.2MW, enough to supply up to 800,000 residencies in the region.</t>
  </si>
  <si>
    <t xml:space="preserve">BRA25</t>
  </si>
  <si>
    <t xml:space="preserve">To increase the diversification of the power supply through investment in renewables, and also to improve energy security.</t>
  </si>
  <si>
    <t xml:space="preserve">BRA26</t>
  </si>
  <si>
    <t xml:space="preserve">Financing to support an investment plan in the electricity sector, with a view to expanding the system, reduction commercial losses, improving the quality of energy supply, expanding the customer base and improving the operation of the electricity system. </t>
  </si>
  <si>
    <t xml:space="preserve">https://web.archive.org/save/, 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t>
  </si>
  <si>
    <t xml:space="preserve">Investments to improve the operation efficiency in general, including modernization of equipment and transmission lines, aiming to reduce the operational of energy in at least 30% in the affected areas</t>
  </si>
  <si>
    <t xml:space="preserve">BRA27</t>
  </si>
  <si>
    <t xml:space="preserve">To diversify the energy mix in Brazil, increase the installed capacity of the national electricity system, and contribute to the strengthening of the wind turbine sector's supply chain established in the country.</t>
  </si>
  <si>
    <t xml:space="preserve">https://web.archive.org/web/20200712021311/, 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</si>
  <si>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 xml:space="preserve">BRA28</t>
  </si>
  <si>
    <t xml:space="preserve">The stimulus aims to help move Brazil toward a low-carbon economy, and to expand the private energy market in the country. </t>
  </si>
  <si>
    <t xml:space="preserve">https://web.archive.org/save/, https://www.bndes.gov.br/wps/portal/site/home/imprensa/noticias/conteudo/com-financiamento-do-bndes-parque-eolico-na-bahia-vai-gerar-energia-limpa-para-850-mil-domicilios/!ut/p/z1/xVVNc9owFPwtOXB8o4ctf3B0CZgPJyQhhOALI2QZ1MEysQ2U_vrKJJk2pODJUKa-yJZW-3b2rWQSkmcSKraRc1bIVLGl_p6E9jRo9FsdOsAArUeK3rXp0JHTwr5rkPFHwKBrttDrNAOLtvp1v2GS8Ph-2kbyREISclWsigWZzFQk8qlUeSGLNd8rqOEiTUQNZbLKhMpZDVVaSC5ZXkOeqkKso7R8SyCWiim9kAhVpBClsGeDFcte1gJEupQ8BcVgxhaSwYZJmIuMZSCUyOZ6ZqlLsBLOwLUQErnUJIkutZRpXqpccRmRiVMX1HQjA2wztoFybgEzGgbEnEczFxlllnXoymfbSlfwyOPh2_4TgApXT9YvAeFpeb2PAP8B6-hZ_bb3dN030aBlLozspnkz17awYgFSxSl5jsuG5JAJvs5ybZpGye8vL6GnW1wu_SjI84keFxlTuW6AKNtYw1e2aSSm74Tvc78rHAgdBL6DXuAPusPhHd7fOseEJsklxK1VtB81-6Gwh46rhTWDx7u2i_6IXrJ8OeqkvxJAso70uWDAdcAZxCrhNVxlKRe53gWRgLI8y4GpNZP5HnDEtapd4_KUVOS2KrkHAP86MLRvVhvb97d-yzMOAZ8vnInOvnM83CYZb6TYkpFKs0TfcMMvHu0OVlQYGGdWqKC3LkvvXJSe0jPpe1VX19-je_kfxBfP8__-n51sE23XT7TJxgbyKAK7ThEoMgMalh2BEzNGDb1q89kn-uE3U9M7XSvwG9gxnH9M_1H9k31Zeuuy9Oea06u6Y8-OKlklo8Q1d1JCONuZPwMx3r-g7MKkt9luH-OkOXPfhp253Pzx-T679a6ufgGovzVl/dz/d5/L2dBISEvZ0FBIS9nQSEh/ </t>
  </si>
  <si>
    <t xml:space="preserve">Financing for the construction of 12 windmill parks on a total of 370.8 MW sufficient for 840 thousand residences.</t>
  </si>
  <si>
    <t xml:space="preserve">BRA29</t>
  </si>
  <si>
    <t xml:space="preserve">The stimulus aims to diversify the Brazilian energy matrix and to help economic recovery after the coronavirus pandemic. </t>
  </si>
  <si>
    <t xml:space="preserve">https://web.archive.org/save/, https://www.bndes.gov.br/wps/portal/site/home/imprensa/noticias/conteudo/bndes-aprova-financiamento-a-implantacao-de-parque-eolico-no-rio-grande-do-norte/!ut/p/z1/zVTBjpswFPyWPXB0_BZDQnpDuyRpQxq13TQLl8gYA26DTYwD27-vSXOoVk1W1Xal-mL56b2Z8ZgBp_gRp5J2oqRGKEn39pyk4108XUYLbw0x-A8ehPdk4m0mESwDF29PDXBhhYDTy_PeDPBXnOKUSdOYCieZzHm7E7I1whzZSYEDlaq5A6JuNJctdUAqI5igrQNMScOPuXLgNIhoo1VHUSEklbaj5tIoRJEd3VNpKKMK5Rw1VB-OHHG1F0whqZAWCpWaWgiUDwVt-CCqYSLHyRimGWM5Q8GtS5A3JlMUeBlFxCekANf3Cc_OJlxxKb3u0Xbg-x1hfh-7EMb-DGafPs6j0H3esH5PIggXd7HvRcvb-ZScG66QJFbk5LJIgred4D3eWANq-_Jf_tKDxUsMa_eVDC_A-28LP3lTeM97JfyHa0EbPkGbZFev7lalhaWmQkIWCj_-8-BYGvHtcEhDm-ohnk_mTPJfxNq6VO5V9uvHFsqMBNYOzQuuuR4dtS1XxjTtOwcc6Pt-dBIwKlU3yrStNFZdY4EG_a0w_PIt_oRfqdaa8RwWN_WmDsgP9P1z0D8UVVnvVhHxz9u-i4uV8ZPw5uYn_0fGBQ!!/dz/d5/L2dBISEvZ0FBIS9nQSEh/</t>
  </si>
  <si>
    <t xml:space="preserve">BRA30</t>
  </si>
  <si>
    <t xml:space="preserve">The operation was organized to avoid major readjustments in electricity tariffs, which would have been caused by the effects foreseen in the distributors' next ordinary tariff process. With Conta-Covid, these amounts will be diluted in 60 months, reducing the readjustment indexes to be approved in 2020.</t>
  </si>
  <si>
    <t xml:space="preserve">https://web.archive.org/save/, 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</si>
  <si>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 xml:space="preserve">Financing for the construction of windmill parks on a total of 508 MW and further expansion plans.</t>
  </si>
  <si>
    <t xml:space="preserve">BRA31</t>
  </si>
  <si>
    <t xml:space="preserve">The purchase of biodiesel is intended to comply with the mandatory mixture of 12% biodiesel to the diesel sold for the months of July and August. </t>
  </si>
  <si>
    <t xml:space="preserve">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</si>
  <si>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 xml:space="preserve">eb.archive.org/web/20200701115203/; http://www.mme.gov.br/web/guest/todas-as-noticias/-/asset_publisher/pdAS9IcdBICN/content/73-leilao-de-biodiesel-negocia-1-19-bilhao-de-litros?inheritRedirect=false&amp;redirect=</t>
  </si>
  <si>
    <t xml:space="preserve">Mixed to positive</t>
  </si>
  <si>
    <t xml:space="preserve">changed back to mixed (all biofuels are mixed)</t>
  </si>
  <si>
    <t xml:space="preserve">BRA32</t>
  </si>
  <si>
    <t xml:space="preserve">Strengthen the electricity sector's liquidity amid the COVID-19 pandemic scenario.</t>
  </si>
  <si>
    <t xml:space="preserve">https://web.archive.org/save/, https://www.aneel.gov.br/sala-de-imprensa-exibicao-2/-/asset_publisher/zXQREz8EVlZ6/content/covid-19-aneel-e-ccee-liberam-r-207-milhoes-para-distribuidoras-e-consumidores-livres/656877</t>
  </si>
  <si>
    <t xml:space="preserve">BRA33</t>
  </si>
  <si>
    <t xml:space="preserve">The international oil price reduction made biofuels less competitive compared to gasoline, thus increasing the COVID-19 crisis impact on the biofuel industry. The program aims to support the sector, incentivize the maintenance of jobs, and reduce the risk of fuel shortages during the period of economic recovery.</t>
  </si>
  <si>
    <t xml:space="preserve">https://web.archive.org/web/0/, https://www.bndes.gov.br/wps/portal/site/home/imprensa/noticias/conteudo/setor-sucroalcooleiro-tera-apoio-do-bndes-para-enfrentar-pandemia</t>
  </si>
  <si>
    <t xml:space="preserve">BRA34</t>
  </si>
  <si>
    <t xml:space="preserve">Exempts all beneficiaries of the Social Tariff Program (2002) from paying electric bills from April 8th to June 30th aiming to provide support to low income families.</t>
  </si>
  <si>
    <t xml:space="preserve">https://web.archive.org/save/, http://www.planalto.gov.br/ccivil_03/_ato2019-2022/2020/Mpv/mpv950.htm; https://www.camara.leg.br/noticias/652787-MEDIDA-PROVISORIA-ISENTA-CONSUMIDOR-DE-BAIXA-RENDA-DE-PAGAR-CONTA-DE-LUZ</t>
  </si>
  <si>
    <t xml:space="preserve">Negative to positive</t>
  </si>
  <si>
    <t xml:space="preserve">chanted to indeterminate</t>
  </si>
  <si>
    <t xml:space="preserve">BRA35</t>
  </si>
  <si>
    <t xml:space="preserve">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</si>
  <si>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 xml:space="preserve">https://web.archive.org/web/20200707221455/, http://www.mme.gov.br/web/guest/todas-as-noticias/-/asset_publisher/pdAS9IcdBICN/content/decreto-cria-novas-perspectivas-para-fontes-renovaveis?inheritRedirect=false&amp;redirect=, http%3A%2F%2Fwww.mme.gov.br%2Fweb%2Fguest%2Ftodas-as-noticias%3Fp_p_id%3D101_INSTANCE_pdAS9IcdBICN%26p_p_lifecycle%3D0%26p_p_state%3Dnormal%26p_p_mode%3Dview%26p_p_col_id%3Dcolumn-1%26p_p_col_count%3D1</t>
  </si>
  <si>
    <t xml:space="preserve">https://www.in.gov.br/en/web/dou/-/decreto-n-10.387-de-5-de-junho-de-2020-260391759; https://www.tauilchequer.com.br/en/perspectives-events/publications/2020/06/decreto-n-1038720</t>
  </si>
  <si>
    <t xml:space="preserve">BRA36</t>
  </si>
  <si>
    <t xml:space="preserve">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</si>
  <si>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 xml:space="preserve">BRA37</t>
  </si>
  <si>
    <t xml:space="preserve">Dec. Law n. 10.623/2021, called Adopt a Park Programme to fosters investment by the private sector in public conservation units</t>
  </si>
  <si>
    <t xml:space="preserve">BRA38</t>
  </si>
  <si>
    <t xml:space="preserve">Floresta+ Program aims to regulate payments for environmental services and the conservation of native forests.</t>
  </si>
  <si>
    <t xml:space="preserve">https://www.gov.br/mma/pt-br/noticias/mma-institui-programa-floresta-para-remunerar-quem-protege-a-mata-nativa</t>
  </si>
  <si>
    <t xml:space="preserve">BRA39</t>
  </si>
  <si>
    <t xml:space="preserve">Priority project in the National Congress, on the modernization of the electric sector, discussed in Senate Law Project no. 232/2016. Incentives to develop new sources of clean energy and improve efficiency on the grid.</t>
  </si>
  <si>
    <t xml:space="preserve">https://www25.senado.leg.br/web/atividade/materias/-/materia/126049</t>
  </si>
  <si>
    <t xml:space="preserve">BRA40</t>
  </si>
  <si>
    <t xml:space="preserve">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</si>
  <si>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</si>
  <si>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 xml:space="preserve">BRA41</t>
  </si>
  <si>
    <t xml:space="preserve">Approval of the law number 14,119/2021 on payment for environmental services. This measure creates economic incentives and market instruments to mitigate climate change, conserve biodiversity, protect the Environment and increase local water quality. It focuses on supporting landowners to comply with environmental regulations which helps them to adopt sustainable practices. </t>
  </si>
  <si>
    <t xml:space="preserve">https://www.camara.leg.br/noticias/721368-sancionada-lei-de-pagamento-por-servicos-ambientais/#:~:text=O%20presidente%20Jair%20Bolsonaro%20sancionou,em%20troca%20do%20bem%20preservado.</t>
  </si>
  <si>
    <t xml:space="preserve">BRA42</t>
  </si>
  <si>
    <t xml:space="preserve">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t>
  </si>
  <si>
    <t xml:space="preserve">https://www.euractiv.com/section/energy-environment/news/eu-does-not-exclude-funding-gas-highways-under-green-recovery-plan/</t>
  </si>
  <si>
    <t xml:space="preserve">The grants and loans provided to EU countries under the bloc’s €750 billion recovery plan will not automatically exclude funding for gas infrastructure or highways, as long as these are part of a coherent national decarbonization strategy with clear milestones, EU officials have said</t>
  </si>
  <si>
    <t xml:space="preserve">Mixed because of gas focus</t>
  </si>
  <si>
    <t xml:space="preserve">BRA43</t>
  </si>
  <si>
    <t xml:space="preserve">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</si>
  <si>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</si>
  <si>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 xml:space="preserve">Mixed because general infra</t>
  </si>
  <si>
    <t xml:space="preserve">BRA44</t>
  </si>
  <si>
    <t xml:space="preserve">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t>
  </si>
  <si>
    <t xml:space="preserve">https://www.gov.br/infraestrutura/pt-br/brdomar
https://www.marinha.mil.br/economia-azul/noticias/br-do-mar-como-e-o-projeto-do-governo-para-aumentar-o-transporte-entre-os-portos
</t>
  </si>
  <si>
    <t xml:space="preserve">BRA45</t>
  </si>
  <si>
    <t xml:space="preserve">Edition of Decree no. 10,531 / 2020, on the Federal Development Strategy for Brazil from 2020 to 2031. Brazil has adopted an institutional long-term plan for economic recovery with specific commitments towards a resilient and low-carbon economy.</t>
  </si>
  <si>
    <t xml:space="preserve">https://www.gov.br/casacivil/pt-br/assuntos/noticias/2020/outubro/decreto-institui-a-estrategia-federal-de-desenvolvimento-para-o-brasil-ate-2031</t>
  </si>
  <si>
    <t xml:space="preserve">BRA46</t>
  </si>
  <si>
    <t xml:space="preserve">Priority project in the National Congress, on advances for environmental licensing, discussed in Law Project no. 3729/2004. Predictability, legal assurance for investments, management of environmental and social risks and new instruments for environmental assessment</t>
  </si>
  <si>
    <t xml:space="preserve">https://www.camara.leg.br/proposicoesWeb/fichadetramitacao?idProposicao=257161#:~:text=PL%203729%2F2004%20Inteiro%20teor&amp;text=Disp%C3%B5e%20sobre%20o%20licenciamento%20ambiental,Federal%2C%20e%20d%C3%A1%20outras%20provid%C3%AAncias.</t>
  </si>
  <si>
    <t xml:space="preserve">BRA47</t>
  </si>
  <si>
    <t xml:space="preserve">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</si>
  <si>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 xml:space="preserve">https://www25.senado.leg.br/web/atividade/materias/-/materia/111929</t>
  </si>
  <si>
    <t xml:space="preserve">Mixed because of increased travel</t>
  </si>
  <si>
    <t xml:space="preserve">CHN1</t>
  </si>
  <si>
    <t xml:space="preserve">CHN</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</si>
  <si>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</si>
  <si>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 xml:space="preserve">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</si>
  <si>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</si>
  <si>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</si>
  <si>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 xml:space="preserve">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</si>
  <si>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</si>
  <si>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 xml:space="preserve">CHN4</t>
  </si>
  <si>
    <t xml:space="preserve">As part of a wider Â¥ 4.35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RMB to local governments for encouraging their fiscal spending on the renovation of old urban residential communities. This spending encourages some green investments, such as the Energy-saving improvement on old buildings and the installation of charging stations . </t>
  </si>
  <si>
    <t xml:space="preserve">http://www.gov.cn/xinwen/2020-07/21/content_5528678.htm</t>
  </si>
  <si>
    <t xml:space="preserve">CHN5</t>
  </si>
  <si>
    <t xml:space="preserve">The investment of the fund focuses on environmental protection and pollution control, ecological restoration and land and space greening, energy conservation and utilization, green transportation, clean energy and other fields. The final size of the fund was 88.5 billion yuan, of which the central government contributed 10 billion yuan. Other contributors include provincial  and municipal governments along the Yangtze River Economic Belt, some financial institutions and enterprises.</t>
  </si>
  <si>
    <t xml:space="preserve">https://web.archive.org/web/20200721140317/, https://finance.sina.com.cn/money/bank/bank_hydt/2020-07-15/doc-iivhvpwx5599537.shtml</t>
  </si>
  <si>
    <t xml:space="preserve">CHN6</t>
  </si>
  <si>
    <t xml:space="preserve">China's new round of UHV projects will include 12 lines, involving a total investment of over 150 billion yuan. Among them, three lines planned to start construction in 2020 will involve an investment of about 60 billion yuan._x005F_x000D_
_x005F_x000D_
Whether it is for 5G, big data centers, industrial Internet or new energy vehicle charging , the construction and operation of these technologies are inseparable from the power network. _x005F_x000D_
_x005F_x000D_
The ultra-high-voltage project could also improve the power transmission efficiency and increase the transmission from inland areas with massive renewable energy production to coastal regions.</t>
  </si>
  <si>
    <t xml:space="preserve">https://web.archive.org/web/20200721105821/, https://finance.sina.com.cn/chanjing/cyxw/2020-03-19/doc-iimxyqwa1774230.shtml</t>
  </si>
  <si>
    <t xml:space="preserve">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</si>
  <si>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</si>
  <si>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 xml:space="preserve">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</si>
  <si>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yuan will be provided to consumers who purchase a gasoline vehicle that meets the VI vehicle emission standards. Similar cash for clunker schemes are in place in Zhejiang, Shanghai, Nanjing, Changchun, Guangzhou and Foshan to name only a few._x005F_x000D_
_x005F_x000D_
Similarly, local governments in China are loosening restrictions on new vehicle license plate allocations to spur an increase in vehicle sales.</t>
  </si>
  <si>
    <t xml:space="preserve">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</si>
  <si>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</si>
  <si>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 xml:space="preserve">https://web.archive.org/web/20200708095915/, https://www.ndrc.gov.cn/xxgk/zcfb/tz/202006/t20200618_1231501.html</t>
  </si>
  <si>
    <t xml:space="preserve">CHN10</t>
  </si>
  <si>
    <t xml:space="preserve">From May 1 to the end of 2023, VAT levied on second-hand car dealers selling old cars will be reduced to 0.5% from an original 3% rate.</t>
  </si>
  <si>
    <t xml:space="preserve">https://web.archive.org/save/, http://www.chinatax.gov.cn/chinatax/n810341/n810755/c5148182/content.html</t>
  </si>
  <si>
    <t xml:space="preserve">CHN11</t>
  </si>
  <si>
    <t xml:space="preserve">Approval of a coal mine and coal preparation plant in Pingliang Municilality, Gansu province by the national energy agency. The proposed investment is of 3.267 billion RMB with an output of 2.4 million tons per year.</t>
  </si>
  <si>
    <t xml:space="preserve">CHN12</t>
  </si>
  <si>
    <t xml:space="preserve">The company will go through a HK$40 billion capital restructuring process. The Hong Kong government will offer a HK$7.8 billion loan to the airline, and will create a new company, Aviation 2020, to buy HK$19.5 billion (US$2.5 billion) in preferential shares without full boardroom status, with two observers on the board. The government will also acquire warrants for another HK$1.95 billion purchase of shares later; if exercised, Aviation 2020 will have a 6.08% stake in the company. </t>
  </si>
  <si>
    <t xml:space="preserve">ttps://www.scmp.com/news/hong-kong/hong-kong-economy/article/3088130/trading-cathay-pacific-halted-hong-kong-stock</t>
  </si>
  <si>
    <t xml:space="preserve">CHN13</t>
  </si>
  <si>
    <t xml:space="preserve">With the economic impacts of C-19 China is not setting an energy efficiency (energy consumption per unit of GDP) target for this year, in contrast to what it has done since 2014. </t>
  </si>
  <si>
    <t xml:space="preserve">https://www.jwnenergy.com/article/2020/5/china-drops-key-environmental-target-coronavirus-hits-growth/</t>
  </si>
  <si>
    <t xml:space="preserve">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</si>
  <si>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</si>
  <si>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 xml:space="preserve">https://www.reuters.com/article/us-health-coronavirus-china-environment/china-to-modify-environmental-supervision-of-firms-to-boost-post-coronavirus-recovery-idUSKBN20X0AG</t>
  </si>
  <si>
    <t xml:space="preserve">CHN15</t>
  </si>
  <si>
    <t xml:space="preserve">As part of a wider Â¥ 4.35 trillion package China will redouble efforts to develop major transportation and water conservancy projects, and increase national railway development capital by 100 billion yuan. </t>
  </si>
  <si>
    <t xml:space="preserve">http://english.www.gov.cn/premier/news/202005/30/content_WS5ed197f3c6d0b3f0e94990da.html</t>
  </si>
  <si>
    <t xml:space="preserve">CHN16</t>
  </si>
  <si>
    <t xml:space="preserve">The government extended  the automobile tax exemption program for new electric vehicles for two years in order to increase the sales of electric vehicles. Vehicles exempted include pure electric vehicles, plug in hybrids and fuel cell vehicles.</t>
  </si>
  <si>
    <t xml:space="preserve">http://www.gov.cn/zhengce/zhengceku/2020-04/22/content_5505188.htm_x005F_x000D_
, http://www.miit.gov.cn/n1146295/n1652858/n1652930/n4509607/c7885632/content.html</t>
  </si>
  <si>
    <t xml:space="preserve">CHN17</t>
  </si>
  <si>
    <t xml:space="preserve">China extended the electric vehicle subsidy policy, which was due to end in 2020, for two years in order to increase the sales of electric vehicles. EVs with a selling price of 300,000 yen or less will be supported and support will be provided to 2 million vehicles per year for a total of 6 million vehicles </t>
  </si>
  <si>
    <t xml:space="preserve">http://www.gov.cn/zhengce/zhengceku/2020-04/23/content_5505502.htm_x005F_x000D_
, http://www.gov.cn/zhengce/2020-04/23/content_5505506.htm_x005F_x000D_
, http://jjs.mof.gov.cn/zxzyzf/jnjpbzzj/202006/t20200622_3536951.htm </t>
  </si>
  <si>
    <t xml:space="preserve">CHN18</t>
  </si>
  <si>
    <t xml:space="preserve">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</si>
  <si>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 xml:space="preserve">https://technode.com/2020/04/10/china-is-investing-rmb-10-billion-in-ev-charging-infrastructure/</t>
  </si>
  <si>
    <t xml:space="preserve">CHN19</t>
  </si>
  <si>
    <t xml:space="preserve">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Eco-friendly ways of work and life will be advanced to cover all areas of society. Carbon emission will steadily decline after reaching a peak, and there will be a fundamental improvement in the environment with the goal of building a Beautiful China basically reached;</t>
  </si>
  <si>
    <t xml:space="preserve">http://english.www.gov.cn/policies/latestreleases/202011/03/content_WS5fa159efc6d0f7257693edc1.html</t>
  </si>
  <si>
    <t xml:space="preserve">CHN20</t>
  </si>
  <si>
    <t xml:space="preserve">The State Council on Nov 2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</si>
  <si>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 xml:space="preserve">CHN21</t>
  </si>
  <si>
    <t xml:space="preserve">The State Council issued a circular on Sept 27 to promote the high-quality development of the animal husbandry and ensure the security of livestock and poultry products.The self-sufficiency rate of hog products, beef and mutton, and dairy products should stay at about 95 percent, 85 percent, and 70 percent, respectively.The circular also set the goal that the rate of large-scale livestock and poultry breeding and comprehensive use of waste should reach beyond 70 percent and 80 percent, respectively, by 2025 and 75 percent and 85 percent by 2030.</t>
  </si>
  <si>
    <t xml:space="preserve">CHN22</t>
  </si>
  <si>
    <t xml:space="preserve">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</si>
  <si>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 xml:space="preserve">http://english.www.gov.cn/policies/latestreleases/202009/23/content_WS5f7c3098c6d0f7257693d201.html</t>
  </si>
  <si>
    <t xml:space="preserve">CHN23</t>
  </si>
  <si>
    <t xml:space="preserve">The General Office of the State Council issued a circular on Sept 21,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</si>
  <si>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 xml:space="preserve">http://english.www.gov.cn/policies/latestreleases/202009/21/content_WS5f689095c6d0f7257693c5e1.html</t>
  </si>
  <si>
    <t xml:space="preserve">CHN24</t>
  </si>
  <si>
    <t xml:space="preserve">The General Office of the State Council issued a circular on Sept 15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</si>
  <si>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 xml:space="preserve">http://english.www.gov.cn/policies/latestreleases/202009/15/content_WS5f60c43cc6d0f7257693c077.html</t>
  </si>
  <si>
    <t xml:space="preserve">CHN25</t>
  </si>
  <si>
    <t xml:space="preserve">The State Council on July 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</si>
  <si>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 xml:space="preserve">http://english.www.gov.cn/policies/latestreleases/202007/20/content_WS5f156515c6d00bd0989c642d.html</t>
  </si>
  <si>
    <t xml:space="preserve">CHN26</t>
  </si>
  <si>
    <t xml:space="preserve">The General Office of the State Council issued a reform guideline on July 10,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</si>
  <si>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 xml:space="preserve">http://english.www.gov.cn/policies/latestreleases/202007/10/content_WS5f09812ec6d06c4091250c2e.html</t>
  </si>
  <si>
    <t xml:space="preserve">CHN27</t>
  </si>
  <si>
    <t xml:space="preserve">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</si>
  <si>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 xml:space="preserve">http://english.www.gov.cn/policies/latestreleases/202006/12/content_WS5ee3890fc6d0a6946639bf84.html</t>
  </si>
  <si>
    <t xml:space="preserve">CHN28</t>
  </si>
  <si>
    <t xml:space="preserve">The State Council released a circular on June 8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</si>
  <si>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 xml:space="preserve">http://english.www.gov.cn/policies/latestreleases/202006/08/content_WS5f17e41fc6d029c1c26367a0.html</t>
  </si>
  <si>
    <t xml:space="preserve">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</si>
  <si>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China's Ministry of Finance and Ministry of Emergency Management (MEM) have allocated emergency funding of 130 million yuan (about $18.38 million) for flood control and drought relief in two provincial-level regions.
Of the total, 100 million yuan will be used in Yunnan province for drought relief due to serious water shortage in some areas of the province, the MEM said.
In addition, 30 million yuan of the funds will be channeled to the Inner Mongolia autonomous region for flood control, according to the MEM. </t>
  </si>
  <si>
    <t xml:space="preserve">http://english.www.gov.cn/statecouncil/ministries/202004/17/content_WS5e999f6dc6d0b3f0e9495bec.html</t>
  </si>
  <si>
    <t xml:space="preserve">CHN30</t>
  </si>
  <si>
    <t xml:space="preserve">New coal mine, the Cocoa Coal Mine Project within the northern area of ​​Shaanxi Yuheng mining area approved by NDRC</t>
  </si>
  <si>
    <t xml:space="preserve">https://www.ndrc.gov.cn/xxgk/zcfb/tz/202103/t20210304_1268929.html</t>
  </si>
  <si>
    <t xml:space="preserve">CNY</t>
  </si>
  <si>
    <t xml:space="preserve">IND1</t>
  </si>
  <si>
    <t xml:space="preserve">IND</t>
  </si>
  <si>
    <t xml:space="preserve">90000 crore R</t>
  </si>
  <si>
    <t xml:space="preserve">A one-time emergency liquidity injection of Rs 90,000 crore for DISCOMS (Power distributers) against all their receivables
</t>
  </si>
  <si>
    <t xml:space="preserve">https://www.ndtv.com/india-news/coronavirus-india-covid-19-economic-package-worth-rs-20-97-053-crore-see-breakup-here-2230244, </t>
  </si>
  <si>
    <t xml:space="preserve">https://economictimes.indiatimes.com/news/economy/policy/summing-up-modis-covid-stimulus-takeaways-so-far-from-the-mother-of-all-incentives/articleshow/75758840.cms?utm_source=contentofinterest&amp;utm_medium=text&amp;utm_campaign=cppst</t>
  </si>
  <si>
    <t xml:space="preserve">INR</t>
  </si>
  <si>
    <t xml:space="preserve">IND2</t>
  </si>
  <si>
    <t xml:space="preserve">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
</t>
  </si>
  <si>
    <t xml:space="preserve">https://www.vivideconomics.com/wp-content/uploads/2020/07/GreenStimulusIndex14July.pdf </t>
  </si>
  <si>
    <t xml:space="preserve">https://www.livemint.com/news/india/fm-sitharaman-fast-tracks-industrial-reforms-to-aid-growth-recovery-11589639649764.html</t>
  </si>
  <si>
    <t xml:space="preserve">IND3</t>
  </si>
  <si>
    <t xml:space="preserve">50000 crore R</t>
  </si>
  <si>
    <t xml:space="preserve">Investment  will be made for creating transportation infrastructure for evacuating 1 billion tonnes of coal from state run Coal India Ltd.’s (CIL) mines.</t>
  </si>
  <si>
    <t xml:space="preserve">IND4</t>
  </si>
  <si>
    <t xml:space="preserve">6000 crore R</t>
  </si>
  <si>
    <t xml:space="preserve">Tribal people will get employment in forest management, wildlife protection/management and other forest related activities.
</t>
  </si>
  <si>
    <t xml:space="preserve">IND5</t>
  </si>
  <si>
    <t xml:space="preserve">200000 crore R</t>
  </si>
  <si>
    <t xml:space="preserve">Concessional credit for farming activities, animal husbandry and Fisheries
</t>
  </si>
  <si>
    <t xml:space="preserve">IND6</t>
  </si>
  <si>
    <t xml:space="preserve">20000 crore R</t>
  </si>
  <si>
    <t xml:space="preserve">Development of marine and inland fisheries. This will lead to an additional fish production of 70 lakh tons in next five years and provide employment to 55 lakh people.
</t>
  </si>
  <si>
    <t xml:space="preserve">IND7</t>
  </si>
  <si>
    <t xml:space="preserve">India has  fast-tracked the environmental
assessment of site clean-ups on projects in
order to increase the speed of project development.
. This increase in the speed of assessments
for environmental performance spans
across different industrial sectors</t>
  </si>
  <si>
    <t xml:space="preserve">https://qz.com/india/1851634/india-fast-tracks-green-clearance-to-spur-coronavirus-hit-economy/</t>
  </si>
  <si>
    <t xml:space="preserve">IND8</t>
  </si>
  <si>
    <t xml:space="preserve">9700 crore R</t>
  </si>
  <si>
    <t xml:space="preserve">Free LPG cylinders under Pradhan Mantri Garib Kalyan Yojana to 8,00,00,000 beneficiaries of Pradhan Mantri Ujjwala Yojna.  The objective is to help consumers cope with the economic impacts of Covid-19</t>
  </si>
  <si>
    <t xml:space="preserve">https://pib.gov.in/PressReleasePage.aspx?PRID=1618345</t>
  </si>
  <si>
    <t xml:space="preserve">IND9</t>
  </si>
  <si>
    <t xml:space="preserve">Excise duty hiked on retail sale of gasoline and diesel</t>
  </si>
  <si>
    <t xml:space="preserve">https://energy.economictimes.indiatimes.com/news/oil-and-gas/excise-duty-hike-on-petrol-diesel-govt-to-garner-rs-39000-crore/74633623 Accessed 6 April 2020</t>
  </si>
  <si>
    <t xml:space="preserve">IND10</t>
  </si>
  <si>
    <t xml:space="preserve">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</si>
  <si>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 xml:space="preserve">https://energy.economictimes.indiatimes.com/news/renewable/govt-grants-ists-waiver-extension-for-solar-wind-projects-until-june-2023/77390466 Accessed 11 August 2020</t>
  </si>
  <si>
    <t xml:space="preserve">IND11</t>
  </si>
  <si>
    <t xml:space="preserve">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</si>
  <si>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 xml:space="preserve">https://www.hindustantimes.com/india-news/ueppcb-approves-state-fuel-policy-petcoke-to-be-banned-as-fuel-in-state-by-march-2024/story-JdWXVPlRVgAURolTFEBacK.html</t>
  </si>
  <si>
    <t xml:space="preserve">IDN1</t>
  </si>
  <si>
    <t xml:space="preserve">IDN</t>
  </si>
  <si>
    <t xml:space="preserve">IDR 110 trillion</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</si>
  <si>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</si>
  <si>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 xml:space="preserve">https://www.thejakartapost.com/news/2020/03/31/indonesia-announces-rp-405-trillion-covid-19-budget-anticipates-5-deficit-in-historic-move.html?utm_source=newsletter&amp;utm_medium=mailchimp&amp;utm_campaign=mailchimp-april&amp;utm_term=covid-budget
https://www.thejakartapost.com/news/2020/03/31/jokowi-announces-free-electricity-discounts-for-households-hardest-hit-by-covid-19-impacts.html
https://www.oecd.org/coronavirus/en/#country-profiles
https://www.eco-business.com/news/how-green-are-asias-post-covid-economic-recovery-plans/?utm_medium=email&amp;utm_campaign=Daily%20Digest%2029062020&amp;utm_content=Daily%20Digest%2029062020+CID_7205dcfba2d84818873df402844a32bb&amp;utm_source=Campaign%20Monitor&amp;utm_term=How%20green%20are%20Asias%20post-Covid%20economic%20recovery%20plans</t>
  </si>
  <si>
    <t xml:space="preserve">IDR</t>
  </si>
  <si>
    <t xml:space="preserve">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</si>
  <si>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</si>
  <si>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 xml:space="preserve">https://www.nytimes.com/2020/11/03/world/asia/indonesia-stimulus-bill-signed.html</t>
  </si>
  <si>
    <t xml:space="preserve">More details shall be provided in the implementing regulations</t>
  </si>
  <si>
    <t xml:space="preserve">ZAF1</t>
  </si>
  <si>
    <t xml:space="preserve">ZAF</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</si>
  <si>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</si>
  <si>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 xml:space="preserve">https://pmg.org.za/committee-meeting/30523/</t>
  </si>
  <si>
    <t xml:space="preserve">https://www.tralac.org/documents/news/3777-sustainable-infrastructure-development-symposium-south-africa-sidssa-23-june-2020/file.html</t>
  </si>
  <si>
    <t xml:space="preserve">ZAR</t>
  </si>
  <si>
    <t xml:space="preserve">ZAF2</t>
  </si>
  <si>
    <t xml:space="preserve">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</si>
  <si>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 xml:space="preserve">https://www.tralac.org/documents/news/3777-sustainable-infrastructure-development-symposium-south-africa-sidssa-23-june-2020/file.html 
(page 20)</t>
  </si>
  <si>
    <t xml:space="preserve">Whie indigenous coal is still the main source of primary energy (69%), renewables are increasingly growing in national energy policy, and this plan is a great accelerator</t>
  </si>
  <si>
    <t xml:space="preserve">ZAF3</t>
  </si>
  <si>
    <t xml:space="preserve">3.5 million</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</si>
  <si>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</si>
  <si>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 xml:space="preserve">https://www.sanews.gov.za/south-africa/cabinet-approves-climate-change-plans</t>
  </si>
  <si>
    <t xml:space="preserve">https://www.environment.gov.za/mediarelease/climatechange_emissionsreduction_wastemanagementplans</t>
  </si>
  <si>
    <t xml:space="preserve">ZAF4</t>
  </si>
  <si>
    <t xml:space="preserve">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</si>
  <si>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 xml:space="preserve">https://www.eapasa.org/images/documents/Costing_Framework_for_the_National_Waste_Management_Strategy_2020._18_June_2020.pdf</t>
  </si>
  <si>
    <t xml:space="preserve">ZAF5</t>
  </si>
  <si>
    <t xml:space="preserve">1 October 2020
After a deferral in March due to the already demaged eeconomic downturn of the industrial sector, the government  has re-opened the period of submission of the carbon tax from 1 to 31 October for the period 2019</t>
  </si>
  <si>
    <t xml:space="preserve">https://www.sars.gov.za/ClientSegments/Customs-Excise/Excise/Environmental-Levy-Products/Pages/Carbon-Tax.aspx</t>
  </si>
  <si>
    <t xml:space="preserve">The measure had been approved before Covid crisis broke up, but it was only postponed to give some relief to industries </t>
  </si>
  <si>
    <t xml:space="preserve">ZAF6</t>
  </si>
  <si>
    <t xml:space="preserve">56 million</t>
  </si>
  <si>
    <t xml:space="preserve">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</si>
  <si>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 xml:space="preserve">https://www.sanews.gov.za/south-africa/funds-allocated-solve-vaal-river-pollution</t>
  </si>
  <si>
    <t xml:space="preserve">ZAF7</t>
  </si>
  <si>
    <t xml:space="preserve">The Minister of the Environment, Forestry and Fisheries, Barbara Creecy, published SO2 air pollution standards twice as low as previous standards at the start of the Covid-19 emergency lockdown.</t>
  </si>
  <si>
    <t xml:space="preserve">https://www.iol.co.za/saturday-star/news/government-locks-sa-into-deadly-air-pollution-amid-covid-19-pandemic-45895850 Accessed 18 May 2020_x005F_x000D_
, https://www.iol.co.za/saturday-star/news/government-locks-sa-into-deadly-air-pollution-amid-covid-19-pandemic-45895850 Accessed 18 May 2020</t>
  </si>
  <si>
    <t xml:space="preserve">negative</t>
  </si>
  <si>
    <t xml:space="preserve">ZAF8</t>
  </si>
  <si>
    <t xml:space="preserve">R6.75 billion</t>
  </si>
  <si>
    <t xml:space="preserve">Improved public transport network infrastructure and services that function optimally and are accessible, safe, convenient, affordable,well managed and maintained</t>
  </si>
  <si>
    <t xml:space="preserve">IMPLEMENTATION PLAN FOR THE SOUTH AFRICAN ECONOMIC RECONSTRUCTION AND RECOVERY PLAN (ERRP)</t>
  </si>
  <si>
    <t xml:space="preserve">ZAF9</t>
  </si>
  <si>
    <t xml:space="preserve">R1.983 billion</t>
  </si>
  <si>
    <t xml:space="preserve">Create 50,311 new opportunities in environmental programmes and 14,000 new opportunities in community forestry</t>
  </si>
  <si>
    <t xml:space="preserve">Employment Stimulus programme (quoted in Cambridge Econometric, Modelling an inclusive Green Econoomy COVID19 Recovery Programme for SA </t>
  </si>
  <si>
    <t xml:space="preserve">ZAF10</t>
  </si>
  <si>
    <t xml:space="preserve">R 2 billion</t>
  </si>
  <si>
    <t xml:space="preserve">Deferral of carbon tax payments (3-month) for filing and first payment of carbon tax liabilities. The filing and payment date will be delayed to 31 October 2020, providing cash flow relief of close to ZAR2 billion.</t>
  </si>
  <si>
    <t xml:space="preserve">Global Recovery Observatory</t>
  </si>
  <si>
    <t xml:space="preserve">http://www.treasury.gov.za/comm_media/press/2020/20200423%20Media%20statement%20-%20Further%20tax%20measures%20to%20combat%20COVID-19.pdf ; </t>
  </si>
  <si>
    <t xml:space="preserve">ZAF11</t>
  </si>
  <si>
    <t xml:space="preserve">R26 bln</t>
  </si>
  <si>
    <t xml:space="preserve">Bailout of coal-fired power utility (Eskom) which generates almost all electricity in ZAF (On the top of annual R 23 bln for the next 3 years that had been committed before the pandemic)</t>
  </si>
  <si>
    <t xml:space="preserve">http://www.treasury.gov.za/documents/National%20Budget/2020/review/FullBR.pdf</t>
  </si>
  <si>
    <t xml:space="preserve">ZAF12</t>
  </si>
  <si>
    <t xml:space="preserve">R10 m</t>
  </si>
  <si>
    <t xml:space="preserve">Delivery of water tanks to areas in the Eastern Cape affected by drought. Additional funds to be committed later.</t>
  </si>
  <si>
    <t xml:space="preserve">https://www.gov.za/speeches/update-drought-interventions-eastern-cape-28-sep-2020-0000</t>
  </si>
  <si>
    <t xml:space="preserve">ZAF13</t>
  </si>
  <si>
    <t xml:space="preserve">R 600 m</t>
  </si>
  <si>
    <t xml:space="preserve">Social housing spending to provide affordable rental housing financed through Social Housing Re gulation Authority </t>
  </si>
  <si>
    <t xml:space="preserve">http://www.treasury.gov.za/documents/national%20budget/2020S/review/FullSBR.pdf</t>
  </si>
  <si>
    <t xml:space="preserve">ZAF14</t>
  </si>
  <si>
    <t xml:space="preserve">R 135 m</t>
  </si>
  <si>
    <t xml:space="preserve">Installation of a bespoke solar carport by Ford SA at its assembly plant in Silverton, Tshwane.This 13,5 MW, 31 000 PV panel, solution will be one of the largest solar carports in the world and will create over 5000 new jobs</t>
  </si>
  <si>
    <t xml:space="preserve">https://www.environment.gov.za/speech/sotyu_onlinesustainabilitysummit2020</t>
  </si>
  <si>
    <t xml:space="preserve">ZAF15</t>
  </si>
  <si>
    <t xml:space="preserve">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</si>
  <si>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 xml:space="preserve">ZAF16</t>
  </si>
  <si>
    <t xml:space="preserve">Reduce current timeframes for mining, prospecting, water and environmental licenses by 50%</t>
  </si>
  <si>
    <t xml:space="preserve">Government of SA, Highlights of the RRP</t>
  </si>
  <si>
    <t xml:space="preserve">2019 EXCHANGE RATES</t>
  </si>
  <si>
    <t xml:space="preserve">ISO</t>
  </si>
  <si>
    <t xml:space="preserve">COUNTRY</t>
  </si>
  <si>
    <t xml:space="preserve">natcurrency_code</t>
  </si>
  <si>
    <t xml:space="preserve">y2019</t>
  </si>
  <si>
    <t xml:space="preserve">y2020</t>
  </si>
  <si>
    <t xml:space="preserve">Australia</t>
  </si>
  <si>
    <t xml:space="preserve">Austria</t>
  </si>
  <si>
    <t xml:space="preserve">Belgium</t>
  </si>
  <si>
    <t xml:space="preserve">Canada</t>
  </si>
  <si>
    <t xml:space="preserve">Switzerland</t>
  </si>
  <si>
    <t xml:space="preserve">CHF</t>
  </si>
  <si>
    <t xml:space="preserve">Chile</t>
  </si>
  <si>
    <t xml:space="preserve">Colombia</t>
  </si>
  <si>
    <t xml:space="preserve">Czech Republic</t>
  </si>
  <si>
    <t xml:space="preserve">Germany</t>
  </si>
  <si>
    <t xml:space="preserve">Denmark</t>
  </si>
  <si>
    <t xml:space="preserve">Spain</t>
  </si>
  <si>
    <t xml:space="preserve">Estonia</t>
  </si>
  <si>
    <t xml:space="preserve">Finland</t>
  </si>
  <si>
    <t xml:space="preserve">France</t>
  </si>
  <si>
    <t xml:space="preserve">United Kingdom</t>
  </si>
  <si>
    <t xml:space="preserve">Greece</t>
  </si>
  <si>
    <t xml:space="preserve">Hungary</t>
  </si>
  <si>
    <t xml:space="preserve">Ireland</t>
  </si>
  <si>
    <t xml:space="preserve">Iceland</t>
  </si>
  <si>
    <t xml:space="preserve">Israel</t>
  </si>
  <si>
    <t xml:space="preserve">Italy</t>
  </si>
  <si>
    <t xml:space="preserve">Japan</t>
  </si>
  <si>
    <t xml:space="preserve">Korea</t>
  </si>
  <si>
    <t xml:space="preserve">Lithuania</t>
  </si>
  <si>
    <t xml:space="preserve">Luxembourg</t>
  </si>
  <si>
    <t xml:space="preserve">Latvia</t>
  </si>
  <si>
    <t xml:space="preserve">Mexico</t>
  </si>
  <si>
    <t xml:space="preserve">MXN</t>
  </si>
  <si>
    <t xml:space="preserve">Netherlands</t>
  </si>
  <si>
    <t xml:space="preserve">Norway</t>
  </si>
  <si>
    <t xml:space="preserve">New Zealand</t>
  </si>
  <si>
    <t xml:space="preserve">Poland</t>
  </si>
  <si>
    <t xml:space="preserve">Portugal</t>
  </si>
  <si>
    <t xml:space="preserve">Slovak Republic</t>
  </si>
  <si>
    <t xml:space="preserve">Slovenia</t>
  </si>
  <si>
    <t xml:space="preserve">Sweden</t>
  </si>
  <si>
    <t xml:space="preserve">Turkey</t>
  </si>
  <si>
    <t xml:space="preserve">TRY</t>
  </si>
  <si>
    <t xml:space="preserve">United States</t>
  </si>
  <si>
    <t xml:space="preserve">Costa Rica</t>
  </si>
  <si>
    <t xml:space="preserve">CRC</t>
  </si>
  <si>
    <t xml:space="preserve">Brazil</t>
  </si>
  <si>
    <t xml:space="preserve">China (People’s Republic of)</t>
  </si>
  <si>
    <t xml:space="preserve">India</t>
  </si>
  <si>
    <t xml:space="preserve">Indonesia</t>
  </si>
  <si>
    <t xml:space="preserve">RUS</t>
  </si>
  <si>
    <t xml:space="preserve">Russia</t>
  </si>
  <si>
    <t xml:space="preserve">RUB</t>
  </si>
  <si>
    <t xml:space="preserve">South Africa</t>
  </si>
  <si>
    <t xml:space="preserve">ARG</t>
  </si>
  <si>
    <t xml:space="preserve">Argentina</t>
  </si>
  <si>
    <t xml:space="preserve">ARS</t>
  </si>
  <si>
    <t xml:space="preserve">Sub-type of measure</t>
  </si>
  <si>
    <t xml:space="preserve">Yes/No</t>
  </si>
  <si>
    <t xml:space="preserve">Environmental focus 1</t>
  </si>
  <si>
    <t xml:space="preserve">Positive/Negative/Indeterminate</t>
  </si>
  <si>
    <t xml:space="preserve">Policy</t>
  </si>
  <si>
    <t xml:space="preserve">No</t>
  </si>
  <si>
    <t xml:space="preserve">Climate</t>
  </si>
  <si>
    <t xml:space="preserve">Yes</t>
  </si>
  <si>
    <t xml:space="preserve">Monetary</t>
  </si>
  <si>
    <t xml:space="preserve">Multiple or n.a.</t>
  </si>
</sst>
</file>

<file path=xl/styles.xml><?xml version="1.0" encoding="utf-8"?>
<styleSheet xmlns="http://schemas.openxmlformats.org/spreadsheetml/2006/main">
  <numFmts count="15">
    <numFmt numFmtId="164" formatCode="General"/>
    <numFmt numFmtId="165" formatCode="_-* #,##0.00_-;\-* #,##0.00_-;_-* \-??_-;_-@_-"/>
    <numFmt numFmtId="166" formatCode="_-* #,##0_-;\-* #,##0_-;_-* \-_-;_-@_-"/>
    <numFmt numFmtId="167" formatCode="0%"/>
    <numFmt numFmtId="168" formatCode="mm/dd/yyyy"/>
    <numFmt numFmtId="169" formatCode="#,##0"/>
    <numFmt numFmtId="170" formatCode="#,##0.00"/>
    <numFmt numFmtId="171" formatCode="#,##0.0"/>
    <numFmt numFmtId="172" formatCode="_(* #,##0_);_(* \(#,##0\);_(* \-??_);_(@_)"/>
    <numFmt numFmtId="173" formatCode="0"/>
    <numFmt numFmtId="174" formatCode="#,##0.000"/>
    <numFmt numFmtId="175" formatCode="\£#,##0;[RED]&quot;-£&quot;#,##0"/>
    <numFmt numFmtId="176" formatCode="0.0%"/>
    <numFmt numFmtId="177" formatCode="0.00"/>
    <numFmt numFmtId="178" formatCode="0.0000000"/>
  </numFmts>
  <fonts count="26">
    <font>
      <sz val="10"/>
      <color rgb="FF000000"/>
      <name val="Arial"/>
      <family val="2"/>
      <charset val="1"/>
    </font>
    <font>
      <sz val="10"/>
      <name val="Arial"/>
      <family val="0"/>
    </font>
    <font>
      <sz val="10"/>
      <name val="Arial"/>
      <family val="0"/>
    </font>
    <font>
      <sz val="10"/>
      <name val="Arial"/>
      <family val="0"/>
    </font>
    <font>
      <u val="single"/>
      <sz val="11"/>
      <color rgb="FF0563C1"/>
      <name val="Calibri"/>
      <family val="2"/>
      <charset val="186"/>
    </font>
    <font>
      <u val="single"/>
      <sz val="10"/>
      <color rgb="FF0563C1"/>
      <name val="Arial"/>
      <family val="2"/>
      <charset val="1"/>
    </font>
    <font>
      <u val="single"/>
      <sz val="10"/>
      <color rgb="FF0066CC"/>
      <name val="Arial"/>
      <family val="2"/>
      <charset val="1"/>
    </font>
    <font>
      <sz val="11"/>
      <color rgb="FF000000"/>
      <name val="Calibri"/>
      <family val="2"/>
      <charset val="186"/>
    </font>
    <font>
      <b val="true"/>
      <sz val="10"/>
      <color rgb="FF000000"/>
      <name val="Arial"/>
      <family val="2"/>
      <charset val="1"/>
    </font>
    <font>
      <sz val="9"/>
      <name val="Arial"/>
      <family val="2"/>
      <charset val="1"/>
    </font>
    <font>
      <u val="single"/>
      <sz val="8"/>
      <name val="Arial"/>
      <family val="2"/>
      <charset val="1"/>
    </font>
    <font>
      <sz val="9"/>
      <color rgb="FF000000"/>
      <name val="Arial"/>
      <family val="2"/>
      <charset val="1"/>
    </font>
    <font>
      <sz val="8"/>
      <color rgb="FF000000"/>
      <name val="Arial"/>
      <family val="2"/>
      <charset val="1"/>
    </font>
    <font>
      <sz val="8"/>
      <name val="Arial"/>
      <family val="2"/>
      <charset val="1"/>
    </font>
    <font>
      <u val="single"/>
      <sz val="9"/>
      <name val="Arial"/>
      <family val="2"/>
      <charset val="1"/>
    </font>
    <font>
      <u val="single"/>
      <sz val="9"/>
      <color rgb="FF0563C1"/>
      <name val="Arial"/>
      <family val="2"/>
      <charset val="1"/>
    </font>
    <font>
      <u val="single"/>
      <sz val="9"/>
      <color rgb="FF0563C1"/>
      <name val="Calibri"/>
      <family val="2"/>
      <charset val="186"/>
    </font>
    <font>
      <u val="single"/>
      <sz val="10"/>
      <color rgb="FF0000FF"/>
      <name val="Arial"/>
      <family val="2"/>
      <charset val="1"/>
    </font>
    <font>
      <sz val="9"/>
      <color rgb="FFFF0000"/>
      <name val="Arial"/>
      <family val="2"/>
      <charset val="1"/>
    </font>
    <font>
      <sz val="10"/>
      <color rgb="FF0563C1"/>
      <name val="Arial"/>
      <family val="2"/>
      <charset val="1"/>
    </font>
    <font>
      <sz val="10"/>
      <color rgb="FFFF0000"/>
      <name val="Arial"/>
      <family val="2"/>
      <charset val="1"/>
    </font>
    <font>
      <sz val="10"/>
      <color rgb="FF202124"/>
      <name val="Arial"/>
      <family val="2"/>
      <charset val="1"/>
    </font>
    <font>
      <sz val="10"/>
      <name val="Arial"/>
      <family val="2"/>
      <charset val="1"/>
    </font>
    <font>
      <sz val="9"/>
      <color rgb="FF70AD47"/>
      <name val="Arial"/>
      <family val="2"/>
      <charset val="1"/>
    </font>
    <font>
      <sz val="9"/>
      <color rgb="FF000000"/>
      <name val="Tahoma"/>
      <family val="2"/>
      <charset val="1"/>
    </font>
    <font>
      <i val="true"/>
      <sz val="10"/>
      <color rgb="FFFF0000"/>
      <name val="Arial"/>
      <family val="2"/>
      <charset val="1"/>
    </font>
  </fonts>
  <fills count="6">
    <fill>
      <patternFill patternType="none"/>
    </fill>
    <fill>
      <patternFill patternType="gray125"/>
    </fill>
    <fill>
      <patternFill patternType="solid">
        <fgColor rgb="FFFFFFCC"/>
        <bgColor rgb="FFFFFFFF"/>
      </patternFill>
    </fill>
    <fill>
      <patternFill patternType="solid">
        <fgColor rgb="FFFFFFFF"/>
        <bgColor rgb="FFF3F3F3"/>
      </patternFill>
    </fill>
    <fill>
      <patternFill patternType="solid">
        <fgColor rgb="FFFFC000"/>
        <bgColor rgb="FFFF9900"/>
      </patternFill>
    </fill>
    <fill>
      <patternFill patternType="solid">
        <fgColor rgb="FFF3F3F3"/>
        <bgColor rgb="FFFFFFFF"/>
      </patternFill>
    </fill>
  </fills>
  <borders count="7">
    <border diagonalUp="false" diagonalDown="false">
      <left/>
      <right/>
      <top/>
      <bottom/>
      <diagonal/>
    </border>
    <border diagonalUp="false" diagonalDown="false">
      <left style="thin">
        <color rgb="FFB2B2B2"/>
      </left>
      <right style="thin">
        <color rgb="FFB2B2B2"/>
      </right>
      <top style="thin">
        <color rgb="FFB2B2B2"/>
      </top>
      <bottom style="thin">
        <color rgb="FFB2B2B2"/>
      </bottom>
      <diagonal/>
    </border>
    <border diagonalUp="false" diagonalDown="false">
      <left/>
      <right/>
      <top style="thin"/>
      <bottom style="medium"/>
      <diagonal/>
    </border>
    <border diagonalUp="false" diagonalDown="false">
      <left/>
      <right/>
      <top/>
      <bottom style="medium"/>
      <diagonal/>
    </border>
    <border diagonalUp="false" diagonalDown="false">
      <left/>
      <right/>
      <top/>
      <bottom style="thin"/>
      <diagonal/>
    </border>
    <border diagonalUp="false" diagonalDown="false">
      <left/>
      <right/>
      <top style="thin"/>
      <bottom/>
      <diagonal/>
    </border>
    <border diagonalUp="false" diagonalDown="false">
      <left/>
      <right/>
      <top style="thin"/>
      <bottom style="thin"/>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2" borderId="1" applyFont="true" applyBorder="tru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4" fontId="0" fillId="2" borderId="1" applyFont="true" applyBorder="true" applyAlignment="true" applyProtection="false">
      <alignment horizontal="general" vertical="bottom" textRotation="0" wrapText="false" indent="0" shrinkToFit="false"/>
    </xf>
  </cellStyleXfs>
  <cellXfs count="19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left"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4" fontId="9" fillId="0" borderId="0" xfId="0" applyFont="true" applyBorder="true" applyAlignment="true" applyProtection="false">
      <alignment horizontal="left" vertical="bottom" textRotation="0" wrapText="true" indent="0" shrinkToFit="false"/>
      <protection locked="true" hidden="false"/>
    </xf>
    <xf numFmtId="164" fontId="9" fillId="0" borderId="0" xfId="0" applyFont="true" applyBorder="true" applyAlignment="true" applyProtection="false">
      <alignment horizontal="left" vertical="center" textRotation="0" wrapText="tru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false">
      <alignment horizontal="general" vertical="center" textRotation="0" wrapText="true" indent="0" shrinkToFit="false"/>
      <protection locked="true" hidden="false"/>
    </xf>
    <xf numFmtId="168" fontId="9" fillId="0" borderId="0" xfId="0" applyFont="true" applyBorder="true" applyAlignment="true" applyProtection="false">
      <alignment horizontal="left" vertical="bottom" textRotation="0" wrapText="true" indent="0" shrinkToFit="false"/>
      <protection locked="true" hidden="false"/>
    </xf>
    <xf numFmtId="169" fontId="9" fillId="0" borderId="0" xfId="0" applyFont="true" applyBorder="true" applyAlignment="true" applyProtection="false">
      <alignment horizontal="left" vertical="bottom" textRotation="0" wrapText="true" indent="0" shrinkToFit="false"/>
      <protection locked="true" hidden="false"/>
    </xf>
    <xf numFmtId="170" fontId="9" fillId="0" borderId="0" xfId="0" applyFont="true" applyBorder="true" applyAlignment="true" applyProtection="false">
      <alignment horizontal="left" vertical="bottom" textRotation="0" wrapText="tru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8" fontId="9" fillId="0" borderId="0" xfId="0" applyFont="true" applyBorder="false" applyAlignment="true" applyProtection="false">
      <alignment horizontal="general" vertical="bottom" textRotation="0" wrapText="false" indent="0" shrinkToFit="false"/>
      <protection locked="true" hidden="false"/>
    </xf>
    <xf numFmtId="169" fontId="9" fillId="0" borderId="0" xfId="0" applyFont="true" applyBorder="false" applyAlignment="true" applyProtection="false">
      <alignment horizontal="general" vertical="bottom" textRotation="0" wrapText="false" indent="0" shrinkToFit="false"/>
      <protection locked="true" hidden="false"/>
    </xf>
    <xf numFmtId="164" fontId="9" fillId="0" borderId="2" xfId="0" applyFont="true" applyBorder="true" applyAlignment="true" applyProtection="false">
      <alignment horizontal="left" vertical="bottom" textRotation="0" wrapText="true" indent="0" shrinkToFit="false"/>
      <protection locked="true" hidden="false"/>
    </xf>
    <xf numFmtId="164" fontId="9" fillId="0" borderId="2" xfId="0" applyFont="true" applyBorder="true" applyAlignment="true" applyProtection="false">
      <alignment horizontal="general" vertical="center" textRotation="0" wrapText="true" indent="0" shrinkToFit="false"/>
      <protection locked="true" hidden="false"/>
    </xf>
    <xf numFmtId="164" fontId="9" fillId="0" borderId="2" xfId="0" applyFont="true" applyBorder="true" applyAlignment="true" applyProtection="false">
      <alignment horizontal="left" vertical="bottom" textRotation="0" wrapText="false" indent="0" shrinkToFit="false"/>
      <protection locked="true" hidden="false"/>
    </xf>
    <xf numFmtId="164" fontId="9" fillId="0" borderId="2" xfId="0" applyFont="true" applyBorder="true" applyAlignment="true" applyProtection="false">
      <alignment horizontal="general" vertical="bottom" textRotation="0" wrapText="true" indent="0" shrinkToFit="false"/>
      <protection locked="true" hidden="false"/>
    </xf>
    <xf numFmtId="164" fontId="9" fillId="0" borderId="3" xfId="0" applyFont="true" applyBorder="true" applyAlignment="true" applyProtection="false">
      <alignment horizontal="general" vertical="bottom" textRotation="0" wrapText="true" indent="0" shrinkToFit="false"/>
      <protection locked="true" hidden="false"/>
    </xf>
    <xf numFmtId="164" fontId="9" fillId="0" borderId="3" xfId="0" applyFont="true" applyBorder="true" applyAlignment="true" applyProtection="false">
      <alignment horizontal="general" vertical="bottom" textRotation="0" wrapText="false" indent="0" shrinkToFit="false"/>
      <protection locked="true" hidden="false"/>
    </xf>
    <xf numFmtId="168" fontId="9" fillId="0" borderId="3" xfId="0" applyFont="true" applyBorder="true" applyAlignment="true" applyProtection="false">
      <alignment horizontal="general" vertical="bottom" textRotation="0" wrapText="false" indent="0" shrinkToFit="false"/>
      <protection locked="true" hidden="false"/>
    </xf>
    <xf numFmtId="169" fontId="9" fillId="0" borderId="2" xfId="0" applyFont="true" applyBorder="true" applyAlignment="true" applyProtection="false">
      <alignment horizontal="general" vertical="bottom" textRotation="0" wrapText="true" indent="0" shrinkToFit="false"/>
      <protection locked="true" hidden="false"/>
    </xf>
    <xf numFmtId="169" fontId="9" fillId="0" borderId="2"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bottom" textRotation="0" wrapText="true" indent="0" shrinkToFit="false"/>
      <protection locked="true" hidden="false"/>
    </xf>
    <xf numFmtId="169"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bottom" textRotation="0" wrapText="false" indent="0" shrinkToFit="false"/>
      <protection locked="true" hidden="false"/>
    </xf>
    <xf numFmtId="164" fontId="9" fillId="3"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4" fontId="5" fillId="0" borderId="0" xfId="2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false">
      <alignment horizontal="general" vertical="bottom" textRotation="0" wrapText="false" indent="0" shrinkToFit="false"/>
      <protection locked="true" hidden="false"/>
    </xf>
    <xf numFmtId="168" fontId="9" fillId="0" borderId="0" xfId="0" applyFont="true" applyBorder="true" applyAlignment="true" applyProtection="false">
      <alignment horizontal="general" vertical="bottom" textRotation="0" wrapText="false" indent="0" shrinkToFit="false"/>
      <protection locked="true" hidden="false"/>
    </xf>
    <xf numFmtId="169" fontId="9" fillId="0" borderId="0" xfId="0" applyFont="true" applyBorder="true" applyAlignment="true" applyProtection="false">
      <alignment horizontal="general" vertical="bottom" textRotation="0" wrapText="false" indent="0" shrinkToFit="false"/>
      <protection locked="true" hidden="false"/>
    </xf>
    <xf numFmtId="169" fontId="9" fillId="0" borderId="0" xfId="0" applyFont="true" applyBorder="true" applyAlignment="tru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9" fontId="11" fillId="0" borderId="0" xfId="0" applyFont="true" applyBorder="false" applyAlignment="true" applyProtection="false">
      <alignment horizontal="right"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center" textRotation="0" wrapText="false" indent="0" shrinkToFit="false"/>
      <protection locked="true" hidden="false"/>
    </xf>
    <xf numFmtId="164" fontId="13" fillId="0" borderId="0" xfId="20" applyFont="true" applyBorder="true" applyAlignment="true" applyProtection="true">
      <alignment horizontal="center" vertical="center" textRotation="0" wrapText="false" indent="0" shrinkToFit="false"/>
      <protection locked="true" hidden="false"/>
    </xf>
    <xf numFmtId="164" fontId="13" fillId="0" borderId="0" xfId="0" applyFont="true" applyBorder="false" applyAlignment="true" applyProtection="false">
      <alignment horizontal="general" vertical="bottom" textRotation="0" wrapText="false" indent="0" shrinkToFit="false"/>
      <protection locked="true" hidden="false"/>
    </xf>
    <xf numFmtId="169" fontId="9" fillId="0" borderId="0" xfId="0" applyFont="true" applyBorder="fals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10" fillId="0" borderId="0" xfId="20" applyFont="true" applyBorder="true" applyAlignment="true" applyProtection="true">
      <alignment horizontal="center" vertical="center" textRotation="0" wrapText="false" indent="0" shrinkToFit="false"/>
      <protection locked="true" hidden="false"/>
    </xf>
    <xf numFmtId="164" fontId="13" fillId="0" borderId="0" xfId="0" applyFont="true" applyBorder="false" applyAlignment="true" applyProtection="false">
      <alignment horizontal="center" vertical="center" textRotation="0" wrapText="false" indent="0" shrinkToFit="false"/>
      <protection locked="true" hidden="false"/>
    </xf>
    <xf numFmtId="169" fontId="9" fillId="0" borderId="0" xfId="0" applyFont="true" applyBorder="false" applyAlignment="true" applyProtection="false">
      <alignment horizontal="right" vertical="bottom" textRotation="0" wrapText="false" indent="0" shrinkToFit="false"/>
      <protection locked="true" hidden="false"/>
    </xf>
    <xf numFmtId="164" fontId="9" fillId="0" borderId="4" xfId="0" applyFont="true" applyBorder="true" applyAlignment="true" applyProtection="false">
      <alignment horizontal="left" vertical="bottom" textRotation="0" wrapText="false" indent="0" shrinkToFit="false"/>
      <protection locked="tru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center" vertical="center" textRotation="0" wrapText="false" indent="0" shrinkToFit="false"/>
      <protection locked="true" hidden="false"/>
    </xf>
    <xf numFmtId="164" fontId="14" fillId="0" borderId="4" xfId="20" applyFont="true" applyBorder="true" applyAlignment="true" applyProtection="true">
      <alignment horizontal="center" vertical="center" textRotation="0" wrapText="false" indent="0" shrinkToFit="false"/>
      <protection locked="tru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8" fontId="9" fillId="0" borderId="4" xfId="0" applyFont="true" applyBorder="true" applyAlignment="true" applyProtection="false">
      <alignment horizontal="general" vertical="bottom" textRotation="0" wrapText="false" indent="0" shrinkToFit="false"/>
      <protection locked="true" hidden="false"/>
    </xf>
    <xf numFmtId="169" fontId="9" fillId="0" borderId="4" xfId="0" applyFont="true" applyBorder="true" applyAlignment="true" applyProtection="false">
      <alignment horizontal="right" vertical="bottom" textRotation="0" wrapText="false" indent="0" shrinkToFit="false"/>
      <protection locked="true" hidden="false"/>
    </xf>
    <xf numFmtId="169" fontId="9" fillId="0" borderId="4"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9" fontId="9" fillId="0" borderId="4" xfId="0" applyFont="true" applyBorder="true" applyAlignment="true" applyProtection="false">
      <alignment horizontal="general" vertical="bottom" textRotation="0" wrapText="false" indent="0" shrinkToFit="false"/>
      <protection locked="true" hidden="false"/>
    </xf>
    <xf numFmtId="168" fontId="9"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general" vertical="bottom" textRotation="0" wrapText="true" indent="0" shrinkToFit="false"/>
      <protection locked="true" hidden="false"/>
    </xf>
    <xf numFmtId="164" fontId="11" fillId="0" borderId="0" xfId="0" applyFont="true" applyBorder="true" applyAlignment="fals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left" vertical="center" textRotation="0" wrapText="false" indent="0" shrinkToFit="false"/>
      <protection locked="true" hidden="false"/>
    </xf>
    <xf numFmtId="164" fontId="11" fillId="0" borderId="4" xfId="0" applyFont="true" applyBorder="true" applyAlignment="fals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general" vertical="bottom" textRotation="0" wrapText="true" indent="0" shrinkToFit="false"/>
      <protection locked="true" hidden="false"/>
    </xf>
    <xf numFmtId="168" fontId="9" fillId="0" borderId="4" xfId="0" applyFont="true" applyBorder="true" applyAlignment="true" applyProtection="false">
      <alignment horizontal="left" vertical="bottom" textRotation="0" wrapText="false" indent="0" shrinkToFit="false"/>
      <protection locked="true" hidden="false"/>
    </xf>
    <xf numFmtId="164" fontId="11" fillId="0" borderId="0" xfId="0" applyFont="true" applyBorder="false" applyAlignment="true" applyProtection="false">
      <alignment horizontal="left" vertical="bottom" textRotation="0" wrapText="false" indent="0" shrinkToFit="false"/>
      <protection locked="true" hidden="false"/>
    </xf>
    <xf numFmtId="166" fontId="9" fillId="0" borderId="0" xfId="35" applyFont="true" applyBorder="true" applyAlignment="true" applyProtection="true">
      <alignment horizontal="left" vertical="top" textRotation="0" wrapText="false" indent="0" shrinkToFit="false"/>
      <protection locked="true" hidden="false"/>
    </xf>
    <xf numFmtId="164" fontId="9" fillId="0" borderId="0" xfId="0" applyFont="true" applyBorder="true" applyAlignment="true" applyProtection="false">
      <alignment horizontal="left" vertical="top" textRotation="0" wrapText="false" indent="0" shrinkToFit="false"/>
      <protection locked="true" hidden="false"/>
    </xf>
    <xf numFmtId="164" fontId="9" fillId="0" borderId="0" xfId="0" applyFont="true" applyBorder="false" applyAlignment="true" applyProtection="false">
      <alignment horizontal="left" vertical="top" textRotation="0" wrapText="false" indent="0" shrinkToFit="false"/>
      <protection locked="true" hidden="false"/>
    </xf>
    <xf numFmtId="164" fontId="9" fillId="0" borderId="0" xfId="0" applyFont="true" applyBorder="false" applyAlignment="true" applyProtection="false">
      <alignment horizontal="left" vertical="top" textRotation="0" wrapText="false" indent="0" shrinkToFit="false"/>
      <protection locked="true" hidden="false"/>
    </xf>
    <xf numFmtId="164" fontId="14" fillId="0" borderId="0" xfId="20" applyFont="true" applyBorder="true" applyAlignment="true" applyProtection="true">
      <alignment horizontal="left" vertical="top" textRotation="0" wrapText="false" indent="0" shrinkToFit="false"/>
      <protection locked="true" hidden="false"/>
    </xf>
    <xf numFmtId="164" fontId="9" fillId="0" borderId="0" xfId="0" applyFont="true" applyBorder="true" applyAlignment="true" applyProtection="false">
      <alignment horizontal="left" vertical="top" textRotation="0" wrapText="false" indent="0" shrinkToFit="false"/>
      <protection locked="true" hidden="false"/>
    </xf>
    <xf numFmtId="164" fontId="9" fillId="0" borderId="0" xfId="35" applyFont="true" applyBorder="true" applyAlignment="true" applyProtection="true">
      <alignment horizontal="left" vertical="top" textRotation="0" wrapText="false" indent="0" shrinkToFit="false"/>
      <protection locked="true" hidden="false"/>
    </xf>
    <xf numFmtId="164" fontId="9" fillId="0" borderId="4" xfId="0" applyFont="true" applyBorder="true" applyAlignment="true" applyProtection="false">
      <alignment horizontal="left" vertical="top" textRotation="0" wrapText="false" indent="0" shrinkToFit="false"/>
      <protection locked="true" hidden="false"/>
    </xf>
    <xf numFmtId="164" fontId="14" fillId="0" borderId="4" xfId="20" applyFont="true" applyBorder="true" applyAlignment="true" applyProtection="true">
      <alignment horizontal="left" vertical="top" textRotation="0" wrapText="false" indent="0" shrinkToFit="false"/>
      <protection locked="true" hidden="false"/>
    </xf>
    <xf numFmtId="169" fontId="9" fillId="0" borderId="5" xfId="0" applyFont="true" applyBorder="tru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left" vertical="center" textRotation="0" wrapText="false" indent="0" shrinkToFit="false"/>
      <protection locked="true" hidden="false"/>
    </xf>
    <xf numFmtId="169" fontId="9" fillId="0" borderId="5" xfId="0" applyFont="true" applyBorder="true" applyAlignment="true" applyProtection="false">
      <alignment horizontal="general" vertical="bottom" textRotation="0" wrapText="false" indent="0" shrinkToFit="false"/>
      <protection locked="true" hidden="false"/>
    </xf>
    <xf numFmtId="170" fontId="9" fillId="0" borderId="0" xfId="0" applyFont="true" applyBorder="false" applyAlignment="true" applyProtection="false">
      <alignment horizontal="general" vertical="bottom" textRotation="0" wrapText="false" indent="0" shrinkToFit="false"/>
      <protection locked="true" hidden="false"/>
    </xf>
    <xf numFmtId="170" fontId="9" fillId="0" borderId="0" xfId="0" applyFont="true" applyBorder="true" applyAlignment="true" applyProtection="false">
      <alignment horizontal="general" vertical="bottom" textRotation="0" wrapText="false" indent="0" shrinkToFit="false"/>
      <protection locked="true" hidden="false"/>
    </xf>
    <xf numFmtId="171" fontId="9" fillId="0" borderId="0" xfId="0" applyFont="true" applyBorder="false" applyAlignment="true" applyProtection="false">
      <alignment horizontal="general" vertical="bottom" textRotation="0" wrapText="false" indent="0" shrinkToFit="false"/>
      <protection locked="true" hidden="false"/>
    </xf>
    <xf numFmtId="171" fontId="9" fillId="0" borderId="0" xfId="0" applyFont="true" applyBorder="true" applyAlignment="true" applyProtection="false">
      <alignment horizontal="general" vertical="bottom" textRotation="0" wrapText="false" indent="0" shrinkToFit="false"/>
      <protection locked="true" hidden="false"/>
    </xf>
    <xf numFmtId="171" fontId="9" fillId="0" borderId="0" xfId="0" applyFont="true" applyBorder="true" applyAlignment="true" applyProtection="false">
      <alignment horizontal="general" vertical="bottom" textRotation="0" wrapText="false" indent="0" shrinkToFit="false"/>
      <protection locked="true" hidden="false"/>
    </xf>
    <xf numFmtId="164" fontId="15" fillId="0" borderId="0" xfId="20" applyFont="true" applyBorder="true" applyAlignment="true" applyProtection="true">
      <alignment horizontal="general" vertical="bottom" textRotation="0" wrapText="false" indent="0" shrinkToFit="false"/>
      <protection locked="true" hidden="false"/>
    </xf>
    <xf numFmtId="164" fontId="15" fillId="0" borderId="0" xfId="20" applyFont="true" applyBorder="true" applyAlignment="true" applyProtection="true">
      <alignment horizontal="general" vertical="center" textRotation="0" wrapText="false" indent="0" shrinkToFit="false"/>
      <protection locked="true" hidden="false"/>
    </xf>
    <xf numFmtId="164" fontId="16" fillId="0" borderId="4" xfId="27" applyFont="true" applyBorder="true" applyAlignment="true" applyProtection="true">
      <alignment horizontal="general" vertical="bottom" textRotation="0" wrapText="false" indent="0" shrinkToFit="false"/>
      <protection locked="true" hidden="false"/>
    </xf>
    <xf numFmtId="171" fontId="9" fillId="0" borderId="4" xfId="0" applyFont="true" applyBorder="true" applyAlignment="true" applyProtection="false">
      <alignment horizontal="general" vertical="bottom" textRotation="0" wrapText="false" indent="0" shrinkToFit="false"/>
      <protection locked="true" hidden="false"/>
    </xf>
    <xf numFmtId="169" fontId="11"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69" fontId="11" fillId="0" borderId="0" xfId="0" applyFont="true" applyBorder="true" applyAlignment="false" applyProtection="false">
      <alignment horizontal="general" vertical="bottom" textRotation="0" wrapText="false" indent="0" shrinkToFit="false"/>
      <protection locked="true" hidden="false"/>
    </xf>
    <xf numFmtId="164" fontId="5" fillId="0" borderId="4" xfId="20" applyFont="true" applyBorder="true" applyAlignment="true" applyProtection="tru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9" fontId="11" fillId="0" borderId="4" xfId="0" applyFont="true" applyBorder="true" applyAlignment="false" applyProtection="false">
      <alignment horizontal="general" vertical="bottom" textRotation="0" wrapText="false" indent="0" shrinkToFit="false"/>
      <protection locked="true" hidden="false"/>
    </xf>
    <xf numFmtId="164" fontId="9" fillId="0" borderId="5" xfId="0" applyFont="true" applyBorder="true" applyAlignment="true" applyProtection="false">
      <alignment horizontal="general" vertical="bottom" textRotation="0" wrapText="false" indent="0" shrinkToFit="false"/>
      <protection locked="true" hidden="false"/>
    </xf>
    <xf numFmtId="164" fontId="15" fillId="0" borderId="0" xfId="20" applyFont="true" applyBorder="true" applyAlignment="true" applyProtection="true">
      <alignment horizontal="left" vertical="bottom" textRotation="0" wrapText="false" indent="0" shrinkToFit="false"/>
      <protection locked="true" hidden="false"/>
    </xf>
    <xf numFmtId="164" fontId="11" fillId="0" borderId="0" xfId="0" applyFont="true" applyBorder="false" applyAlignment="true" applyProtection="false">
      <alignment horizontal="left" vertical="center" textRotation="0" wrapText="true" indent="0" shrinkToFit="false"/>
      <protection locked="true" hidden="false"/>
    </xf>
    <xf numFmtId="169" fontId="9" fillId="0" borderId="0" xfId="0" applyFont="true" applyBorder="false" applyAlignment="false" applyProtection="false">
      <alignment horizontal="general" vertical="bottom" textRotation="0" wrapText="false" indent="0" shrinkToFit="false"/>
      <protection locked="true" hidden="false"/>
    </xf>
    <xf numFmtId="172" fontId="11" fillId="0" borderId="0" xfId="15" applyFont="true" applyBorder="true" applyAlignment="true" applyProtection="true">
      <alignment horizontal="left" vertical="center" textRotation="0" wrapText="false" indent="0" shrinkToFit="false"/>
      <protection locked="true" hidden="false"/>
    </xf>
    <xf numFmtId="172" fontId="11" fillId="0" borderId="0" xfId="15" applyFont="true" applyBorder="true" applyAlignment="true" applyProtection="true">
      <alignment horizontal="left" vertical="bottom" textRotation="0" wrapText="false" indent="0" shrinkToFit="false"/>
      <protection locked="true" hidden="false"/>
    </xf>
    <xf numFmtId="169" fontId="11" fillId="0" borderId="0" xfId="0" applyFont="true" applyBorder="false" applyAlignment="true" applyProtection="false">
      <alignment horizontal="left" vertical="bottom" textRotation="0" wrapText="false" indent="0" shrinkToFit="false"/>
      <protection locked="true" hidden="false"/>
    </xf>
    <xf numFmtId="172" fontId="11" fillId="0" borderId="0" xfId="0" applyFont="true" applyBorder="false" applyAlignment="true" applyProtection="false">
      <alignment horizontal="left" vertical="bottom" textRotation="0" wrapText="false" indent="0" shrinkToFit="false"/>
      <protection locked="true" hidden="false"/>
    </xf>
    <xf numFmtId="164" fontId="11" fillId="0" borderId="4" xfId="0" applyFont="true" applyBorder="true" applyAlignment="true" applyProtection="false">
      <alignment horizontal="left" vertical="center" textRotation="0" wrapText="false" indent="0" shrinkToFit="false"/>
      <protection locked="true" hidden="false"/>
    </xf>
    <xf numFmtId="164" fontId="11" fillId="0" borderId="4" xfId="0" applyFont="true" applyBorder="true" applyAlignment="true" applyProtection="false">
      <alignment horizontal="left" vertical="bottom" textRotation="0" wrapText="false" indent="0" shrinkToFit="false"/>
      <protection locked="true" hidden="false"/>
    </xf>
    <xf numFmtId="172" fontId="11" fillId="0" borderId="4" xfId="0" applyFont="true" applyBorder="true" applyAlignment="true" applyProtection="false">
      <alignment horizontal="left" vertical="bottom" textRotation="0" wrapText="false" indent="0" shrinkToFit="false"/>
      <protection locked="true" hidden="false"/>
    </xf>
    <xf numFmtId="164" fontId="15" fillId="0" borderId="4" xfId="20" applyFont="true" applyBorder="true" applyAlignment="true" applyProtection="true">
      <alignment horizontal="general" vertical="bottom" textRotation="0" wrapText="false" indent="0" shrinkToFit="false"/>
      <protection locked="true" hidden="false"/>
    </xf>
    <xf numFmtId="164" fontId="11" fillId="0" borderId="4" xfId="0" applyFont="true" applyBorder="true" applyAlignment="true" applyProtection="false">
      <alignment horizontal="left" vertical="center" textRotation="0" wrapText="true" indent="0" shrinkToFit="false"/>
      <protection locked="true" hidden="false"/>
    </xf>
    <xf numFmtId="164" fontId="9" fillId="0" borderId="0" xfId="32" applyFont="true" applyBorder="true" applyAlignment="true" applyProtection="false">
      <alignment horizontal="left" vertical="bottom" textRotation="0" wrapText="false" indent="0" shrinkToFit="false"/>
      <protection locked="true" hidden="false"/>
    </xf>
    <xf numFmtId="164" fontId="9" fillId="0" borderId="0" xfId="29" applyFont="true" applyBorder="true" applyAlignment="true" applyProtection="true">
      <alignment horizontal="general" vertical="bottom" textRotation="0" wrapText="false" indent="0" shrinkToFit="false"/>
      <protection locked="true" hidden="false"/>
    </xf>
    <xf numFmtId="164" fontId="9" fillId="0" borderId="0" xfId="32" applyFont="true" applyBorder="true" applyAlignment="true" applyProtection="false">
      <alignment horizontal="general" vertical="bottom" textRotation="0" wrapText="false" indent="0" shrinkToFit="false"/>
      <protection locked="true" hidden="false"/>
    </xf>
    <xf numFmtId="164" fontId="9" fillId="0" borderId="4" xfId="32" applyFont="true" applyBorder="true" applyAlignment="true" applyProtection="false">
      <alignment horizontal="left" vertical="bottom" textRotation="0" wrapText="false" indent="0" shrinkToFit="false"/>
      <protection locked="true" hidden="false"/>
    </xf>
    <xf numFmtId="164" fontId="9" fillId="0" borderId="4" xfId="29" applyFont="true" applyBorder="true" applyAlignment="true" applyProtection="true">
      <alignment horizontal="general" vertical="bottom" textRotation="0" wrapText="false" indent="0" shrinkToFit="false"/>
      <protection locked="true" hidden="false"/>
    </xf>
    <xf numFmtId="164" fontId="9" fillId="0" borderId="4" xfId="32" applyFont="true" applyBorder="true" applyAlignment="true" applyProtection="false">
      <alignment horizontal="general" vertical="bottom" textRotation="0" wrapText="false" indent="0" shrinkToFit="false"/>
      <protection locked="true" hidden="false"/>
    </xf>
    <xf numFmtId="164" fontId="9" fillId="3" borderId="1" xfId="36" applyFont="true" applyBorder="false" applyAlignment="true" applyProtection="true">
      <alignment horizontal="general" vertical="bottom" textRotation="0" wrapText="false" indent="0" shrinkToFit="false"/>
      <protection locked="true" hidden="false"/>
    </xf>
    <xf numFmtId="164" fontId="5" fillId="3" borderId="0" xfId="20" applyFont="true" applyBorder="true" applyAlignment="true" applyProtection="true">
      <alignment horizontal="general" vertical="bottom" textRotation="0" wrapText="false" indent="0" shrinkToFit="false"/>
      <protection locked="true" hidden="false"/>
    </xf>
    <xf numFmtId="164" fontId="17" fillId="0" borderId="0" xfId="20" applyFont="true" applyBorder="tru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164" fontId="5" fillId="0" borderId="0" xfId="20" applyFont="true" applyBorder="true" applyAlignment="true" applyProtection="true">
      <alignment horizontal="left" vertical="top" textRotation="0" wrapText="false" indent="0" shrinkToFit="false"/>
      <protection locked="true" hidden="false"/>
    </xf>
    <xf numFmtId="164" fontId="5" fillId="0" borderId="4" xfId="20" applyFont="true" applyBorder="true" applyAlignment="true" applyProtection="true">
      <alignment horizontal="left" vertical="top" textRotation="0" wrapText="false" indent="0" shrinkToFit="false"/>
      <protection locked="true" hidden="false"/>
    </xf>
    <xf numFmtId="164" fontId="9" fillId="0" borderId="4" xfId="0" applyFont="true" applyBorder="true" applyAlignment="true" applyProtection="false">
      <alignment horizontal="center" vertical="bottom" textRotation="0" wrapText="false" indent="0" shrinkToFit="false"/>
      <protection locked="true" hidden="false"/>
    </xf>
    <xf numFmtId="164" fontId="11" fillId="0" borderId="0" xfId="0" applyFont="true" applyBorder="false" applyAlignment="true" applyProtection="false">
      <alignment horizontal="left" vertical="bottom" textRotation="0" wrapText="tru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11" fillId="0" borderId="0" xfId="0" applyFont="true" applyBorder="true" applyAlignment="true" applyProtection="false">
      <alignment horizontal="general" vertical="bottom" textRotation="0" wrapText="false" indent="0" shrinkToFit="false"/>
      <protection locked="true" hidden="false"/>
    </xf>
    <xf numFmtId="164" fontId="18" fillId="0" borderId="0"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bottom" textRotation="0" wrapText="true" indent="0" shrinkToFit="false"/>
      <protection locked="true" hidden="false"/>
    </xf>
    <xf numFmtId="168" fontId="0" fillId="0" borderId="0" xfId="0" applyFont="fals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64" fontId="19"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top" textRotation="0" wrapText="false" indent="0" shrinkToFit="false"/>
      <protection locked="true" hidden="false"/>
    </xf>
    <xf numFmtId="164" fontId="9" fillId="0" borderId="0" xfId="20" applyFont="true" applyBorder="true" applyAlignment="true" applyProtection="true">
      <alignment horizontal="left" vertical="center" textRotation="0" wrapText="tru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left" vertical="top" textRotation="0" wrapText="false" indent="0" shrinkToFit="false"/>
      <protection locked="true" hidden="false"/>
    </xf>
    <xf numFmtId="164" fontId="19" fillId="0" borderId="4" xfId="20" applyFont="true" applyBorder="true" applyAlignment="true" applyProtection="true">
      <alignment horizontal="left" vertical="center" textRotation="0" wrapText="true" indent="0" shrinkToFit="false"/>
      <protection locked="true" hidden="false"/>
    </xf>
    <xf numFmtId="164" fontId="9" fillId="0" borderId="4" xfId="0" applyFont="true" applyBorder="true" applyAlignment="true" applyProtection="false">
      <alignment horizontal="left" vertical="top" textRotation="0" wrapText="true" indent="0" shrinkToFit="false"/>
      <protection locked="true" hidden="false"/>
    </xf>
    <xf numFmtId="168" fontId="0" fillId="0" borderId="4" xfId="0" applyFont="false" applyBorder="true" applyAlignment="false" applyProtection="false">
      <alignment horizontal="general" vertical="bottom" textRotation="0" wrapText="false" indent="0" shrinkToFit="false"/>
      <protection locked="true" hidden="false"/>
    </xf>
    <xf numFmtId="164" fontId="5" fillId="0" borderId="0" xfId="20" applyFont="true" applyBorder="true" applyAlignment="true" applyProtection="true">
      <alignment horizontal="general" vertical="bottom" textRotation="0" wrapText="true" indent="0" shrinkToFit="false"/>
      <protection locked="true" hidden="false"/>
    </xf>
    <xf numFmtId="164" fontId="9" fillId="3" borderId="0"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left" vertical="top" textRotation="0" wrapText="true" indent="0" shrinkToFit="false"/>
      <protection locked="true" hidden="false"/>
    </xf>
    <xf numFmtId="164" fontId="9" fillId="3" borderId="0" xfId="0" applyFont="true" applyBorder="true" applyAlignment="true" applyProtection="false">
      <alignment horizontal="left" vertical="top" textRotation="0" wrapText="false" indent="0" shrinkToFit="false"/>
      <protection locked="true" hidden="false"/>
    </xf>
    <xf numFmtId="164" fontId="9" fillId="0" borderId="0" xfId="0" applyFont="true" applyBorder="true" applyAlignment="true" applyProtection="false">
      <alignment horizontal="left" vertical="top" textRotation="0" wrapText="true" indent="0" shrinkToFit="false"/>
      <protection locked="true" hidden="false"/>
    </xf>
    <xf numFmtId="164" fontId="9" fillId="3" borderId="0" xfId="0" applyFont="true" applyBorder="true" applyAlignment="true" applyProtection="false">
      <alignment horizontal="left" vertical="top" textRotation="0" wrapText="true" indent="0" shrinkToFit="false"/>
      <protection locked="true" hidden="false"/>
    </xf>
    <xf numFmtId="164" fontId="14" fillId="3" borderId="0" xfId="20" applyFont="true" applyBorder="true" applyAlignment="true" applyProtection="true">
      <alignment horizontal="center" vertical="top" textRotation="0" wrapText="true" indent="0" shrinkToFit="false"/>
      <protection locked="true" hidden="false"/>
    </xf>
    <xf numFmtId="164" fontId="9" fillId="3" borderId="0" xfId="0" applyFont="true" applyBorder="true" applyAlignment="true" applyProtection="false">
      <alignment horizontal="general" vertical="top" textRotation="0" wrapText="true" indent="0" shrinkToFit="false"/>
      <protection locked="true" hidden="false"/>
    </xf>
    <xf numFmtId="164" fontId="9" fillId="0" borderId="4" xfId="0" applyFont="true" applyBorder="true" applyAlignment="true" applyProtection="false">
      <alignment horizontal="left" vertical="top" textRotation="0" wrapText="true" indent="0" shrinkToFit="false"/>
      <protection locked="true" hidden="false"/>
    </xf>
    <xf numFmtId="164" fontId="9" fillId="0" borderId="4" xfId="20" applyFont="true" applyBorder="true" applyAlignment="true" applyProtection="true">
      <alignment horizontal="left" vertical="top" textRotation="0" wrapText="false" indent="0" shrinkToFit="false"/>
      <protection locked="true" hidden="false"/>
    </xf>
    <xf numFmtId="164" fontId="9" fillId="3" borderId="4" xfId="0" applyFont="true" applyBorder="true" applyAlignment="true" applyProtection="false">
      <alignment horizontal="general" vertical="bottom" textRotation="0" wrapText="false" indent="0" shrinkToFit="false"/>
      <protection locked="true" hidden="false"/>
    </xf>
    <xf numFmtId="164" fontId="9" fillId="0" borderId="6" xfId="0" applyFont="true" applyBorder="true" applyAlignment="true" applyProtection="false">
      <alignment horizontal="general" vertical="bottom" textRotation="0" wrapText="false" indent="0" shrinkToFit="false"/>
      <protection locked="true" hidden="false"/>
    </xf>
    <xf numFmtId="168" fontId="9" fillId="0" borderId="6" xfId="0" applyFont="true" applyBorder="true" applyAlignment="true" applyProtection="false">
      <alignment horizontal="general" vertical="bottom" textRotation="0" wrapText="false" indent="0" shrinkToFit="false"/>
      <protection locked="true" hidden="false"/>
    </xf>
    <xf numFmtId="173" fontId="9" fillId="0" borderId="6" xfId="0" applyFont="true" applyBorder="tru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9" fillId="0" borderId="5" xfId="0" applyFont="true" applyBorder="true" applyAlignment="false" applyProtection="false">
      <alignment horizontal="general" vertical="bottom" textRotation="0" wrapText="false" indent="0" shrinkToFit="false"/>
      <protection locked="true" hidden="false"/>
    </xf>
    <xf numFmtId="168" fontId="9" fillId="0" borderId="5"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74"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74" fontId="9"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left" vertical="center" textRotation="0" wrapText="false" indent="0" shrinkToFit="false"/>
      <protection locked="true" hidden="false"/>
    </xf>
    <xf numFmtId="164" fontId="17" fillId="0" borderId="0" xfId="20" applyFont="true" applyBorder="true" applyAlignment="true" applyProtection="true">
      <alignment horizontal="general" vertical="center" textRotation="0" wrapText="true" indent="0" shrinkToFit="false"/>
      <protection locked="true" hidden="false"/>
    </xf>
    <xf numFmtId="175" fontId="9" fillId="0" borderId="4" xfId="0" applyFont="true" applyBorder="true" applyAlignment="true" applyProtection="false">
      <alignment horizontal="left" vertical="top" textRotation="0" wrapText="false" indent="0" shrinkToFit="false"/>
      <protection locked="true" hidden="false"/>
    </xf>
    <xf numFmtId="164" fontId="17" fillId="0" borderId="4" xfId="20" applyFont="true" applyBorder="true" applyAlignment="true" applyProtection="true">
      <alignment horizontal="left" vertical="top" textRotation="0" wrapText="false" indent="0" shrinkToFit="false"/>
      <protection locked="true" hidden="false"/>
    </xf>
    <xf numFmtId="164" fontId="11" fillId="0" borderId="0" xfId="0" applyFont="true" applyBorder="false" applyAlignment="true" applyProtection="false">
      <alignment horizontal="left" vertical="top" textRotation="0" wrapText="false" indent="0" shrinkToFit="false"/>
      <protection locked="true" hidden="false"/>
    </xf>
    <xf numFmtId="164" fontId="11" fillId="0" borderId="0" xfId="0" applyFont="true" applyBorder="false" applyAlignment="true" applyProtection="false">
      <alignment horizontal="left" vertical="top" textRotation="0" wrapText="true" indent="0" shrinkToFit="false"/>
      <protection locked="true" hidden="false"/>
    </xf>
    <xf numFmtId="164" fontId="15" fillId="0" borderId="0" xfId="20" applyFont="true" applyBorder="true" applyAlignment="true" applyProtection="true">
      <alignment horizontal="left" vertical="top" textRotation="0" wrapText="false" indent="0" shrinkToFit="false"/>
      <protection locked="true" hidden="false"/>
    </xf>
    <xf numFmtId="164" fontId="18" fillId="0" borderId="0" xfId="0" applyFont="true" applyBorder="false" applyAlignment="true" applyProtection="false">
      <alignment horizontal="left" vertical="top" textRotation="0" wrapText="false" indent="0" shrinkToFit="false"/>
      <protection locked="true" hidden="false"/>
    </xf>
    <xf numFmtId="164" fontId="11" fillId="0" borderId="0" xfId="20" applyFont="true" applyBorder="true" applyAlignment="true" applyProtection="true">
      <alignment horizontal="left" vertical="top" textRotation="0" wrapText="false" indent="0" shrinkToFit="false"/>
      <protection locked="true" hidden="false"/>
    </xf>
    <xf numFmtId="164" fontId="23" fillId="0" borderId="0" xfId="0" applyFont="true" applyBorder="false" applyAlignment="true" applyProtection="false">
      <alignment horizontal="left" vertical="top" textRotation="0" wrapText="false" indent="0" shrinkToFit="false"/>
      <protection locked="true" hidden="false"/>
    </xf>
    <xf numFmtId="164" fontId="11" fillId="0" borderId="4" xfId="0" applyFont="true" applyBorder="true" applyAlignment="true" applyProtection="false">
      <alignment horizontal="left" vertical="top" textRotation="0" wrapText="false" indent="0" shrinkToFit="false"/>
      <protection locked="true" hidden="false"/>
    </xf>
    <xf numFmtId="164" fontId="11" fillId="0" borderId="4" xfId="0" applyFont="true" applyBorder="true" applyAlignment="true" applyProtection="false">
      <alignment horizontal="left" vertical="top" textRotation="0" wrapText="true" indent="0" shrinkToFit="false"/>
      <protection locked="true" hidden="false"/>
    </xf>
    <xf numFmtId="164" fontId="9" fillId="4"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8" fontId="9" fillId="0" borderId="0" xfId="0" applyFont="true" applyBorder="true" applyAlignment="true" applyProtection="false">
      <alignment horizontal="left" vertical="bottom" textRotation="0" wrapText="false" indent="0" shrinkToFit="false"/>
      <protection locked="true" hidden="false"/>
    </xf>
    <xf numFmtId="164" fontId="5" fillId="0" borderId="0" xfId="20" applyFont="true" applyBorder="true" applyAlignment="true" applyProtection="true">
      <alignment horizontal="justify" vertical="center" textRotation="0" wrapText="false" indent="0" shrinkToFit="false"/>
      <protection locked="true" hidden="false"/>
    </xf>
    <xf numFmtId="173" fontId="9" fillId="0" borderId="0" xfId="0" applyFont="true" applyBorder="false" applyAlignment="true" applyProtection="false">
      <alignment horizontal="general" vertical="bottom" textRotation="0" wrapText="false" indent="0" shrinkToFit="false"/>
      <protection locked="true" hidden="false"/>
    </xf>
    <xf numFmtId="164" fontId="5" fillId="5" borderId="4" xfId="20" applyFont="true" applyBorder="true" applyAlignment="true" applyProtection="true">
      <alignment horizontal="general" vertical="bottom" textRotation="0" wrapText="false" indent="0" shrinkToFit="false"/>
      <protection locked="true" hidden="false"/>
    </xf>
    <xf numFmtId="164" fontId="9" fillId="0" borderId="4" xfId="0" applyFont="true" applyBorder="true" applyAlignment="true" applyProtection="false">
      <alignment horizontal="left" vertical="bottom" textRotation="0" wrapText="false" indent="0" shrinkToFit="false"/>
      <protection locked="true" hidden="false"/>
    </xf>
    <xf numFmtId="176" fontId="9" fillId="0" borderId="0" xfId="19"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5" fillId="0" borderId="0" xfId="20" applyFont="false" applyBorder="true" applyAlignment="true" applyProtection="true">
      <alignment horizontal="general" vertical="center" textRotation="0" wrapText="true" indent="0" shrinkToFit="false"/>
      <protection locked="true" hidden="false"/>
    </xf>
    <xf numFmtId="164" fontId="8" fillId="0" borderId="0" xfId="0" applyFont="true" applyBorder="true" applyAlignment="true" applyProtection="false">
      <alignment horizontal="general" vertical="bottom" textRotation="0" wrapText="tru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7" fontId="0" fillId="0" borderId="0" xfId="0" applyFont="false" applyBorder="tru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7" fontId="2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left"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12" fillId="0" borderId="0" xfId="0" applyFont="true" applyBorder="false" applyAlignment="true" applyProtection="false">
      <alignment horizontal="left" vertical="center" textRotation="0" wrapText="false" indent="0" shrinkToFit="false"/>
      <protection locked="true" hidden="false"/>
    </xf>
  </cellXfs>
  <cellStyles count="23">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4" xfId="23"/>
    <cellStyle name="Comma 5" xfId="24"/>
    <cellStyle name="Comma 6" xfId="25"/>
    <cellStyle name="Comma [0] 2" xfId="26"/>
    <cellStyle name="Hyperlink 2" xfId="27"/>
    <cellStyle name="Hyperlink 3" xfId="28"/>
    <cellStyle name="Hyperlink 4" xfId="29"/>
    <cellStyle name="Normal 2" xfId="30"/>
    <cellStyle name="Normal 3" xfId="31"/>
    <cellStyle name="Normal 4" xfId="32"/>
    <cellStyle name="Note 2" xfId="33"/>
    <cellStyle name="Percent 2" xfId="34"/>
    <cellStyle name="*unknown*" xfId="20" builtinId="8"/>
    <cellStyle name="Excel Built-in Comma [0]" xfId="35"/>
    <cellStyle name="Excel Built-in Note" xfId="36"/>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563C1"/>
      <rgbColor rgb="FFB2B2B2"/>
      <rgbColor rgb="FF808080"/>
      <rgbColor rgb="FF9999FF"/>
      <rgbColor rgb="FF993366"/>
      <rgbColor rgb="FFFFFFCC"/>
      <rgbColor rgb="FFF3F3F3"/>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000"/>
      <rgbColor rgb="FFFF9900"/>
      <rgbColor rgb="FFFF6600"/>
      <rgbColor rgb="FF666699"/>
      <rgbColor rgb="FF70AD47"/>
      <rgbColor rgb="FF003366"/>
      <rgbColor rgb="FF339966"/>
      <rgbColor rgb="FF003300"/>
      <rgbColor rgb="FF333300"/>
      <rgbColor rgb="FF993300"/>
      <rgbColor rgb="FF993366"/>
      <rgbColor rgb="FF333399"/>
      <rgbColor rgb="FF2021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externalLink" Target="externalLinks/externalLink1.xml"/><Relationship Id="rId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https://portal.oecd.org/eshare/env/pc/Deliverables/GreenRecoveryTaskForce/Database/OECD_ENV_COVID-recovery-database_v4.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Description of columns"/>
      <sheetName val="Measures"/>
      <sheetName val="Summary"/>
      <sheetName val="pivots"/>
      <sheetName val="by sector - ticks"/>
      <sheetName val="by type of measure - ticks"/>
      <sheetName val="by sector and type - ticks"/>
      <sheetName val="by env focus - ticks"/>
      <sheetName val="regulatory changes"/>
      <sheetName val="Sheet1"/>
      <sheetName val="by sector - number"/>
      <sheetName val="by type of measure - number"/>
      <sheetName val="by sector &amp; type - num heatmap"/>
      <sheetName val="by env focus - number"/>
      <sheetName val="funding - by sector"/>
      <sheetName val="funding - by type of measure"/>
      <sheetName val="funding -by sector and type"/>
      <sheetName val="Funding - by sector &amp; measure"/>
      <sheetName val="funding - by env focus"/>
      <sheetName val="Exchange rates to USD"/>
      <sheetName val="selection 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L2" t="str">
            <v>AUD</v>
          </cell>
          <cell r="M2">
            <v>1.43850696086884</v>
          </cell>
          <cell r="N2">
            <v>1.41438508033752</v>
          </cell>
        </row>
        <row r="3">
          <cell r="L3" t="str">
            <v>EUR</v>
          </cell>
          <cell r="M3">
            <v>0.89327597618103</v>
          </cell>
          <cell r="N3">
            <v>0.906890511512756</v>
          </cell>
        </row>
        <row r="4">
          <cell r="L4" t="str">
            <v>EUR</v>
          </cell>
          <cell r="M4">
            <v>0.89327597618103</v>
          </cell>
          <cell r="N4">
            <v>0.906890511512756</v>
          </cell>
        </row>
        <row r="5">
          <cell r="L5" t="str">
            <v>CAD</v>
          </cell>
          <cell r="M5">
            <v>1.32685399055481</v>
          </cell>
          <cell r="N5">
            <v>1.30981767177582</v>
          </cell>
        </row>
        <row r="6">
          <cell r="L6" t="str">
            <v>CHF</v>
          </cell>
          <cell r="M6">
            <v>0.993840992450714</v>
          </cell>
          <cell r="N6">
            <v>1.0495491027832</v>
          </cell>
        </row>
        <row r="7">
          <cell r="L7" t="str">
            <v>CLP</v>
          </cell>
          <cell r="M7">
            <v>702.897399902344</v>
          </cell>
          <cell r="N7">
            <v>622.558776855469</v>
          </cell>
        </row>
        <row r="8">
          <cell r="L8" t="str">
            <v>COP</v>
          </cell>
          <cell r="M8">
            <v>3280.83154296875</v>
          </cell>
          <cell r="N8">
            <v>2880.34448242187</v>
          </cell>
        </row>
        <row r="9">
          <cell r="L9" t="str">
            <v>CZK</v>
          </cell>
          <cell r="M9">
            <v>22.9322490692139</v>
          </cell>
          <cell r="N9">
            <v>22.510705947876</v>
          </cell>
        </row>
        <row r="10">
          <cell r="L10" t="str">
            <v>EUR</v>
          </cell>
          <cell r="M10">
            <v>0.89327597618103</v>
          </cell>
          <cell r="N10">
            <v>0.906890511512756</v>
          </cell>
        </row>
        <row r="11">
          <cell r="L11" t="str">
            <v>DKK</v>
          </cell>
          <cell r="M11">
            <v>6.66944694519043</v>
          </cell>
          <cell r="N11">
            <v>6.77768421173096</v>
          </cell>
        </row>
        <row r="12">
          <cell r="L12" t="str">
            <v>EUR</v>
          </cell>
          <cell r="M12">
            <v>0.89327597618103</v>
          </cell>
          <cell r="N12">
            <v>0.906890511512756</v>
          </cell>
        </row>
        <row r="13">
          <cell r="L13" t="str">
            <v>EUR</v>
          </cell>
          <cell r="M13">
            <v>0.89327597618103</v>
          </cell>
          <cell r="N13">
            <v>0.906890511512756</v>
          </cell>
        </row>
        <row r="14">
          <cell r="L14" t="str">
            <v>EUR</v>
          </cell>
          <cell r="M14">
            <v>0.89327597618103</v>
          </cell>
          <cell r="N14">
            <v>0.906890511512756</v>
          </cell>
        </row>
        <row r="15">
          <cell r="L15" t="str">
            <v>EUR</v>
          </cell>
          <cell r="M15">
            <v>0.89327597618103</v>
          </cell>
          <cell r="N15">
            <v>0.906890511512756</v>
          </cell>
        </row>
        <row r="16">
          <cell r="L16" t="str">
            <v>GBP</v>
          </cell>
          <cell r="M16">
            <v>0.783445000648499</v>
          </cell>
          <cell r="N16">
            <v>0.784878492355347</v>
          </cell>
        </row>
        <row r="17">
          <cell r="L17" t="str">
            <v>EUR</v>
          </cell>
          <cell r="M17">
            <v>0.89327597618103</v>
          </cell>
          <cell r="N17">
            <v>0.906890511512756</v>
          </cell>
        </row>
        <row r="18">
          <cell r="L18" t="str">
            <v>HUF</v>
          </cell>
          <cell r="M18">
            <v>290.660003662109</v>
          </cell>
          <cell r="N18">
            <v>272.606903076172</v>
          </cell>
        </row>
        <row r="19">
          <cell r="L19" t="str">
            <v>EUR</v>
          </cell>
          <cell r="M19">
            <v>0.89327597618103</v>
          </cell>
          <cell r="N19">
            <v>0.906890511512756</v>
          </cell>
        </row>
        <row r="20">
          <cell r="L20" t="str">
            <v>ISK</v>
          </cell>
          <cell r="M20">
            <v>122.606773376465</v>
          </cell>
          <cell r="N20">
            <v>110.013572692871</v>
          </cell>
        </row>
        <row r="21">
          <cell r="L21" t="str">
            <v>ILS</v>
          </cell>
          <cell r="M21">
            <v>3.56452703475952</v>
          </cell>
          <cell r="N21">
            <v>3.67140197753906</v>
          </cell>
        </row>
        <row r="22">
          <cell r="L22" t="str">
            <v>EUR</v>
          </cell>
          <cell r="M22">
            <v>0.89327597618103</v>
          </cell>
          <cell r="N22">
            <v>0.906890511512756</v>
          </cell>
        </row>
        <row r="23">
          <cell r="L23" t="str">
            <v>JPY</v>
          </cell>
          <cell r="M23">
            <v>109.009666442871</v>
          </cell>
          <cell r="N23">
            <v>111.220710754395</v>
          </cell>
        </row>
        <row r="24">
          <cell r="L24" t="str">
            <v>KRW</v>
          </cell>
          <cell r="M24">
            <v>1165.49890136719</v>
          </cell>
          <cell r="N24">
            <v>1146.26000976563</v>
          </cell>
        </row>
        <row r="25">
          <cell r="L25" t="str">
            <v>EUR</v>
          </cell>
          <cell r="M25">
            <v>0.89327597618103</v>
          </cell>
          <cell r="N25">
            <v>0.906890511512756</v>
          </cell>
        </row>
        <row r="26">
          <cell r="L26" t="str">
            <v>EUR</v>
          </cell>
          <cell r="M26">
            <v>0.89327597618103</v>
          </cell>
          <cell r="N26">
            <v>0.906890511512756</v>
          </cell>
        </row>
        <row r="27">
          <cell r="L27" t="str">
            <v>EUR</v>
          </cell>
          <cell r="M27">
            <v>0.89327597618103</v>
          </cell>
          <cell r="N27">
            <v>0.906890511512756</v>
          </cell>
        </row>
        <row r="28">
          <cell r="L28" t="str">
            <v>MXN</v>
          </cell>
          <cell r="M28">
            <v>19.2636337280273</v>
          </cell>
          <cell r="N28">
            <v>17.2222442626953</v>
          </cell>
        </row>
        <row r="29">
          <cell r="L29" t="str">
            <v>EUR</v>
          </cell>
          <cell r="M29">
            <v>0.89327597618103</v>
          </cell>
          <cell r="N29">
            <v>0.906890511512756</v>
          </cell>
        </row>
        <row r="30">
          <cell r="L30" t="str">
            <v>NOK</v>
          </cell>
          <cell r="M30">
            <v>8.80000019073486</v>
          </cell>
          <cell r="N30">
            <v>8.15642166137695</v>
          </cell>
        </row>
        <row r="31">
          <cell r="L31" t="str">
            <v>NZD</v>
          </cell>
          <cell r="M31">
            <v>1.51787495613098</v>
          </cell>
          <cell r="N31">
            <v>1.48677265644074</v>
          </cell>
        </row>
        <row r="32">
          <cell r="L32" t="str">
            <v>PLN</v>
          </cell>
          <cell r="M32">
            <v>3.83937501907349</v>
          </cell>
          <cell r="N32">
            <v>3.75617933273315</v>
          </cell>
        </row>
        <row r="33">
          <cell r="L33" t="str">
            <v>EUR</v>
          </cell>
          <cell r="M33">
            <v>0.89327597618103</v>
          </cell>
          <cell r="N33">
            <v>0.906890511512756</v>
          </cell>
        </row>
        <row r="34">
          <cell r="L34" t="str">
            <v>EUR</v>
          </cell>
          <cell r="M34">
            <v>0.89327597618103</v>
          </cell>
          <cell r="N34">
            <v>0.906890511512756</v>
          </cell>
        </row>
        <row r="35">
          <cell r="L35" t="str">
            <v>EUR</v>
          </cell>
          <cell r="M35">
            <v>0.89327597618103</v>
          </cell>
          <cell r="N35">
            <v>0.906890511512756</v>
          </cell>
        </row>
        <row r="36">
          <cell r="L36" t="str">
            <v>SEK</v>
          </cell>
          <cell r="M36">
            <v>9.45834922790527</v>
          </cell>
          <cell r="N36">
            <v>9.66104030609131</v>
          </cell>
        </row>
        <row r="37">
          <cell r="L37" t="str">
            <v>TRY</v>
          </cell>
          <cell r="M37">
            <v>5.67381906509399</v>
          </cell>
          <cell r="N37">
            <v>4.57300615310669</v>
          </cell>
        </row>
        <row r="38">
          <cell r="L38" t="str">
            <v>USD</v>
          </cell>
          <cell r="M38">
            <v>1</v>
          </cell>
          <cell r="N38">
            <v>1</v>
          </cell>
        </row>
        <row r="39">
          <cell r="L39" t="str">
            <v>CRC</v>
          </cell>
          <cell r="M39">
            <v>587.294616699219</v>
          </cell>
          <cell r="N39">
            <v>587.294616699219</v>
          </cell>
        </row>
        <row r="40">
          <cell r="L40" t="str">
            <v>BRL</v>
          </cell>
          <cell r="M40">
            <v>3.9273419380188</v>
          </cell>
          <cell r="N40">
            <v>2.98998212814331</v>
          </cell>
        </row>
        <row r="41">
          <cell r="L41" t="str">
            <v>CNY</v>
          </cell>
          <cell r="M41">
            <v>6.90838479995728</v>
          </cell>
          <cell r="N41">
            <v>6.89850759506226</v>
          </cell>
        </row>
        <row r="42">
          <cell r="L42" t="str">
            <v>INR</v>
          </cell>
          <cell r="M42">
            <v>70.4199676513672</v>
          </cell>
          <cell r="N42">
            <v>66.8607711791992</v>
          </cell>
        </row>
        <row r="43">
          <cell r="L43" t="str">
            <v>IDR</v>
          </cell>
          <cell r="M43">
            <v>14147.6708984375</v>
          </cell>
          <cell r="N43">
            <v>13659.6005859375</v>
          </cell>
        </row>
        <row r="44">
          <cell r="L44" t="str">
            <v>RUB</v>
          </cell>
          <cell r="M44">
            <v>64.7376556396484</v>
          </cell>
          <cell r="N44">
            <v>57.6037368774414</v>
          </cell>
        </row>
        <row r="45">
          <cell r="L45" t="str">
            <v>ZAR</v>
          </cell>
          <cell r="M45">
            <v>14.4484272003174</v>
          </cell>
          <cell r="N45">
            <v>12.6108703613281</v>
          </cell>
        </row>
        <row r="46">
          <cell r="L46" t="str">
            <v>ARS</v>
          </cell>
          <cell r="M46">
            <v>48.147891998291</v>
          </cell>
          <cell r="N46">
            <v>32.531078338623</v>
          </cell>
        </row>
      </sheetData>
      <sheetData sheetId="20"/>
    </sheetDataSet>
  </externalBook>
</externalLink>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hyperlink" Target="https://treasury.gov.au/sites/default/files/2020-12/HomeBuilder_extension_factsheet.pdf" TargetMode="External"/><Relationship Id="rId3" Type="http://schemas.openxmlformats.org/officeDocument/2006/relationships/hyperlink" Target="https://www.awe.gov.au/sites/default/files/2020-10/budget-2020-21_cultivating-profitable-and-resilient-agricultural-businesses.pdf" TargetMode="External"/><Relationship Id="rId4" Type="http://schemas.openxmlformats.org/officeDocument/2006/relationships/hyperlink" Target="https://www.awe.gov.au/sites/default/files/2020-10/budget-2020-21_protecting-our-iconic-places.pdf" TargetMode="External"/><Relationship Id="rId5" Type="http://schemas.openxmlformats.org/officeDocument/2006/relationships/hyperlink" Target="https://www.bmk.gv.at/service/presse/gewessler/20200731_gemeindepaket.html" TargetMode="External"/><Relationship Id="rId6" Type="http://schemas.openxmlformats.org/officeDocument/2006/relationships/hyperlink" Target="https://news.err.ee/1135630/government-to-fund-purchase-of-electric-buses-and-charging-posts" TargetMode="External"/><Relationship Id="rId7" Type="http://schemas.openxmlformats.org/officeDocument/2006/relationships/hyperlink" Target="https://www.err.ee/1135503/riik-hakkab-toetama-elektribusside-ostu-ja-laadimistaristu-ehitamist" TargetMode="External"/><Relationship Id="rId8" Type="http://schemas.openxmlformats.org/officeDocument/2006/relationships/hyperlink" Target="https://www.emta.ee/et/ariklient/aktsiisid-vara-hasartmang/kutus-ja-elektrienergia/aktsiisimaarade-ajutine-vahendamine" TargetMode="External"/><Relationship Id="rId9" Type="http://schemas.openxmlformats.org/officeDocument/2006/relationships/hyperlink" Target="https://www.emta.ee/eng/business-client/excise-duties-assets-gambling/about-excise-duties/rates-excise-duty" TargetMode="External"/><Relationship Id="rId10" Type="http://schemas.openxmlformats.org/officeDocument/2006/relationships/hyperlink" Target="https://ym.fi/en/wood-building" TargetMode="External"/><Relationship Id="rId11" Type="http://schemas.openxmlformats.org/officeDocument/2006/relationships/hyperlink" Target="https://mmm.fi/en/forests/biodiversity-and-protection/metso-programme" TargetMode="External"/><Relationship Id="rId12" Type="http://schemas.openxmlformats.org/officeDocument/2006/relationships/hyperlink" Target="https://ym.fi/documents/1410903/33891761/kestava_elvytys_loppuraportti-2110.pdf/c8edf006-334f-ecd9-5364-9d55720823fe/kestava_elvytys_loppuraportti-2110.pdf?t=1603343569943" TargetMode="External"/><Relationship Id="rId13" Type="http://schemas.openxmlformats.org/officeDocument/2006/relationships/hyperlink" Target="https://www.vvy.fi/ajankohtaista/uutiset/ymparistoministerion-avustushaku/" TargetMode="External"/><Relationship Id="rId14" Type="http://schemas.openxmlformats.org/officeDocument/2006/relationships/hyperlink" Target="https://www.businessfinland.fi/kampanjasivut/veturiyrityksista-vipuvartta" TargetMode="External"/><Relationship Id="rId15" Type="http://schemas.openxmlformats.org/officeDocument/2006/relationships/hyperlink" Target="https://ec.europa.eu/commission/presscorner/detail/en/IP_20_1032%20(31%20August%202020)" TargetMode="External"/><Relationship Id="rId16" Type="http://schemas.openxmlformats.org/officeDocument/2006/relationships/hyperlink" Target="https://ec.europa.eu/commission/presscorner/detail/en/MEX_20_904%20(31%20August%202020)" TargetMode="External"/><Relationship Id="rId17" Type="http://schemas.openxmlformats.org/officeDocument/2006/relationships/hyperlink" Target="https://www.ecologique-solidaire.gouv.fr/plan-velo-des-mesures-concretes-faciliter-lusage-du-velo" TargetMode="External"/><Relationship Id="rId18" Type="http://schemas.openxmlformats.org/officeDocument/2006/relationships/hyperlink" Target="https://www.economie.gouv.fr/files/files/directions_services/plan-de-relance/annexe-fiche-mesures.pdf" TargetMode="External"/><Relationship Id="rId19" Type="http://schemas.openxmlformats.org/officeDocument/2006/relationships/hyperlink" Target="https://www.gouvernement.fr/sites/default/files/contenu/piece-jointe/2020/09/fiches_intro_thematiques_pia_4.pdf" TargetMode="External"/><Relationship Id="rId20" Type="http://schemas.openxmlformats.org/officeDocument/2006/relationships/hyperlink" Target="https://www.bundesfinanzministerium.de/Content/DE/Standardartikel/Themen/Schlaglichter/Konjunkturpaket/2020-06-03-eckpunktepapier.pdf?__blob=publicationFile" TargetMode="External"/><Relationship Id="rId21" Type="http://schemas.openxmlformats.org/officeDocument/2006/relationships/hyperlink" Target="https://www.bundesfinanzministerium.de/Content/DE/Standardartikel/Themen/Schlaglichter/Konjunkturpaket/2020-06-03-eckpunktepapier.pdf?__blob=publicationFile" TargetMode="External"/><Relationship Id="rId22" Type="http://schemas.openxmlformats.org/officeDocument/2006/relationships/hyperlink" Target="https://www.bloomberg.com/news/articles/2020-06-05/germany-s-recovery-fund-gets-green-hue-with-its-focus-on-climate" TargetMode="External"/><Relationship Id="rId23" Type="http://schemas.openxmlformats.org/officeDocument/2006/relationships/hyperlink" Target="https://www.bloomberg.com/news/articles/2020-06-05/germany-s-recovery-fund-gets-green-hue-with-its-focus-on-climate" TargetMode="External"/><Relationship Id="rId24" Type="http://schemas.openxmlformats.org/officeDocument/2006/relationships/hyperlink" Target="https://www.bundesfinanzministerium.de/Content/DE/Standardartikel/Themen/Schlaglichter/Konjunkturpaket/2020-06-03-eckpunktepapier.pdf?__blob=publicationFile" TargetMode="External"/><Relationship Id="rId25" Type="http://schemas.openxmlformats.org/officeDocument/2006/relationships/hyperlink" Target="https://www.bloomberg.com/news/articles/2020-06-05/germany-s-recovery-fund-gets-green-hue-with-its-focus-on-climate" TargetMode="External"/><Relationship Id="rId26" Type="http://schemas.openxmlformats.org/officeDocument/2006/relationships/hyperlink" Target="https://www.bundesfinanzministerium.de/Content/DE/Standardartikel/Themen/Schlaglichter/Konjunkturpaket/2020-06-03-eckpunktepapier.pdf?__blob=publicationFile" TargetMode="External"/><Relationship Id="rId27" Type="http://schemas.openxmlformats.org/officeDocument/2006/relationships/hyperlink" Target="https://www.bundesfinanzministerium.de/Content/DE/Standardartikel/Themen/Schlaglichter/Konjunkturpaket/2020-06-03-eckpunktepapier.pdf?__blob=publicationFile" TargetMode="External"/><Relationship Id="rId28" Type="http://schemas.openxmlformats.org/officeDocument/2006/relationships/hyperlink" Target="https://www.bundesfinanzministerium.de/Content/DE/Standardartikel/Themen/Schlaglichter/Konjunkturpaket/2020-06-03-eckpunktepapier.pdf?__blob=publicationFile" TargetMode="External"/><Relationship Id="rId29" Type="http://schemas.openxmlformats.org/officeDocument/2006/relationships/hyperlink" Target="https://www.bundesfinanzministerium.de/Content/DE/Standardartikel/Themen/Schlaglichter/Konjunkturpaket/2020-06-03-eckpunktepapier.pdf?__blob=publicationFile" TargetMode="External"/><Relationship Id="rId30" Type="http://schemas.openxmlformats.org/officeDocument/2006/relationships/hyperlink" Target="https://www.bundesfinanzministerium.de/Content/DE/Standardartikel/Themen/Schlaglichter/Konjunkturpaket/2020-06-03-eckpunktepapier.pdf?__blob=publicationFile" TargetMode="External"/><Relationship Id="rId31" Type="http://schemas.openxmlformats.org/officeDocument/2006/relationships/hyperlink" Target="https://www.bundesfinanzministerium.de/Content/DE/Standardartikel/Themen/Schlaglichter/Konjunkturpaket/2020-06-03-eckpunktepapier.pdf?__blob=publicationFile" TargetMode="External"/><Relationship Id="rId32" Type="http://schemas.openxmlformats.org/officeDocument/2006/relationships/hyperlink" Target="https://www.bundesfinanzministerium.de/Content/DE/Standardartikel/Themen/Schlaglichter/Konjunkturpaket/2020-06-03-eckpunktepapier.pdf?__blob=publicationFile" TargetMode="External"/><Relationship Id="rId33" Type="http://schemas.openxmlformats.org/officeDocument/2006/relationships/hyperlink" Target="https://www.bundesfinanzministerium.de/Content/DE/Standardartikel/Themen/Schlaglichter/Konjunkturpaket/2020-06-03-eckpunktepapier.pdf?__blob=publicationFile" TargetMode="External"/><Relationship Id="rId34" Type="http://schemas.openxmlformats.org/officeDocument/2006/relationships/hyperlink" Target="https://www.bundesfinanzministerium.de/Content/DE/Standardartikel/Themen/Schlaglichter/Konjunkturpaket/2020-06-03-eckpunktepapier.pdf?__blob=publicationFile" TargetMode="External"/><Relationship Id="rId35" Type="http://schemas.openxmlformats.org/officeDocument/2006/relationships/hyperlink" Target="https://de.reuters.com/article/us-germany-autos/germany-to-up-financial-aid-for-cars-sector-government-sources-idUSKBN27X1S7" TargetMode="External"/><Relationship Id="rId36" Type="http://schemas.openxmlformats.org/officeDocument/2006/relationships/hyperlink" Target="https://de.reuters.com/article/us-germany-autos/germany-to-up-financial-aid-for-cars-sector-government-sources-idUSKBN27X1S7" TargetMode="External"/><Relationship Id="rId37" Type="http://schemas.openxmlformats.org/officeDocument/2006/relationships/hyperlink" Target="https://de.reuters.com/article/us-germany-autos/germany-to-up-financial-aid-for-cars-sector-government-sources-idUSKBN27X1S9" TargetMode="External"/><Relationship Id="rId38" Type="http://schemas.openxmlformats.org/officeDocument/2006/relationships/hyperlink" Target="https://de.reuters.com/article/us-germany-autos/germany-to-up-financial-aid-for-cars-sector-government-sources-idUSKBN27X1S7" TargetMode="External"/><Relationship Id="rId39" Type="http://schemas.openxmlformats.org/officeDocument/2006/relationships/hyperlink" Target="https://ceenergynews.com/transport/hungarian-government-to-launch-green-bus-program/" TargetMode="External"/><Relationship Id="rId40" Type="http://schemas.openxmlformats.org/officeDocument/2006/relationships/hyperlink" Target="https://magyarkozlony.hu/hivatalos-lapok/tMkTed9rU4L8GJ85RJmk5fe3ba8f5a9e6/dokumentumok/859e519d6c6249e6fb9f896bca0f5a928ddcb983/letoltes" TargetMode="External"/><Relationship Id="rId41" Type="http://schemas.openxmlformats.org/officeDocument/2006/relationships/hyperlink" Target="https://www.palyazat.gov.hu/ginop-128-20-a-mikro-kis-s-kzpvllalkozsok-modern-zleti-s-termelsi-kihvsokhoz-val-alkalmazkodst-segt-fejlesztsek-tmogatsa-1" TargetMode="External"/><Relationship Id="rId42" Type="http://schemas.openxmlformats.org/officeDocument/2006/relationships/hyperlink" Target="https://www.palyazat.gov.hu/vekop-126-20-a-mikro-kis-s-kzpvllalkozsok-modern-zleti-s-termelsi-kihvsokhoz-val-alkalmazkodst-segt-fejlesztsek-tmogatsa-1" TargetMode="External"/><Relationship Id="rId43" Type="http://schemas.openxmlformats.org/officeDocument/2006/relationships/hyperlink" Target="https://www.palyazat.gov.hu/ginop-1214-20-divat-s-dizjnipari-mikro-kis-s-kzpvllalkozsok-modern-zleti-s-termelsi-kihvsokhoz-val-alkalmazkodst-segt-fejlesztsek-tmogatsa-1" TargetMode="External"/><Relationship Id="rId44" Type="http://schemas.openxmlformats.org/officeDocument/2006/relationships/hyperlink" Target="https://www.palyazat.gov.hu/vekop-127-20-divat-s-dizjnipari-mikro-kis-s-kzpvllalkozsok-modern-zleti-s-termelsi-kihvsokhoz-val-alkalmazkodst-segt-fejlesztsek-tmogatsa-1" TargetMode="External"/><Relationship Id="rId45" Type="http://schemas.openxmlformats.org/officeDocument/2006/relationships/hyperlink" Target="https://isif.ie/pandemic-stabilisation-and-recovery-fund" TargetMode="External"/><Relationship Id="rId46" Type="http://schemas.openxmlformats.org/officeDocument/2006/relationships/hyperlink" Target="https://isif.ie/uploads/publications/PSRF-GUIDE-PUBLISHED.pdf" TargetMode="External"/><Relationship Id="rId47" Type="http://schemas.openxmlformats.org/officeDocument/2006/relationships/hyperlink" Target="https://www5.cao.go.jp/keizai1/keizaitaisaku/2020-2/20201208_economic_measures.pdf" TargetMode="External"/><Relationship Id="rId48" Type="http://schemas.openxmlformats.org/officeDocument/2006/relationships/hyperlink" Target="https://english.kyodonews.net/news/2020/12/8a909b0c27bb-urgent-japan-to-compile-73-tril-yen-new-stimulus-package.html" TargetMode="External"/><Relationship Id="rId49" Type="http://schemas.openxmlformats.org/officeDocument/2006/relationships/hyperlink" Target="https://www.env.go.jp/saigai/novel_coronavirus_2020.html" TargetMode="External"/><Relationship Id="rId50" Type="http://schemas.openxmlformats.org/officeDocument/2006/relationships/hyperlink" Target="https://eodashboard.org/" TargetMode="External"/><Relationship Id="rId51" Type="http://schemas.openxmlformats.org/officeDocument/2006/relationships/hyperlink" Target="https://www.env.go.jp/guide/budget/r02/r02-hos_03-gaiyo/001.pd" TargetMode="External"/><Relationship Id="rId52" Type="http://schemas.openxmlformats.org/officeDocument/2006/relationships/hyperlink" Target="https://www.meti.go.jp/english/press/2020/1225_001.html" TargetMode="External"/><Relationship Id="rId53" Type="http://schemas.openxmlformats.org/officeDocument/2006/relationships/hyperlink" Target="https://www.env.go.jp/saigai/novel_coronavirus_2020.html" TargetMode="External"/><Relationship Id="rId54" Type="http://schemas.openxmlformats.org/officeDocument/2006/relationships/hyperlink" Target="http://www.env.go.jp/guide/budget/r02/r0204-hos-gaiyo/full.pdf" TargetMode="External"/><Relationship Id="rId55" Type="http://schemas.openxmlformats.org/officeDocument/2006/relationships/hyperlink" Target="http://www.jamstec.go.jp/tougou/eng/research/theme_d.html" TargetMode="External"/><Relationship Id="rId56" Type="http://schemas.openxmlformats.org/officeDocument/2006/relationships/hyperlink" Target="https://www5.cao.go.jp/keizai1/keizaitaisaku/2020/20200420_economic_measures_all.pdf" TargetMode="External"/><Relationship Id="rId57" Type="http://schemas.openxmlformats.org/officeDocument/2006/relationships/hyperlink" Target="https://www.env.go.jp/en/earth/cc/adaptation.html" TargetMode="External"/><Relationship Id="rId58" Type="http://schemas.openxmlformats.org/officeDocument/2006/relationships/hyperlink" Target="https://asia.nikkei.com/Business/Transportation/Virus-hit-Korean-Air-and-Asiana-offered-2bn-bailout%20Accessed%207%20July%202020" TargetMode="External"/><Relationship Id="rId59" Type="http://schemas.openxmlformats.org/officeDocument/2006/relationships/hyperlink" Target="https://treasury.govt.nz/system/files/2020-05/b20-sum-initiatives-crrf.pdf" TargetMode="External"/><Relationship Id="rId60" Type="http://schemas.openxmlformats.org/officeDocument/2006/relationships/hyperlink" Target="https://www.gov.pl/web/tarczaantykryzysowa/nowe-terminy" TargetMode="External"/><Relationship Id="rId61" Type="http://schemas.openxmlformats.org/officeDocument/2006/relationships/hyperlink" Target="https://dziennikustaw.gov.pl/D2020000069501.pdfhttps:/wyborcza.pl/7,155287,25821533,sa-juz-gotowe-projekty-ustaw-o-pomocy-pracownikom-i-firmom.html" TargetMode="External"/><Relationship Id="rId62" Type="http://schemas.openxmlformats.org/officeDocument/2006/relationships/hyperlink" Target="http://www.ekodotacje.ios.edu.pl/" TargetMode="External"/><Relationship Id="rId63" Type="http://schemas.openxmlformats.org/officeDocument/2006/relationships/hyperlink" Target="https://www.rockefellerfoundation.org/report/city-resilience-framework/" TargetMode="External"/><Relationship Id="rId64" Type="http://schemas.openxmlformats.org/officeDocument/2006/relationships/hyperlink" Target="http://www.nfosigw.gov.pl/" TargetMode="External"/><Relationship Id="rId65" Type="http://schemas.openxmlformats.org/officeDocument/2006/relationships/hyperlink" Target="https://www.gov.pl/web/klimat/ustawa-offshore-przyjeta-przez-senat" TargetMode="External"/><Relationship Id="rId66" Type="http://schemas.openxmlformats.org/officeDocument/2006/relationships/hyperlink" Target="https://www.gov.pl/web/fundusze-regiony/konkurs-dotacji-w-ramach-partnerskiej-inicjatywy-miast-dla-sieci-pilotazowych-w-latach-2017--2019" TargetMode="External"/><Relationship Id="rId67" Type="http://schemas.openxmlformats.org/officeDocument/2006/relationships/hyperlink" Target="https://www.swissinfo.ch/eng/sign-off-session_swiss-parliament-extends-coronavirus-relief-package/45737938" TargetMode="External"/><Relationship Id="rId68" Type="http://schemas.openxmlformats.org/officeDocument/2006/relationships/hyperlink" Target="https://www.gov.uk/government/publications/the-ten-point-plan-for-a-green-industrial-revolution/title" TargetMode="External"/><Relationship Id="rId69" Type="http://schemas.openxmlformats.org/officeDocument/2006/relationships/hyperlink" Target="https://www.gov.uk/government/publications/policy-design-of-the-uk-infrastructure-bank" TargetMode="External"/><Relationship Id="rId70" Type="http://schemas.openxmlformats.org/officeDocument/2006/relationships/hyperlink" Target="https://assets.publishing.service.gov.uk/government/uploads/system/uploads/attachment_data/file/963166/Supplementary_Estimates_2020-21_web.pdf" TargetMode="External"/><Relationship Id="rId71" Type="http://schemas.openxmlformats.org/officeDocument/2006/relationships/hyperlink" Target="https://www.gov.uk/government/news/735-million-to-boost-green-economic-recovery-in-automotive-sector" TargetMode="External"/><Relationship Id="rId72" Type="http://schemas.openxmlformats.org/officeDocument/2006/relationships/hyperlink" Target="https://www.gov.uk/government/news/government-boosts-energy-efficiency-spending-to-13-billion-with-extra-funding-for-green-homes" TargetMode="External"/><Relationship Id="rId73" Type="http://schemas.openxmlformats.org/officeDocument/2006/relationships/hyperlink" Target="https://assets.publishing.service.gov.uk/government/uploads/system/uploads/attachment_data/file/966868/BUDGET_2021_-_web.pdf" TargetMode="External"/><Relationship Id="rId74" Type="http://schemas.openxmlformats.org/officeDocument/2006/relationships/hyperlink" Target="https://assets.publishing.service.gov.uk/government/uploads/system/uploads/attachment_data/file/966868/BUDGET_2021_-_web.pdf" TargetMode="External"/><Relationship Id="rId75" Type="http://schemas.openxmlformats.org/officeDocument/2006/relationships/hyperlink" Target="https://assets.publishing.service.gov.uk/government/uploads/system/uploads/attachment_data/file/966868/BUDGET_2021_-_web.pdf" TargetMode="External"/><Relationship Id="rId76" Type="http://schemas.openxmlformats.org/officeDocument/2006/relationships/hyperlink" Target="https://www.gov.uk/government/publications/green-homes-grant-local-authority-delivery-scheme-entering-a-bid" TargetMode="External"/><Relationship Id="rId77" Type="http://schemas.openxmlformats.org/officeDocument/2006/relationships/hyperlink" Target="https://www.epa.gov/sites/production/files/2020-06/documents/covid19addendumontermination.pdf" TargetMode="External"/><Relationship Id="rId78" Type="http://schemas.openxmlformats.org/officeDocument/2006/relationships/hyperlink" Target="https://www.epa.gov/sites/production/files/2020-06/documents/covid19addendumontermination.pdf" TargetMode="External"/><Relationship Id="rId79" Type="http://schemas.openxmlformats.org/officeDocument/2006/relationships/hyperlink" Target="https://www.federalregister.gov/documents/2020/06/09/2020-12584/accelerating-the-nations-economic-recovery-from-the-covid-19-emergency-by-expediting-infrastructure" TargetMode="External"/><Relationship Id="rId80" Type="http://schemas.openxmlformats.org/officeDocument/2006/relationships/hyperlink" Target="https://www.nytimes.com/2020/06/01/climate/trump-clean-water-pipelines.html?smid=tw-share" TargetMode="External"/><Relationship Id="rId81" Type="http://schemas.openxmlformats.org/officeDocument/2006/relationships/hyperlink" Target="https://www.onegreenplanet.org/environment/21-states-sue-trump-administration-for-rollback-of-nepa/" TargetMode="External"/><Relationship Id="rId82" Type="http://schemas.openxmlformats.org/officeDocument/2006/relationships/hyperlink" Target="https://www.whitehouse.gov/presidential-actions/executive-order-regulatory-relief-support-economic-recovery/" TargetMode="External"/><Relationship Id="rId83" Type="http://schemas.openxmlformats.org/officeDocument/2006/relationships/hyperlink" Target="https://www.irs.gov/newsroom/treasury-irs-provide-safe-harbor-for-taxpayers-that-develop-renewable-energy-projects" TargetMode="External"/><Relationship Id="rId84" Type="http://schemas.openxmlformats.org/officeDocument/2006/relationships/hyperlink" Target="https://www.renewableenergymagazine.com/wind/new-american-wind-power-total-capacity-over-20200817" TargetMode="External"/><Relationship Id="rId85" Type="http://schemas.openxmlformats.org/officeDocument/2006/relationships/hyperlink" Target="https://www.energy.gov/articles/doe-announces-intent-provide-122m-establish-coal-products-innovation-centers" TargetMode="External"/><Relationship Id="rId86" Type="http://schemas.openxmlformats.org/officeDocument/2006/relationships/hyperlink" Target="https://www.reuters.com/article/us-usa-energy-carboncapture/u-s-treasury-unveils-rules-for-carbon-capture-tax-credits-idUSKBN2352S6" TargetMode="External"/><Relationship Id="rId87" Type="http://schemas.openxmlformats.org/officeDocument/2006/relationships/hyperlink" Target="https://www.cpapracticeadvisor.com/tax-compliance/news/21151392/what-does-irs-treasury-carbon-capture-tax-credit-guidance-mean-for-future-energy-production" TargetMode="External"/><Relationship Id="rId88" Type="http://schemas.openxmlformats.org/officeDocument/2006/relationships/hyperlink" Target="https://www.reuters.com/article/us-usa-interior-renewables/trump-admin-slaps-solar-wind-operators-with-retroactive-rent-bills-idUSKBN22U0FW" TargetMode="External"/><Relationship Id="rId89" Type="http://schemas.openxmlformats.org/officeDocument/2006/relationships/hyperlink" Target="https://www.dol.gov/newsroom/releases/eta/eta20200310" TargetMode="External"/><Relationship Id="rId90" Type="http://schemas.openxmlformats.org/officeDocument/2006/relationships/hyperlink" Target="https://www.congress.gov/bill/116th-congress/senate-bill/3779" TargetMode="External"/><Relationship Id="rId91" Type="http://schemas.openxmlformats.org/officeDocument/2006/relationships/hyperlink" Target="https://www.governor.ny.gov/news/governor-cuomo-announces-nation-leading-initiatives-expand-electric-vehicle-use-combat-climate" TargetMode="External"/><Relationship Id="rId92" Type="http://schemas.openxmlformats.org/officeDocument/2006/relationships/hyperlink" Target="https://www.energy.ca.gov/news/2020-05/geothermal-lithium-recovery-projects-get-boost-california-energy-commission" TargetMode="External"/><Relationship Id="rId93" Type="http://schemas.openxmlformats.org/officeDocument/2006/relationships/hyperlink" Target="https://news.bloombergtax.com/daily-tax-report/u-s-treasury-extends-deadlines-for-renewable-energy-projects" TargetMode="External"/><Relationship Id="rId94" Type="http://schemas.openxmlformats.org/officeDocument/2006/relationships/hyperlink" Target="https://www.congress.gov/bill/116th-congress/senate-bill/3779" TargetMode="External"/><Relationship Id="rId95" Type="http://schemas.openxmlformats.org/officeDocument/2006/relationships/hyperlink" Target="https://joebiden.com/BeyondHS/" TargetMode="External"/><Relationship Id="rId96" Type="http://schemas.openxmlformats.org/officeDocument/2006/relationships/hyperlink" Target="https://www.vivideconomics.com/wp-content/uploads/2020/07/GreenStimulusIndex14July.pdf" TargetMode="External"/><Relationship Id="rId97" Type="http://schemas.openxmlformats.org/officeDocument/2006/relationships/hyperlink" Target="https://www.ft.com/content/4d3d88c8-7eb6-4d06-bec0-c0ca8d91a045" TargetMode="External"/><Relationship Id="rId98" Type="http://schemas.openxmlformats.org/officeDocument/2006/relationships/hyperlink" Target="https://www.bloomberg.com/news/articles/2020-04-15/u-s-weighs-paying-drillers-to-leave-oil-in-the-ground-amid-glut?sref=HeRxKWIM" TargetMode="External"/><Relationship Id="rId99" Type="http://schemas.openxmlformats.org/officeDocument/2006/relationships/hyperlink" Target="https://oilprice.com/Energy/Crude-Oil/The-Cowboy-State-Looks-To-Stimulate-Oil-Drilling-With-Tax-Cuts.html" TargetMode="External"/><Relationship Id="rId100" Type="http://schemas.openxmlformats.org/officeDocument/2006/relationships/hyperlink" Target="https://eplanning.blm.gov/public_projects/102555/200241580/20024135/250030339/Coastal%20Plain%20Record%20of%20Decision.pdf" TargetMode="External"/><Relationship Id="rId101" Type="http://schemas.openxmlformats.org/officeDocument/2006/relationships/hyperlink" Target="https://www.legis.state.pa.us/cfdocs/billInfo/billInfo.cfm?sYear=2019&amp;sInd=0&amp;body=H&amp;type=B&amp;bn=732" TargetMode="External"/><Relationship Id="rId102" Type="http://schemas.openxmlformats.org/officeDocument/2006/relationships/hyperlink" Target="https://agenciadenoticias.bndes.gov.br/detalhe/noticia/Fundo-para-eficiencia-energetica-do-BNDES-recebera-aporte-de-R$-30-milhoes-do-Procel/" TargetMode="External"/><Relationship Id="rId103" Type="http://schemas.openxmlformats.org/officeDocument/2006/relationships/hyperlink" Target="https://www.gov.br/anp/pt-br/canais_atendimento/imprensa/noticias-comunicados/reducao-de-royalties-para-empresas-de-pequeno-e-medio-portes-e-tema-de-workshop-1" TargetMode="External"/><Relationship Id="rId104" Type="http://schemas.openxmlformats.org/officeDocument/2006/relationships/hyperlink" Target="https://www.gov.br/casacivil/pt-br/assuntos/noticias/2020/junho/mais-luz-para-a-amazonia-manual-de-operacionalizacao-do-programa-e-aprovado" TargetMode="External"/><Relationship Id="rId105" Type="http://schemas.openxmlformats.org/officeDocument/2006/relationships/hyperlink" Target="https://www.demarest.com.br/wp-content/uploads/2020/06/Boletim-Energia-Junho-2020-Demarest-Advogados_.pdf" TargetMode="External"/><Relationship Id="rId106" Type="http://schemas.openxmlformats.org/officeDocument/2006/relationships/hyperlink" Target="https://www.iea.org/reports/sustainable-recovery/a-sustainable-recovery-plan-for-the-energy-sector" TargetMode="External"/><Relationship Id="rId107" Type="http://schemas.openxmlformats.org/officeDocument/2006/relationships/hyperlink" Target="http://www.mme.gov.br/web/guest/todas-as-noticias/-/asset_publisher/pdAS9IcdBICN/content/73-leilao-de-biodiesel-negocia-1-19-bilhao-de-litros?inheritRedirect=false&amp;redirect=" TargetMode="External"/><Relationship Id="rId108" Type="http://schemas.openxmlformats.org/officeDocument/2006/relationships/hyperlink" Target="https://www.gov.br/mma/pt-br/noticias/mma-institui-programa-floresta-para-remunerar-quem-protege-a-mata-nativa" TargetMode="External"/><Relationship Id="rId109" Type="http://schemas.openxmlformats.org/officeDocument/2006/relationships/hyperlink" Target="https://www25.senado.leg.br/web/atividade/materias/-/materia/126049" TargetMode="External"/><Relationship Id="rId110" Type="http://schemas.openxmlformats.org/officeDocument/2006/relationships/hyperlink" Target="https://antigo.mma.gov.br/agenda-ambiental-urbana/res&#237;duos-s&#243;lidos.html" TargetMode="External"/><Relationship Id="rId111" Type="http://schemas.openxmlformats.org/officeDocument/2006/relationships/hyperlink" Target="https://www.camara.leg.br/noticias/721368-sancionada-lei-de-pagamento-por-servicos-ambientais/" TargetMode="External"/><Relationship Id="rId112" Type="http://schemas.openxmlformats.org/officeDocument/2006/relationships/hyperlink" Target="https://www.euractiv.com/section/energy-environment/news/eu-does-not-exclude-funding-gas-highways-under-green-recovery-plan/" TargetMode="External"/><Relationship Id="rId113" Type="http://schemas.openxmlformats.org/officeDocument/2006/relationships/hyperlink" Target="https://www.gov.br/casacivil/pt-br/assuntos/noticias/2020/outubro/decreto-institui-a-estrategia-federal-de-desenvolvimento-para-o-brasil-ate-2031" TargetMode="External"/><Relationship Id="rId114" Type="http://schemas.openxmlformats.org/officeDocument/2006/relationships/hyperlink" Target="https://www.camara.leg.br/proposicoesWeb/fichadetramitacao?idProposicao=257161" TargetMode="External"/><Relationship Id="rId115" Type="http://schemas.openxmlformats.org/officeDocument/2006/relationships/hyperlink" Target="https://www25.senado.leg.br/web/atividade/materias/-/materia/111929" TargetMode="External"/><Relationship Id="rId116" Type="http://schemas.openxmlformats.org/officeDocument/2006/relationships/hyperlink" Target="https://www.ndrc.gov.cn/xxgk/zcfb/tz/202103/t20210304_1268929.html" TargetMode="External"/><Relationship Id="rId117" Type="http://schemas.openxmlformats.org/officeDocument/2006/relationships/hyperlink" Target="https://pmg.org.za/committee-meeting/30523/" TargetMode="External"/><Relationship Id="rId118" Type="http://schemas.openxmlformats.org/officeDocument/2006/relationships/hyperlink" Target="https://www.tralac.org/documents/news/3777-sustainable-infrastructure-development-symposium-south-africa-sidssa-23-june-2020/file.html" TargetMode="External"/><Relationship Id="rId119" Type="http://schemas.openxmlformats.org/officeDocument/2006/relationships/hyperlink" Target="http://www.treasury.gov.za/comm_media/press/2020/20200423%20Media%20statement%20-%20Further%20tax%20measures%20to%20combat%20COVID-19.pdf%20;" TargetMode="External"/><Relationship Id="rId120" Type="http://schemas.openxmlformats.org/officeDocument/2006/relationships/hyperlink" Target="https://www.environment.gov.za/speech/sotyu_onlinesustainabilitysummit2020" TargetMode="External"/><Relationship Id="rId121" Type="http://schemas.openxmlformats.org/officeDocument/2006/relationships/hyperlink" Target="https://www.environment.gov.za/speech/sotyu_onlinesustainabilitysummit2020" TargetMode="External"/><Relationship Id="rId122" Type="http://schemas.openxmlformats.org/officeDocument/2006/relationships/drawing" Target="../drawings/drawing1.xml"/><Relationship Id="rId12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7" activeCellId="1" sqref="J666 B17"/>
    </sheetView>
  </sheetViews>
  <sheetFormatPr defaultColWidth="8.515625" defaultRowHeight="12.5" zeroHeight="false" outlineLevelRow="0" outlineLevelCol="0"/>
  <cols>
    <col collapsed="false" customWidth="true" hidden="false" outlineLevel="0" max="1" min="1" style="1" width="12.37"/>
    <col collapsed="false" customWidth="true" hidden="false" outlineLevel="0" max="2" min="2" style="2" width="16.09"/>
    <col collapsed="false" customWidth="true" hidden="false" outlineLevel="0" max="3" min="3" style="3" width="37.91"/>
  </cols>
  <sheetData>
    <row r="1" customFormat="false" ht="12.5" hidden="false" customHeight="false" outlineLevel="0" collapsed="false">
      <c r="A1" s="4" t="s">
        <v>0</v>
      </c>
    </row>
    <row r="2" customFormat="false" ht="12.5" hidden="false" customHeight="false" outlineLevel="0" collapsed="false">
      <c r="A2" s="4"/>
    </row>
    <row r="3" customFormat="false" ht="13" hidden="false" customHeight="false" outlineLevel="0" collapsed="false">
      <c r="A3" s="5" t="s">
        <v>1</v>
      </c>
      <c r="B3" s="6" t="s">
        <v>2</v>
      </c>
      <c r="C3" s="7" t="s">
        <v>3</v>
      </c>
    </row>
    <row r="4" customFormat="false" ht="12.5" hidden="false" customHeight="false" outlineLevel="0" collapsed="false">
      <c r="A4" s="1" t="s">
        <v>4</v>
      </c>
      <c r="B4" s="8" t="s">
        <v>5</v>
      </c>
      <c r="C4" s="3" t="s">
        <v>6</v>
      </c>
    </row>
    <row r="5" customFormat="false" ht="12.5" hidden="false" customHeight="false" outlineLevel="0" collapsed="false">
      <c r="A5" s="1" t="s">
        <v>7</v>
      </c>
      <c r="B5" s="9" t="s">
        <v>8</v>
      </c>
      <c r="C5" s="3" t="s">
        <v>9</v>
      </c>
    </row>
    <row r="6" customFormat="false" ht="12.5" hidden="false" customHeight="false" outlineLevel="0" collapsed="false">
      <c r="A6" s="1" t="s">
        <v>10</v>
      </c>
      <c r="B6" s="10" t="s">
        <v>11</v>
      </c>
      <c r="C6" s="3" t="s">
        <v>12</v>
      </c>
    </row>
    <row r="7" customFormat="false" ht="12.5" hidden="false" customHeight="false" outlineLevel="0" collapsed="false">
      <c r="A7" s="1" t="s">
        <v>13</v>
      </c>
      <c r="B7" s="8" t="s">
        <v>14</v>
      </c>
      <c r="C7" s="3" t="s">
        <v>15</v>
      </c>
    </row>
    <row r="8" customFormat="false" ht="12.5" hidden="false" customHeight="false" outlineLevel="0" collapsed="false">
      <c r="A8" s="1" t="s">
        <v>16</v>
      </c>
      <c r="B8" s="8" t="s">
        <v>17</v>
      </c>
      <c r="C8" s="3" t="s">
        <v>18</v>
      </c>
    </row>
    <row r="9" customFormat="false" ht="25" hidden="false" customHeight="false" outlineLevel="0" collapsed="false">
      <c r="A9" s="1" t="s">
        <v>19</v>
      </c>
      <c r="B9" s="8" t="s">
        <v>20</v>
      </c>
      <c r="C9" s="3" t="s">
        <v>21</v>
      </c>
    </row>
    <row r="10" customFormat="false" ht="23" hidden="false" customHeight="false" outlineLevel="0" collapsed="false">
      <c r="A10" s="1" t="s">
        <v>22</v>
      </c>
      <c r="B10" s="8" t="s">
        <v>23</v>
      </c>
      <c r="C10" s="3" t="s">
        <v>24</v>
      </c>
    </row>
    <row r="11" customFormat="false" ht="23" hidden="false" customHeight="true" outlineLevel="0" collapsed="false">
      <c r="A11" s="1" t="s">
        <v>25</v>
      </c>
      <c r="B11" s="8" t="s">
        <v>26</v>
      </c>
      <c r="C11" s="11" t="s">
        <v>27</v>
      </c>
    </row>
    <row r="12" customFormat="false" ht="23" hidden="false" customHeight="false" outlineLevel="0" collapsed="false">
      <c r="A12" s="1" t="s">
        <v>28</v>
      </c>
      <c r="B12" s="8" t="s">
        <v>29</v>
      </c>
      <c r="C12" s="11"/>
    </row>
    <row r="13" customFormat="false" ht="23" hidden="false" customHeight="false" outlineLevel="0" collapsed="false">
      <c r="A13" s="1" t="s">
        <v>30</v>
      </c>
      <c r="B13" s="8" t="s">
        <v>31</v>
      </c>
      <c r="C13" s="11"/>
    </row>
    <row r="14" customFormat="false" ht="12.5" hidden="false" customHeight="false" outlineLevel="0" collapsed="false">
      <c r="A14" s="1" t="s">
        <v>32</v>
      </c>
      <c r="B14" s="10" t="s">
        <v>33</v>
      </c>
      <c r="C14" s="3" t="s">
        <v>34</v>
      </c>
    </row>
    <row r="15" customFormat="false" ht="12.5" hidden="false" customHeight="true" outlineLevel="0" collapsed="false">
      <c r="A15" s="1" t="s">
        <v>35</v>
      </c>
      <c r="B15" s="8" t="s">
        <v>36</v>
      </c>
      <c r="C15" s="11" t="s">
        <v>37</v>
      </c>
    </row>
    <row r="16" customFormat="false" ht="12.5" hidden="false" customHeight="false" outlineLevel="0" collapsed="false">
      <c r="A16" s="1" t="s">
        <v>38</v>
      </c>
      <c r="B16" s="8" t="s">
        <v>39</v>
      </c>
      <c r="C16" s="11"/>
    </row>
    <row r="17" customFormat="false" ht="12.5" hidden="false" customHeight="false" outlineLevel="0" collapsed="false">
      <c r="A17" s="1" t="s">
        <v>40</v>
      </c>
      <c r="B17" s="8" t="s">
        <v>41</v>
      </c>
    </row>
    <row r="18" customFormat="false" ht="12.5" hidden="false" customHeight="false" outlineLevel="0" collapsed="false">
      <c r="A18" s="1" t="s">
        <v>42</v>
      </c>
      <c r="B18" s="12" t="s">
        <v>43</v>
      </c>
      <c r="C18" s="3" t="s">
        <v>44</v>
      </c>
    </row>
    <row r="19" customFormat="false" ht="12.5" hidden="false" customHeight="true" outlineLevel="0" collapsed="false">
      <c r="A19" s="1" t="s">
        <v>45</v>
      </c>
      <c r="B19" s="8" t="s">
        <v>46</v>
      </c>
      <c r="C19" s="11" t="s">
        <v>47</v>
      </c>
    </row>
    <row r="20" customFormat="false" ht="23" hidden="false" customHeight="false" outlineLevel="0" collapsed="false">
      <c r="A20" s="1" t="s">
        <v>48</v>
      </c>
      <c r="B20" s="13" t="s">
        <v>49</v>
      </c>
      <c r="C20" s="11"/>
    </row>
    <row r="21" customFormat="false" ht="23" hidden="false" customHeight="false" outlineLevel="0" collapsed="false">
      <c r="A21" s="1" t="s">
        <v>50</v>
      </c>
      <c r="B21" s="14" t="s">
        <v>51</v>
      </c>
      <c r="C21" s="11"/>
    </row>
  </sheetData>
  <mergeCells count="3">
    <mergeCell ref="C11:C13"/>
    <mergeCell ref="C15:C16"/>
    <mergeCell ref="C19:C2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878"/>
  <sheetViews>
    <sheetView showFormulas="false" showGridLines="true" showRowColHeaders="true" showZeros="true" rightToLeft="false" tabSelected="true" showOutlineSymbols="true" defaultGridColor="true" view="normal" topLeftCell="A1" colorId="64" zoomScale="60" zoomScaleNormal="60" zoomScalePageLayoutView="100" workbookViewId="0">
      <pane xSplit="2" ySplit="1" topLeftCell="C643" activePane="bottomRight" state="frozen"/>
      <selection pane="topLeft" activeCell="A1" activeCellId="0" sqref="A1"/>
      <selection pane="topRight" activeCell="C1" activeCellId="0" sqref="C1"/>
      <selection pane="bottomLeft" activeCell="A643" activeCellId="0" sqref="A643"/>
      <selection pane="bottomRight" activeCell="J666" activeCellId="0" sqref="J666"/>
    </sheetView>
  </sheetViews>
  <sheetFormatPr defaultColWidth="8.921875" defaultRowHeight="11.5" zeroHeight="false" outlineLevelRow="0" outlineLevelCol="0"/>
  <cols>
    <col collapsed="false" customWidth="true" hidden="false" outlineLevel="0" max="1" min="1" style="15" width="7.18"/>
    <col collapsed="false" customWidth="true" hidden="false" outlineLevel="0" max="2" min="2" style="15" width="5.55"/>
    <col collapsed="false" customWidth="true" hidden="false" outlineLevel="0" max="3" min="3" style="15" width="20.45"/>
    <col collapsed="false" customWidth="false" hidden="false" outlineLevel="0" max="4" min="4" style="15" width="8.91"/>
    <col collapsed="false" customWidth="true" hidden="false" outlineLevel="0" max="5" min="5" style="15" width="13.9"/>
    <col collapsed="false" customWidth="true" hidden="false" outlineLevel="0" max="6" min="6" style="15" width="13.36"/>
    <col collapsed="false" customWidth="true" hidden="false" outlineLevel="0" max="9" min="7" style="15" width="12.55"/>
    <col collapsed="false" customWidth="true" hidden="false" outlineLevel="0" max="10" min="10" style="15" width="72.45"/>
    <col collapsed="false" customWidth="true" hidden="false" outlineLevel="0" max="11" min="11" style="15" width="34.36"/>
    <col collapsed="false" customWidth="true" hidden="false" outlineLevel="0" max="12" min="12" style="15" width="12.18"/>
    <col collapsed="false" customWidth="true" hidden="false" outlineLevel="0" max="13" min="13" style="15" width="25.91"/>
    <col collapsed="false" customWidth="true" hidden="false" outlineLevel="0" max="14" min="14" style="15" width="5.55"/>
    <col collapsed="false" customWidth="true" hidden="false" outlineLevel="0" max="15" min="15" style="16" width="10.54"/>
    <col collapsed="false" customWidth="true" hidden="false" outlineLevel="0" max="16" min="16" style="15" width="13.82"/>
    <col collapsed="false" customWidth="true" hidden="false" outlineLevel="0" max="17" min="17" style="17" width="16.63"/>
    <col collapsed="false" customWidth="true" hidden="false" outlineLevel="0" max="18" min="18" style="17" width="19.46"/>
    <col collapsed="false" customWidth="true" hidden="true" outlineLevel="0" max="20" min="19" style="15" width="15"/>
    <col collapsed="false" customWidth="true" hidden="true" outlineLevel="0" max="22" min="21" style="15" width="11.52"/>
    <col collapsed="false" customWidth="false" hidden="false" outlineLevel="0" max="1024" min="23" style="15" width="8.91"/>
  </cols>
  <sheetData>
    <row r="1" customFormat="false" ht="31" hidden="false" customHeight="true" outlineLevel="0" collapsed="false">
      <c r="A1" s="18" t="s">
        <v>5</v>
      </c>
      <c r="B1" s="19" t="s">
        <v>8</v>
      </c>
      <c r="C1" s="20" t="s">
        <v>11</v>
      </c>
      <c r="D1" s="18" t="s">
        <v>14</v>
      </c>
      <c r="E1" s="18" t="s">
        <v>17</v>
      </c>
      <c r="F1" s="18" t="s">
        <v>20</v>
      </c>
      <c r="G1" s="21" t="s">
        <v>26</v>
      </c>
      <c r="H1" s="21" t="s">
        <v>29</v>
      </c>
      <c r="I1" s="21" t="s">
        <v>31</v>
      </c>
      <c r="J1" s="20" t="s">
        <v>33</v>
      </c>
      <c r="K1" s="21" t="s">
        <v>52</v>
      </c>
      <c r="L1" s="21" t="s">
        <v>39</v>
      </c>
      <c r="M1" s="22" t="s">
        <v>53</v>
      </c>
      <c r="N1" s="23" t="s">
        <v>41</v>
      </c>
      <c r="O1" s="24" t="s">
        <v>43</v>
      </c>
      <c r="P1" s="21" t="s">
        <v>54</v>
      </c>
      <c r="Q1" s="25" t="s">
        <v>54</v>
      </c>
      <c r="R1" s="26" t="s">
        <v>51</v>
      </c>
      <c r="S1" s="27" t="s">
        <v>55</v>
      </c>
    </row>
    <row r="2" customFormat="false" ht="13.25" hidden="false" customHeight="true" outlineLevel="0" collapsed="false">
      <c r="A2" s="15" t="s">
        <v>56</v>
      </c>
      <c r="B2" s="15" t="s">
        <v>57</v>
      </c>
      <c r="C2" s="15" t="s">
        <v>58</v>
      </c>
      <c r="D2" s="15" t="s">
        <v>59</v>
      </c>
      <c r="E2" s="15" t="s">
        <v>60</v>
      </c>
      <c r="F2" s="15" t="s">
        <v>61</v>
      </c>
      <c r="G2" s="15" t="s">
        <v>62</v>
      </c>
      <c r="J2" s="15" t="s">
        <v>63</v>
      </c>
      <c r="K2" s="15" t="s">
        <v>64</v>
      </c>
      <c r="M2" s="15" t="s">
        <v>65</v>
      </c>
      <c r="P2" s="15" t="s">
        <v>66</v>
      </c>
      <c r="Q2" s="17" t="n">
        <v>100</v>
      </c>
      <c r="R2" s="28" t="n">
        <f aca="false">IFERROR(Q2/VLOOKUP(P2,'Exchange rates to USD'!$L$2:$N$225,3,FALSE()),"")</f>
        <v>70.7021032604051</v>
      </c>
    </row>
    <row r="3" customFormat="false" ht="13.25" hidden="false" customHeight="true" outlineLevel="0" collapsed="false">
      <c r="A3" s="15" t="s">
        <v>67</v>
      </c>
      <c r="B3" s="15" t="s">
        <v>57</v>
      </c>
      <c r="C3" s="15" t="s">
        <v>58</v>
      </c>
      <c r="D3" s="15" t="s">
        <v>59</v>
      </c>
      <c r="E3" s="15" t="s">
        <v>60</v>
      </c>
      <c r="F3" s="15" t="s">
        <v>68</v>
      </c>
      <c r="G3" s="15" t="s">
        <v>62</v>
      </c>
      <c r="J3" s="15" t="s">
        <v>69</v>
      </c>
      <c r="K3" s="15" t="s">
        <v>64</v>
      </c>
      <c r="M3" s="15" t="s">
        <v>70</v>
      </c>
      <c r="P3" s="15" t="s">
        <v>66</v>
      </c>
      <c r="Q3" s="17" t="n">
        <v>198</v>
      </c>
      <c r="R3" s="28" t="n">
        <f aca="false">IFERROR(Q3/VLOOKUP(P3,'Exchange rates to USD'!$L$2:$N$225,3,FALSE()),"")</f>
        <v>139.990164455602</v>
      </c>
    </row>
    <row r="4" customFormat="false" ht="13.25" hidden="false" customHeight="true" outlineLevel="0" collapsed="false">
      <c r="A4" s="15" t="s">
        <v>71</v>
      </c>
      <c r="B4" s="15" t="s">
        <v>57</v>
      </c>
      <c r="C4" s="15" t="s">
        <v>58</v>
      </c>
      <c r="D4" s="15" t="s">
        <v>59</v>
      </c>
      <c r="E4" s="15" t="s">
        <v>60</v>
      </c>
      <c r="F4" s="15" t="s">
        <v>72</v>
      </c>
      <c r="G4" s="15" t="s">
        <v>62</v>
      </c>
      <c r="J4" s="15" t="s">
        <v>73</v>
      </c>
      <c r="K4" s="15" t="s">
        <v>64</v>
      </c>
      <c r="M4" s="15" t="s">
        <v>65</v>
      </c>
      <c r="P4" s="15" t="s">
        <v>66</v>
      </c>
      <c r="Q4" s="17" t="n">
        <v>110</v>
      </c>
      <c r="R4" s="28" t="n">
        <f aca="false">IFERROR(Q4/VLOOKUP(P4,'Exchange rates to USD'!$L$2:$N$225,3,FALSE()),"")</f>
        <v>77.7723135864456</v>
      </c>
    </row>
    <row r="5" customFormat="false" ht="13.25" hidden="false" customHeight="true" outlineLevel="0" collapsed="false">
      <c r="A5" s="15" t="s">
        <v>74</v>
      </c>
      <c r="B5" s="15" t="s">
        <v>57</v>
      </c>
      <c r="C5" s="15" t="s">
        <v>75</v>
      </c>
      <c r="D5" s="15" t="s">
        <v>59</v>
      </c>
      <c r="E5" s="15" t="s">
        <v>76</v>
      </c>
      <c r="G5" s="15" t="s">
        <v>77</v>
      </c>
      <c r="J5" s="15" t="s">
        <v>78</v>
      </c>
      <c r="K5" s="15" t="s">
        <v>64</v>
      </c>
      <c r="M5" s="15" t="s">
        <v>70</v>
      </c>
      <c r="R5" s="28" t="str">
        <f aca="false">IFERROR(Q5/VLOOKUP(P5,'Exchange rates to USD'!$L$2:$N$225,3,FALSE()),"")</f>
        <v/>
      </c>
    </row>
    <row r="6" customFormat="false" ht="13.25" hidden="false" customHeight="true" outlineLevel="0" collapsed="false">
      <c r="A6" s="15" t="s">
        <v>79</v>
      </c>
      <c r="B6" s="15" t="s">
        <v>57</v>
      </c>
      <c r="C6" s="15" t="s">
        <v>75</v>
      </c>
      <c r="D6" s="15" t="s">
        <v>80</v>
      </c>
      <c r="E6" s="15" t="s">
        <v>76</v>
      </c>
      <c r="F6" s="15" t="s">
        <v>81</v>
      </c>
      <c r="G6" s="15" t="s">
        <v>77</v>
      </c>
      <c r="J6" s="15" t="s">
        <v>82</v>
      </c>
      <c r="K6" s="15" t="s">
        <v>64</v>
      </c>
      <c r="M6" s="15" t="s">
        <v>70</v>
      </c>
      <c r="P6" s="15" t="s">
        <v>66</v>
      </c>
      <c r="Q6" s="17" t="n">
        <v>12</v>
      </c>
      <c r="R6" s="28" t="n">
        <f aca="false">IFERROR(Q6/VLOOKUP(P6,'Exchange rates to USD'!$L$2:$N$225,3,FALSE()),"")</f>
        <v>8.48425239124861</v>
      </c>
    </row>
    <row r="7" customFormat="false" ht="13.25" hidden="false" customHeight="true" outlineLevel="0" collapsed="false">
      <c r="A7" s="15" t="s">
        <v>83</v>
      </c>
      <c r="B7" s="15" t="s">
        <v>57</v>
      </c>
      <c r="C7" s="15" t="s">
        <v>75</v>
      </c>
      <c r="D7" s="15" t="s">
        <v>59</v>
      </c>
      <c r="E7" s="15" t="s">
        <v>76</v>
      </c>
      <c r="F7" s="15" t="s">
        <v>84</v>
      </c>
      <c r="G7" s="15" t="s">
        <v>77</v>
      </c>
      <c r="J7" s="15" t="s">
        <v>85</v>
      </c>
      <c r="K7" s="15" t="s">
        <v>64</v>
      </c>
      <c r="M7" s="15" t="s">
        <v>65</v>
      </c>
      <c r="P7" s="15" t="s">
        <v>66</v>
      </c>
      <c r="Q7" s="17" t="n">
        <v>8.1</v>
      </c>
      <c r="R7" s="28" t="n">
        <f aca="false">IFERROR(Q7/VLOOKUP(P7,'Exchange rates to USD'!$L$2:$N$225,3,FALSE()),"")</f>
        <v>5.72687036409281</v>
      </c>
    </row>
    <row r="8" customFormat="false" ht="13.25" hidden="false" customHeight="true" outlineLevel="0" collapsed="false">
      <c r="A8" s="15" t="s">
        <v>86</v>
      </c>
      <c r="B8" s="15" t="s">
        <v>57</v>
      </c>
      <c r="C8" s="15" t="s">
        <v>58</v>
      </c>
      <c r="D8" s="15" t="s">
        <v>59</v>
      </c>
      <c r="E8" s="15" t="s">
        <v>76</v>
      </c>
      <c r="F8" s="15" t="s">
        <v>87</v>
      </c>
      <c r="G8" s="15" t="s">
        <v>77</v>
      </c>
      <c r="J8" s="15" t="s">
        <v>88</v>
      </c>
      <c r="K8" s="15" t="s">
        <v>64</v>
      </c>
      <c r="M8" s="15" t="s">
        <v>70</v>
      </c>
      <c r="P8" s="15" t="s">
        <v>66</v>
      </c>
      <c r="Q8" s="17" t="n">
        <v>4</v>
      </c>
      <c r="R8" s="28" t="n">
        <f aca="false">IFERROR(Q8/VLOOKUP(P8,'Exchange rates to USD'!$L$2:$N$225,3,FALSE()),"")</f>
        <v>2.8280841304162</v>
      </c>
    </row>
    <row r="9" customFormat="false" ht="13.25" hidden="false" customHeight="true" outlineLevel="0" collapsed="false">
      <c r="A9" s="15" t="s">
        <v>89</v>
      </c>
      <c r="B9" s="15" t="s">
        <v>57</v>
      </c>
      <c r="C9" s="15" t="s">
        <v>58</v>
      </c>
      <c r="D9" s="15" t="s">
        <v>59</v>
      </c>
      <c r="E9" s="15" t="s">
        <v>90</v>
      </c>
      <c r="F9" s="15" t="s">
        <v>91</v>
      </c>
      <c r="G9" s="15" t="s">
        <v>77</v>
      </c>
      <c r="J9" s="15" t="s">
        <v>92</v>
      </c>
      <c r="K9" s="15" t="s">
        <v>64</v>
      </c>
      <c r="M9" s="15" t="s">
        <v>93</v>
      </c>
      <c r="P9" s="15" t="s">
        <v>66</v>
      </c>
      <c r="Q9" s="17" t="n">
        <v>10</v>
      </c>
      <c r="R9" s="28" t="n">
        <f aca="false">IFERROR(Q9/VLOOKUP(P9,'Exchange rates to USD'!$L$2:$N$225,3,FALSE()),"")</f>
        <v>7.07021032604051</v>
      </c>
    </row>
    <row r="10" customFormat="false" ht="13.25" hidden="false" customHeight="true" outlineLevel="0" collapsed="false">
      <c r="A10" s="15" t="s">
        <v>94</v>
      </c>
      <c r="B10" s="15" t="s">
        <v>57</v>
      </c>
      <c r="C10" s="15" t="s">
        <v>75</v>
      </c>
      <c r="D10" s="15" t="s">
        <v>59</v>
      </c>
      <c r="E10" s="15" t="s">
        <v>95</v>
      </c>
      <c r="G10" s="15" t="s">
        <v>96</v>
      </c>
      <c r="H10" s="15" t="s">
        <v>97</v>
      </c>
      <c r="J10" s="15" t="s">
        <v>98</v>
      </c>
      <c r="K10" s="15" t="s">
        <v>64</v>
      </c>
      <c r="M10" s="15" t="s">
        <v>93</v>
      </c>
      <c r="R10" s="28" t="str">
        <f aca="false">IFERROR(Q10/VLOOKUP(P10,'Exchange rates to USD'!$L$2:$N$225,3,FALSE()),"")</f>
        <v/>
      </c>
    </row>
    <row r="11" customFormat="false" ht="13.25" hidden="false" customHeight="true" outlineLevel="0" collapsed="false">
      <c r="A11" s="15" t="s">
        <v>99</v>
      </c>
      <c r="B11" s="15" t="s">
        <v>57</v>
      </c>
      <c r="C11" s="15" t="s">
        <v>58</v>
      </c>
      <c r="D11" s="15" t="s">
        <v>59</v>
      </c>
      <c r="E11" s="15" t="s">
        <v>60</v>
      </c>
      <c r="F11" s="15" t="s">
        <v>100</v>
      </c>
      <c r="G11" s="15" t="s">
        <v>62</v>
      </c>
      <c r="J11" s="15" t="s">
        <v>101</v>
      </c>
      <c r="K11" s="15" t="s">
        <v>102</v>
      </c>
      <c r="M11" s="15" t="s">
        <v>65</v>
      </c>
      <c r="P11" s="15" t="s">
        <v>66</v>
      </c>
      <c r="Q11" s="17" t="n">
        <v>715</v>
      </c>
      <c r="R11" s="28" t="n">
        <f aca="false">IFERROR(Q11/VLOOKUP(P11,'Exchange rates to USD'!$L$2:$N$225,3,FALSE()),"")</f>
        <v>505.520038311896</v>
      </c>
    </row>
    <row r="12" customFormat="false" ht="13.25" hidden="false" customHeight="true" outlineLevel="0" collapsed="false">
      <c r="A12" s="15" t="s">
        <v>103</v>
      </c>
      <c r="B12" s="15" t="s">
        <v>57</v>
      </c>
      <c r="C12" s="15" t="s">
        <v>58</v>
      </c>
      <c r="D12" s="15" t="s">
        <v>80</v>
      </c>
      <c r="E12" s="15" t="s">
        <v>76</v>
      </c>
      <c r="F12" s="15" t="s">
        <v>104</v>
      </c>
      <c r="G12" s="15" t="s">
        <v>105</v>
      </c>
      <c r="J12" s="15" t="s">
        <v>106</v>
      </c>
      <c r="K12" s="15" t="s">
        <v>102</v>
      </c>
      <c r="M12" s="15" t="s">
        <v>70</v>
      </c>
      <c r="P12" s="15" t="s">
        <v>66</v>
      </c>
      <c r="Q12" s="17" t="n">
        <v>1000</v>
      </c>
      <c r="R12" s="28" t="n">
        <f aca="false">IFERROR(Q12/VLOOKUP(P12,'Exchange rates to USD'!$L$2:$N$225,3,FALSE()),"")</f>
        <v>707.021032604051</v>
      </c>
    </row>
    <row r="13" customFormat="false" ht="13.25" hidden="false" customHeight="true" outlineLevel="0" collapsed="false">
      <c r="A13" s="15" t="s">
        <v>107</v>
      </c>
      <c r="B13" s="15" t="s">
        <v>57</v>
      </c>
      <c r="C13" s="15" t="s">
        <v>58</v>
      </c>
      <c r="D13" s="15" t="s">
        <v>108</v>
      </c>
      <c r="E13" s="15" t="s">
        <v>76</v>
      </c>
      <c r="F13" s="15" t="s">
        <v>109</v>
      </c>
      <c r="G13" s="15" t="s">
        <v>62</v>
      </c>
      <c r="H13" s="15" t="s">
        <v>110</v>
      </c>
      <c r="I13" s="15" t="s">
        <v>105</v>
      </c>
      <c r="J13" s="15" t="s">
        <v>111</v>
      </c>
      <c r="K13" s="15" t="s">
        <v>112</v>
      </c>
      <c r="M13" s="15" t="s">
        <v>113</v>
      </c>
      <c r="P13" s="15" t="s">
        <v>66</v>
      </c>
      <c r="Q13" s="17" t="n">
        <v>51800</v>
      </c>
      <c r="R13" s="28" t="n">
        <f aca="false">IFERROR(Q13/VLOOKUP(P13,'Exchange rates to USD'!$L$2:$N$225,3,FALSE()),"")</f>
        <v>36623.6894888898</v>
      </c>
    </row>
    <row r="14" s="35" customFormat="true" ht="13.25" hidden="false" customHeight="true" outlineLevel="0" collapsed="false">
      <c r="A14" s="15" t="s">
        <v>114</v>
      </c>
      <c r="B14" s="15" t="s">
        <v>57</v>
      </c>
      <c r="C14" s="29" t="s">
        <v>58</v>
      </c>
      <c r="D14" s="29" t="s">
        <v>115</v>
      </c>
      <c r="E14" s="29" t="s">
        <v>116</v>
      </c>
      <c r="F14" s="30"/>
      <c r="G14" s="31" t="s">
        <v>77</v>
      </c>
      <c r="H14" s="32"/>
      <c r="I14" s="32"/>
      <c r="J14" s="29" t="s">
        <v>117</v>
      </c>
      <c r="K14" s="33" t="s">
        <v>118</v>
      </c>
      <c r="L14" s="34" t="s">
        <v>119</v>
      </c>
      <c r="M14" s="32" t="s">
        <v>70</v>
      </c>
      <c r="O14" s="36" t="n">
        <v>44260</v>
      </c>
      <c r="Q14" s="37"/>
      <c r="R14" s="38"/>
      <c r="S14" s="35" t="s">
        <v>120</v>
      </c>
      <c r="U14" s="15"/>
      <c r="V14" s="15"/>
      <c r="W14" s="15"/>
    </row>
    <row r="15" customFormat="false" ht="13.25" hidden="false" customHeight="true" outlineLevel="0" collapsed="false">
      <c r="A15" s="15" t="s">
        <v>121</v>
      </c>
      <c r="B15" s="15" t="s">
        <v>57</v>
      </c>
      <c r="C15" s="39" t="s">
        <v>122</v>
      </c>
      <c r="D15" s="39" t="s">
        <v>115</v>
      </c>
      <c r="E15" s="39" t="s">
        <v>123</v>
      </c>
      <c r="F15" s="39" t="s">
        <v>124</v>
      </c>
      <c r="G15" s="39" t="s">
        <v>105</v>
      </c>
      <c r="H15" s="39"/>
      <c r="I15" s="39"/>
      <c r="J15" s="29" t="s">
        <v>125</v>
      </c>
      <c r="K15" s="34" t="s">
        <v>126</v>
      </c>
      <c r="L15" s="40"/>
      <c r="M15" s="39" t="s">
        <v>70</v>
      </c>
      <c r="N15" s="35"/>
      <c r="O15" s="36" t="n">
        <v>44294</v>
      </c>
      <c r="P15" s="35" t="s">
        <v>66</v>
      </c>
      <c r="Q15" s="41" t="n">
        <v>14.4</v>
      </c>
      <c r="R15" s="38" t="n">
        <f aca="false">IFERROR(Q15/VLOOKUP(P15,'Exchange rates to USD'!$L$2:$N$225,3,FALSE()),"")</f>
        <v>10.1811028694983</v>
      </c>
    </row>
    <row r="16" customFormat="false" ht="13.25" hidden="false" customHeight="true" outlineLevel="0" collapsed="false">
      <c r="A16" s="15" t="s">
        <v>127</v>
      </c>
      <c r="B16" s="15" t="s">
        <v>57</v>
      </c>
      <c r="C16" s="39" t="s">
        <v>105</v>
      </c>
      <c r="D16" s="39" t="s">
        <v>115</v>
      </c>
      <c r="E16" s="39" t="s">
        <v>116</v>
      </c>
      <c r="F16" s="42" t="s">
        <v>128</v>
      </c>
      <c r="G16" s="39" t="s">
        <v>77</v>
      </c>
      <c r="H16" s="39"/>
      <c r="I16" s="39"/>
      <c r="J16" s="29" t="s">
        <v>129</v>
      </c>
      <c r="K16" s="40" t="s">
        <v>130</v>
      </c>
      <c r="L16" s="40"/>
      <c r="M16" s="39" t="s">
        <v>70</v>
      </c>
      <c r="N16" s="35"/>
      <c r="O16" s="36" t="n">
        <v>44294</v>
      </c>
      <c r="P16" s="35" t="s">
        <v>66</v>
      </c>
      <c r="Q16" s="41" t="n">
        <v>40.6</v>
      </c>
      <c r="R16" s="38" t="n">
        <f aca="false">IFERROR(Q16/VLOOKUP(P16,'Exchange rates to USD'!$L$2:$N$225,3,FALSE()),"")</f>
        <v>28.7050539237245</v>
      </c>
    </row>
    <row r="17" customFormat="false" ht="13.25" hidden="false" customHeight="true" outlineLevel="0" collapsed="false">
      <c r="A17" s="15" t="s">
        <v>131</v>
      </c>
      <c r="B17" s="15" t="s">
        <v>57</v>
      </c>
      <c r="C17" s="39" t="s">
        <v>58</v>
      </c>
      <c r="D17" s="39" t="s">
        <v>115</v>
      </c>
      <c r="E17" s="39" t="s">
        <v>76</v>
      </c>
      <c r="F17" s="42" t="s">
        <v>132</v>
      </c>
      <c r="G17" s="39" t="s">
        <v>77</v>
      </c>
      <c r="H17" s="39" t="s">
        <v>97</v>
      </c>
      <c r="I17" s="39"/>
      <c r="J17" s="29" t="s">
        <v>133</v>
      </c>
      <c r="K17" s="40" t="s">
        <v>130</v>
      </c>
      <c r="L17" s="40"/>
      <c r="M17" s="39" t="s">
        <v>70</v>
      </c>
      <c r="N17" s="35"/>
      <c r="O17" s="36" t="n">
        <v>44294</v>
      </c>
      <c r="P17" s="35" t="s">
        <v>66</v>
      </c>
      <c r="Q17" s="41" t="n">
        <v>3.2</v>
      </c>
      <c r="R17" s="38" t="n">
        <f aca="false">IFERROR(Q17/VLOOKUP(P17,'Exchange rates to USD'!$L$2:$N$225,3,FALSE()),"")</f>
        <v>2.26246730433296</v>
      </c>
    </row>
    <row r="18" customFormat="false" ht="13.25" hidden="false" customHeight="true" outlineLevel="0" collapsed="false">
      <c r="A18" s="15" t="s">
        <v>134</v>
      </c>
      <c r="B18" s="15" t="s">
        <v>57</v>
      </c>
      <c r="C18" s="39" t="s">
        <v>58</v>
      </c>
      <c r="D18" s="39" t="s">
        <v>115</v>
      </c>
      <c r="E18" s="39" t="s">
        <v>76</v>
      </c>
      <c r="F18" s="42" t="s">
        <v>135</v>
      </c>
      <c r="G18" s="39" t="s">
        <v>105</v>
      </c>
      <c r="H18" s="39" t="s">
        <v>77</v>
      </c>
      <c r="I18" s="39"/>
      <c r="J18" s="29" t="s">
        <v>136</v>
      </c>
      <c r="K18" s="34" t="s">
        <v>130</v>
      </c>
      <c r="L18" s="40"/>
      <c r="M18" s="39" t="s">
        <v>70</v>
      </c>
      <c r="N18" s="35"/>
      <c r="O18" s="36" t="n">
        <v>44294</v>
      </c>
      <c r="P18" s="35" t="s">
        <v>66</v>
      </c>
      <c r="Q18" s="41" t="n">
        <v>5.5</v>
      </c>
      <c r="R18" s="38" t="n">
        <f aca="false">IFERROR(Q18/VLOOKUP(P18,'Exchange rates to USD'!$L$2:$N$225,3,FALSE()),"")</f>
        <v>3.88861567932228</v>
      </c>
    </row>
    <row r="19" customFormat="false" ht="13.25" hidden="false" customHeight="true" outlineLevel="0" collapsed="false">
      <c r="A19" s="15" t="s">
        <v>137</v>
      </c>
      <c r="B19" s="15" t="s">
        <v>57</v>
      </c>
      <c r="C19" s="39" t="s">
        <v>138</v>
      </c>
      <c r="D19" s="39" t="s">
        <v>115</v>
      </c>
      <c r="E19" s="39" t="s">
        <v>76</v>
      </c>
      <c r="F19" s="42" t="s">
        <v>139</v>
      </c>
      <c r="G19" s="39" t="s">
        <v>105</v>
      </c>
      <c r="H19" s="39" t="s">
        <v>77</v>
      </c>
      <c r="I19" s="39"/>
      <c r="J19" s="29" t="s">
        <v>140</v>
      </c>
      <c r="K19" s="40" t="s">
        <v>130</v>
      </c>
      <c r="L19" s="40"/>
      <c r="M19" s="39" t="s">
        <v>70</v>
      </c>
      <c r="N19" s="35"/>
      <c r="O19" s="36" t="n">
        <v>44294</v>
      </c>
      <c r="P19" s="35" t="s">
        <v>66</v>
      </c>
      <c r="Q19" s="41" t="n">
        <v>6</v>
      </c>
      <c r="R19" s="38" t="n">
        <f aca="false">IFERROR(Q19/VLOOKUP(P19,'Exchange rates to USD'!$L$2:$N$225,3,FALSE()),"")</f>
        <v>4.24212619562431</v>
      </c>
    </row>
    <row r="20" customFormat="false" ht="13.25" hidden="false" customHeight="true" outlineLevel="0" collapsed="false">
      <c r="A20" s="15" t="s">
        <v>141</v>
      </c>
      <c r="B20" s="15" t="s">
        <v>57</v>
      </c>
      <c r="C20" s="39" t="s">
        <v>58</v>
      </c>
      <c r="D20" s="39" t="s">
        <v>115</v>
      </c>
      <c r="E20" s="39" t="s">
        <v>76</v>
      </c>
      <c r="F20" s="42" t="s">
        <v>142</v>
      </c>
      <c r="G20" s="39" t="s">
        <v>105</v>
      </c>
      <c r="H20" s="39" t="s">
        <v>77</v>
      </c>
      <c r="I20" s="39"/>
      <c r="J20" s="29" t="s">
        <v>143</v>
      </c>
      <c r="K20" s="40" t="s">
        <v>130</v>
      </c>
      <c r="L20" s="40"/>
      <c r="M20" s="39" t="s">
        <v>70</v>
      </c>
      <c r="N20" s="35"/>
      <c r="O20" s="36" t="n">
        <v>44294</v>
      </c>
      <c r="P20" s="35" t="s">
        <v>66</v>
      </c>
      <c r="Q20" s="41" t="n">
        <v>11.2</v>
      </c>
      <c r="R20" s="38" t="n">
        <f aca="false">IFERROR(Q20/VLOOKUP(P20,'Exchange rates to USD'!$L$2:$N$225,3,FALSE()),"")</f>
        <v>7.91863556516537</v>
      </c>
    </row>
    <row r="21" customFormat="false" ht="13.25" hidden="false" customHeight="true" outlineLevel="0" collapsed="false">
      <c r="A21" s="15" t="s">
        <v>144</v>
      </c>
      <c r="B21" s="15" t="s">
        <v>57</v>
      </c>
      <c r="C21" s="39" t="s">
        <v>58</v>
      </c>
      <c r="D21" s="39" t="s">
        <v>115</v>
      </c>
      <c r="E21" s="39" t="s">
        <v>76</v>
      </c>
      <c r="F21" s="39" t="s">
        <v>145</v>
      </c>
      <c r="G21" s="39" t="s">
        <v>105</v>
      </c>
      <c r="H21" s="39"/>
      <c r="I21" s="39"/>
      <c r="J21" s="29" t="s">
        <v>146</v>
      </c>
      <c r="K21" s="40" t="s">
        <v>147</v>
      </c>
      <c r="L21" s="40"/>
      <c r="M21" s="39" t="s">
        <v>93</v>
      </c>
      <c r="N21" s="35"/>
      <c r="O21" s="36" t="n">
        <v>44294</v>
      </c>
      <c r="P21" s="35" t="s">
        <v>66</v>
      </c>
      <c r="Q21" s="41" t="n">
        <v>5</v>
      </c>
      <c r="R21" s="38" t="n">
        <f aca="false">IFERROR(Q21/VLOOKUP(P21,'Exchange rates to USD'!$L$2:$N$225,3,FALSE()),"")</f>
        <v>3.53510516302025</v>
      </c>
    </row>
    <row r="22" customFormat="false" ht="13.25" hidden="false" customHeight="true" outlineLevel="0" collapsed="false">
      <c r="A22" s="15" t="s">
        <v>148</v>
      </c>
      <c r="B22" s="15" t="s">
        <v>57</v>
      </c>
      <c r="C22" s="39" t="s">
        <v>105</v>
      </c>
      <c r="D22" s="39" t="s">
        <v>115</v>
      </c>
      <c r="E22" s="39" t="s">
        <v>149</v>
      </c>
      <c r="F22" s="39" t="s">
        <v>150</v>
      </c>
      <c r="G22" s="39" t="s">
        <v>96</v>
      </c>
      <c r="H22" s="39"/>
      <c r="I22" s="39"/>
      <c r="J22" s="29" t="s">
        <v>151</v>
      </c>
      <c r="K22" s="40" t="s">
        <v>152</v>
      </c>
      <c r="L22" s="40"/>
      <c r="M22" s="39" t="s">
        <v>93</v>
      </c>
      <c r="N22" s="35"/>
      <c r="O22" s="36" t="n">
        <v>44294</v>
      </c>
      <c r="P22" s="35" t="s">
        <v>66</v>
      </c>
      <c r="Q22" s="41" t="n">
        <v>59.6</v>
      </c>
      <c r="R22" s="38" t="n">
        <f aca="false">IFERROR(Q22/VLOOKUP(P22,'Exchange rates to USD'!$L$2:$N$225,3,FALSE()),"")</f>
        <v>42.1384535432014</v>
      </c>
    </row>
    <row r="23" customFormat="false" ht="13.25" hidden="false" customHeight="true" outlineLevel="0" collapsed="false">
      <c r="A23" s="15" t="s">
        <v>153</v>
      </c>
      <c r="B23" s="15" t="s">
        <v>57</v>
      </c>
      <c r="C23" s="39" t="s">
        <v>105</v>
      </c>
      <c r="D23" s="39" t="s">
        <v>115</v>
      </c>
      <c r="E23" s="39" t="s">
        <v>149</v>
      </c>
      <c r="F23" s="39" t="s">
        <v>154</v>
      </c>
      <c r="G23" s="39" t="s">
        <v>96</v>
      </c>
      <c r="H23" s="39"/>
      <c r="I23" s="39"/>
      <c r="J23" s="29" t="s">
        <v>155</v>
      </c>
      <c r="K23" s="40" t="s">
        <v>152</v>
      </c>
      <c r="L23" s="40"/>
      <c r="M23" s="39" t="s">
        <v>93</v>
      </c>
      <c r="N23" s="35"/>
      <c r="O23" s="36" t="n">
        <v>44294</v>
      </c>
      <c r="P23" s="35" t="s">
        <v>66</v>
      </c>
      <c r="Q23" s="41" t="n">
        <v>190</v>
      </c>
      <c r="R23" s="38" t="n">
        <f aca="false">IFERROR(Q23/VLOOKUP(P23,'Exchange rates to USD'!$L$2:$N$225,3,FALSE()),"")</f>
        <v>134.33399619477</v>
      </c>
    </row>
    <row r="24" customFormat="false" ht="13.25" hidden="false" customHeight="true" outlineLevel="0" collapsed="false">
      <c r="A24" s="15" t="s">
        <v>156</v>
      </c>
      <c r="B24" s="15" t="s">
        <v>57</v>
      </c>
      <c r="C24" s="39" t="s">
        <v>105</v>
      </c>
      <c r="D24" s="39" t="s">
        <v>115</v>
      </c>
      <c r="E24" s="39" t="s">
        <v>76</v>
      </c>
      <c r="F24" s="39" t="s">
        <v>157</v>
      </c>
      <c r="G24" s="39" t="s">
        <v>77</v>
      </c>
      <c r="H24" s="39" t="s">
        <v>158</v>
      </c>
      <c r="I24" s="39"/>
      <c r="J24" s="29" t="s">
        <v>159</v>
      </c>
      <c r="K24" s="40" t="s">
        <v>160</v>
      </c>
      <c r="L24" s="40"/>
      <c r="M24" s="39" t="s">
        <v>93</v>
      </c>
      <c r="N24" s="35"/>
      <c r="O24" s="36" t="n">
        <v>44294</v>
      </c>
      <c r="P24" s="35" t="s">
        <v>66</v>
      </c>
      <c r="Q24" s="41" t="n">
        <v>2.5</v>
      </c>
      <c r="R24" s="38" t="n">
        <f aca="false">IFERROR(Q24/VLOOKUP(P24,'Exchange rates to USD'!$L$2:$N$225,3,FALSE()),"")</f>
        <v>1.76755258151013</v>
      </c>
    </row>
    <row r="25" customFormat="false" ht="13.25" hidden="false" customHeight="true" outlineLevel="0" collapsed="false">
      <c r="A25" s="15" t="s">
        <v>161</v>
      </c>
      <c r="B25" s="15" t="s">
        <v>57</v>
      </c>
      <c r="C25" s="39" t="s">
        <v>58</v>
      </c>
      <c r="D25" s="39" t="s">
        <v>108</v>
      </c>
      <c r="E25" s="39" t="s">
        <v>76</v>
      </c>
      <c r="F25" s="39" t="s">
        <v>162</v>
      </c>
      <c r="G25" s="39" t="s">
        <v>77</v>
      </c>
      <c r="H25" s="39" t="s">
        <v>97</v>
      </c>
      <c r="I25" s="39"/>
      <c r="J25" s="29" t="s">
        <v>163</v>
      </c>
      <c r="K25" s="40" t="s">
        <v>164</v>
      </c>
      <c r="L25" s="40"/>
      <c r="M25" s="39" t="s">
        <v>93</v>
      </c>
      <c r="N25" s="35"/>
      <c r="O25" s="36" t="n">
        <v>44294</v>
      </c>
      <c r="P25" s="35" t="s">
        <v>66</v>
      </c>
      <c r="Q25" s="41" t="n">
        <v>37.6</v>
      </c>
      <c r="R25" s="38" t="n">
        <f aca="false">IFERROR(Q25/VLOOKUP(P25,'Exchange rates to USD'!$L$2:$N$225,3,FALSE()),"")</f>
        <v>26.5839908259123</v>
      </c>
    </row>
    <row r="26" customFormat="false" ht="13.25" hidden="false" customHeight="true" outlineLevel="0" collapsed="false">
      <c r="A26" s="15" t="s">
        <v>165</v>
      </c>
      <c r="B26" s="15" t="s">
        <v>57</v>
      </c>
      <c r="C26" s="39" t="s">
        <v>58</v>
      </c>
      <c r="D26" s="39" t="s">
        <v>108</v>
      </c>
      <c r="E26" s="39" t="s">
        <v>76</v>
      </c>
      <c r="F26" s="39" t="s">
        <v>166</v>
      </c>
      <c r="G26" s="39" t="s">
        <v>77</v>
      </c>
      <c r="H26" s="39" t="s">
        <v>97</v>
      </c>
      <c r="I26" s="39"/>
      <c r="J26" s="29" t="s">
        <v>167</v>
      </c>
      <c r="K26" s="40" t="s">
        <v>164</v>
      </c>
      <c r="L26" s="40"/>
      <c r="M26" s="39" t="s">
        <v>93</v>
      </c>
      <c r="N26" s="35"/>
      <c r="O26" s="36" t="n">
        <v>44294</v>
      </c>
      <c r="P26" s="35" t="s">
        <v>66</v>
      </c>
      <c r="Q26" s="41" t="n">
        <v>24.5</v>
      </c>
      <c r="R26" s="38" t="n">
        <f aca="false">IFERROR(Q26/VLOOKUP(P26,'Exchange rates to USD'!$L$2:$N$225,3,FALSE()),"")</f>
        <v>17.3220152987992</v>
      </c>
    </row>
    <row r="27" customFormat="false" ht="13.25" hidden="false" customHeight="true" outlineLevel="0" collapsed="false">
      <c r="A27" s="15" t="s">
        <v>168</v>
      </c>
      <c r="B27" s="15" t="s">
        <v>57</v>
      </c>
      <c r="C27" s="39" t="s">
        <v>105</v>
      </c>
      <c r="D27" s="39" t="s">
        <v>108</v>
      </c>
      <c r="E27" s="39" t="s">
        <v>76</v>
      </c>
      <c r="F27" s="39" t="s">
        <v>169</v>
      </c>
      <c r="G27" s="39" t="s">
        <v>77</v>
      </c>
      <c r="H27" s="39"/>
      <c r="I27" s="39"/>
      <c r="J27" s="29" t="s">
        <v>170</v>
      </c>
      <c r="K27" s="40" t="s">
        <v>164</v>
      </c>
      <c r="L27" s="40"/>
      <c r="M27" s="39" t="s">
        <v>93</v>
      </c>
      <c r="N27" s="35"/>
      <c r="O27" s="36" t="n">
        <v>44294</v>
      </c>
      <c r="P27" s="35" t="s">
        <v>66</v>
      </c>
      <c r="Q27" s="41" t="n">
        <v>4.2</v>
      </c>
      <c r="R27" s="38" t="n">
        <f aca="false">IFERROR(Q27/VLOOKUP(P27,'Exchange rates to USD'!$L$2:$N$225,3,FALSE()),"")</f>
        <v>2.96948833693701</v>
      </c>
    </row>
    <row r="28" customFormat="false" ht="13.25" hidden="false" customHeight="true" outlineLevel="0" collapsed="false">
      <c r="A28" s="15" t="s">
        <v>171</v>
      </c>
      <c r="B28" s="15" t="s">
        <v>57</v>
      </c>
      <c r="C28" s="39" t="s">
        <v>105</v>
      </c>
      <c r="D28" s="39" t="s">
        <v>108</v>
      </c>
      <c r="E28" s="39" t="s">
        <v>76</v>
      </c>
      <c r="F28" s="39" t="s">
        <v>172</v>
      </c>
      <c r="G28" s="39" t="s">
        <v>77</v>
      </c>
      <c r="H28" s="39" t="s">
        <v>97</v>
      </c>
      <c r="I28" s="39"/>
      <c r="J28" s="29" t="s">
        <v>173</v>
      </c>
      <c r="K28" s="40" t="s">
        <v>174</v>
      </c>
      <c r="L28" s="40"/>
      <c r="M28" s="39" t="s">
        <v>93</v>
      </c>
      <c r="N28" s="35"/>
      <c r="O28" s="36" t="n">
        <v>44294</v>
      </c>
      <c r="P28" s="35" t="s">
        <v>66</v>
      </c>
      <c r="Q28" s="41" t="n">
        <v>20</v>
      </c>
      <c r="R28" s="38" t="n">
        <f aca="false">IFERROR(Q28/VLOOKUP(P28,'Exchange rates to USD'!$L$2:$N$225,3,FALSE()),"")</f>
        <v>14.140420652081</v>
      </c>
    </row>
    <row r="29" customFormat="false" ht="13.25" hidden="false" customHeight="true" outlineLevel="0" collapsed="false">
      <c r="A29" s="15" t="s">
        <v>175</v>
      </c>
      <c r="B29" s="15" t="s">
        <v>57</v>
      </c>
      <c r="C29" s="29" t="s">
        <v>176</v>
      </c>
      <c r="D29" s="29" t="s">
        <v>108</v>
      </c>
      <c r="E29" s="29" t="s">
        <v>76</v>
      </c>
      <c r="F29" s="29" t="s">
        <v>177</v>
      </c>
      <c r="G29" s="29" t="s">
        <v>77</v>
      </c>
      <c r="H29" s="29" t="s">
        <v>158</v>
      </c>
      <c r="I29" s="43"/>
      <c r="J29" s="29" t="s">
        <v>178</v>
      </c>
      <c r="K29" s="44" t="s">
        <v>179</v>
      </c>
      <c r="L29" s="45"/>
      <c r="M29" s="39" t="s">
        <v>93</v>
      </c>
      <c r="N29" s="35"/>
      <c r="O29" s="36" t="n">
        <v>44294</v>
      </c>
      <c r="P29" s="35" t="s">
        <v>66</v>
      </c>
      <c r="Q29" s="46" t="n">
        <v>23</v>
      </c>
      <c r="R29" s="38" t="n">
        <f aca="false">IFERROR(Q29/VLOOKUP(P29,'Exchange rates to USD'!$L$2:$N$225,3,FALSE()),"")</f>
        <v>16.2614837498932</v>
      </c>
    </row>
    <row r="30" customFormat="false" ht="13.25" hidden="false" customHeight="true" outlineLevel="0" collapsed="false">
      <c r="A30" s="15" t="s">
        <v>180</v>
      </c>
      <c r="B30" s="15" t="s">
        <v>57</v>
      </c>
      <c r="C30" s="29" t="s">
        <v>58</v>
      </c>
      <c r="D30" s="29" t="s">
        <v>115</v>
      </c>
      <c r="E30" s="29" t="s">
        <v>95</v>
      </c>
      <c r="F30" s="29" t="s">
        <v>91</v>
      </c>
      <c r="G30" s="32" t="s">
        <v>62</v>
      </c>
      <c r="H30" s="32" t="s">
        <v>110</v>
      </c>
      <c r="I30" s="32"/>
      <c r="J30" s="29" t="s">
        <v>181</v>
      </c>
      <c r="K30" s="33" t="s">
        <v>179</v>
      </c>
      <c r="L30" s="45"/>
      <c r="M30" s="39" t="s">
        <v>93</v>
      </c>
      <c r="N30" s="35"/>
      <c r="O30" s="36" t="n">
        <v>44294</v>
      </c>
      <c r="P30" s="35" t="s">
        <v>66</v>
      </c>
      <c r="Q30" s="46" t="n">
        <v>10</v>
      </c>
      <c r="R30" s="38" t="n">
        <f aca="false">IFERROR(Q30/VLOOKUP(P30,'Exchange rates to USD'!$L$2:$N$225,3,FALSE()),"")</f>
        <v>7.07021032604051</v>
      </c>
    </row>
    <row r="31" customFormat="false" ht="13.25" hidden="false" customHeight="true" outlineLevel="0" collapsed="false">
      <c r="A31" s="15" t="s">
        <v>182</v>
      </c>
      <c r="B31" s="15" t="s">
        <v>57</v>
      </c>
      <c r="C31" s="29" t="s">
        <v>105</v>
      </c>
      <c r="D31" s="29" t="s">
        <v>108</v>
      </c>
      <c r="E31" s="29" t="s">
        <v>95</v>
      </c>
      <c r="F31" s="29" t="s">
        <v>139</v>
      </c>
      <c r="G31" s="32" t="s">
        <v>62</v>
      </c>
      <c r="H31" s="32" t="s">
        <v>110</v>
      </c>
      <c r="I31" s="32"/>
      <c r="J31" s="29" t="s">
        <v>183</v>
      </c>
      <c r="K31" s="45" t="s">
        <v>179</v>
      </c>
      <c r="L31" s="45"/>
      <c r="M31" s="39" t="s">
        <v>93</v>
      </c>
      <c r="N31" s="35"/>
      <c r="O31" s="36" t="n">
        <v>44294</v>
      </c>
      <c r="P31" s="35" t="s">
        <v>66</v>
      </c>
      <c r="Q31" s="46" t="n">
        <v>6</v>
      </c>
      <c r="R31" s="38" t="n">
        <f aca="false">IFERROR(Q31/VLOOKUP(P31,'Exchange rates to USD'!$L$2:$N$225,3,FALSE()),"")</f>
        <v>4.24212619562431</v>
      </c>
    </row>
    <row r="32" customFormat="false" ht="13.25" hidden="false" customHeight="true" outlineLevel="0" collapsed="false">
      <c r="A32" s="15" t="s">
        <v>184</v>
      </c>
      <c r="B32" s="15" t="s">
        <v>57</v>
      </c>
      <c r="C32" s="29" t="s">
        <v>105</v>
      </c>
      <c r="D32" s="29" t="s">
        <v>108</v>
      </c>
      <c r="E32" s="29" t="s">
        <v>116</v>
      </c>
      <c r="F32" s="29" t="s">
        <v>185</v>
      </c>
      <c r="G32" s="47" t="s">
        <v>105</v>
      </c>
      <c r="H32" s="32" t="s">
        <v>77</v>
      </c>
      <c r="I32" s="32"/>
      <c r="J32" s="29" t="s">
        <v>186</v>
      </c>
      <c r="K32" s="33" t="s">
        <v>179</v>
      </c>
      <c r="L32" s="45"/>
      <c r="M32" s="32" t="s">
        <v>93</v>
      </c>
      <c r="N32" s="35"/>
      <c r="O32" s="36" t="n">
        <v>44294</v>
      </c>
      <c r="P32" s="35" t="s">
        <v>66</v>
      </c>
      <c r="Q32" s="46" t="n">
        <v>13</v>
      </c>
      <c r="R32" s="38" t="n">
        <f aca="false">IFERROR(Q32/VLOOKUP(P32,'Exchange rates to USD'!$L$2:$N$225,3,FALSE()),"")</f>
        <v>9.19127342385266</v>
      </c>
    </row>
    <row r="33" customFormat="false" ht="13.25" hidden="false" customHeight="true" outlineLevel="0" collapsed="false">
      <c r="A33" s="15" t="s">
        <v>187</v>
      </c>
      <c r="B33" s="15" t="s">
        <v>57</v>
      </c>
      <c r="C33" s="29" t="s">
        <v>176</v>
      </c>
      <c r="D33" s="29" t="s">
        <v>108</v>
      </c>
      <c r="E33" s="29" t="s">
        <v>76</v>
      </c>
      <c r="F33" s="29" t="s">
        <v>135</v>
      </c>
      <c r="G33" s="29" t="s">
        <v>105</v>
      </c>
      <c r="H33" s="43" t="s">
        <v>62</v>
      </c>
      <c r="I33" s="43"/>
      <c r="J33" s="29" t="s">
        <v>188</v>
      </c>
      <c r="K33" s="33" t="s">
        <v>179</v>
      </c>
      <c r="L33" s="45"/>
      <c r="M33" s="32" t="s">
        <v>93</v>
      </c>
      <c r="N33" s="35"/>
      <c r="O33" s="36" t="n">
        <v>44294</v>
      </c>
      <c r="P33" s="35" t="s">
        <v>66</v>
      </c>
      <c r="Q33" s="46" t="n">
        <v>5.5</v>
      </c>
      <c r="R33" s="38" t="n">
        <f aca="false">IFERROR(Q33/VLOOKUP(P33,'Exchange rates to USD'!$L$2:$N$225,3,FALSE()),"")</f>
        <v>3.88861567932228</v>
      </c>
    </row>
    <row r="34" customFormat="false" ht="13.25" hidden="false" customHeight="true" outlineLevel="0" collapsed="false">
      <c r="A34" s="15" t="s">
        <v>189</v>
      </c>
      <c r="B34" s="15" t="s">
        <v>57</v>
      </c>
      <c r="C34" s="29" t="s">
        <v>58</v>
      </c>
      <c r="D34" s="29" t="s">
        <v>115</v>
      </c>
      <c r="E34" s="29" t="s">
        <v>95</v>
      </c>
      <c r="F34" s="29" t="s">
        <v>190</v>
      </c>
      <c r="G34" s="29" t="s">
        <v>62</v>
      </c>
      <c r="H34" s="43" t="s">
        <v>110</v>
      </c>
      <c r="I34" s="43"/>
      <c r="J34" s="29" t="s">
        <v>191</v>
      </c>
      <c r="K34" s="33" t="s">
        <v>192</v>
      </c>
      <c r="L34" s="45"/>
      <c r="M34" s="32" t="s">
        <v>93</v>
      </c>
      <c r="N34" s="35"/>
      <c r="O34" s="36" t="n">
        <v>44294</v>
      </c>
      <c r="P34" s="35" t="s">
        <v>66</v>
      </c>
      <c r="Q34" s="46" t="n">
        <v>50</v>
      </c>
      <c r="R34" s="38" t="n">
        <f aca="false">IFERROR(Q34/VLOOKUP(P34,'Exchange rates to USD'!$L$2:$N$225,3,FALSE()),"")</f>
        <v>35.3510516302025</v>
      </c>
    </row>
    <row r="35" customFormat="false" ht="13.25" hidden="false" customHeight="true" outlineLevel="0" collapsed="false">
      <c r="A35" s="15" t="s">
        <v>193</v>
      </c>
      <c r="B35" s="15" t="s">
        <v>57</v>
      </c>
      <c r="C35" s="29" t="s">
        <v>58</v>
      </c>
      <c r="D35" s="29" t="s">
        <v>115</v>
      </c>
      <c r="E35" s="29" t="s">
        <v>95</v>
      </c>
      <c r="F35" s="30" t="s">
        <v>194</v>
      </c>
      <c r="G35" s="47" t="s">
        <v>62</v>
      </c>
      <c r="H35" s="32"/>
      <c r="I35" s="32"/>
      <c r="J35" s="29" t="s">
        <v>195</v>
      </c>
      <c r="K35" s="48" t="s">
        <v>196</v>
      </c>
      <c r="L35" s="45"/>
      <c r="M35" s="32" t="s">
        <v>113</v>
      </c>
      <c r="N35" s="35"/>
      <c r="O35" s="36" t="n">
        <v>44294</v>
      </c>
      <c r="P35" s="35" t="s">
        <v>66</v>
      </c>
      <c r="Q35" s="46" t="n">
        <v>95</v>
      </c>
      <c r="R35" s="38" t="n">
        <f aca="false">IFERROR(Q35/VLOOKUP(P35,'Exchange rates to USD'!$L$2:$N$225,3,FALSE()),"")</f>
        <v>67.1669980973848</v>
      </c>
    </row>
    <row r="36" customFormat="false" ht="13.25" hidden="false" customHeight="true" outlineLevel="0" collapsed="false">
      <c r="A36" s="15" t="s">
        <v>197</v>
      </c>
      <c r="B36" s="15" t="s">
        <v>57</v>
      </c>
      <c r="C36" s="29" t="s">
        <v>105</v>
      </c>
      <c r="D36" s="29" t="s">
        <v>108</v>
      </c>
      <c r="E36" s="29" t="s">
        <v>95</v>
      </c>
      <c r="F36" s="29" t="s">
        <v>198</v>
      </c>
      <c r="G36" s="29" t="s">
        <v>62</v>
      </c>
      <c r="H36" s="43"/>
      <c r="I36" s="43"/>
      <c r="J36" s="29" t="s">
        <v>199</v>
      </c>
      <c r="K36" s="48" t="s">
        <v>196</v>
      </c>
      <c r="L36" s="45"/>
      <c r="M36" s="32" t="s">
        <v>113</v>
      </c>
      <c r="N36" s="35"/>
      <c r="O36" s="36" t="n">
        <v>44294</v>
      </c>
      <c r="P36" s="35" t="s">
        <v>66</v>
      </c>
      <c r="Q36" s="46" t="n">
        <v>67</v>
      </c>
      <c r="R36" s="38" t="n">
        <f aca="false">IFERROR(Q36/VLOOKUP(P36,'Exchange rates to USD'!$L$2:$N$225,3,FALSE()),"")</f>
        <v>47.3704091844714</v>
      </c>
    </row>
    <row r="37" customFormat="false" ht="13.25" hidden="false" customHeight="true" outlineLevel="0" collapsed="false">
      <c r="A37" s="15" t="s">
        <v>200</v>
      </c>
      <c r="B37" s="15" t="s">
        <v>57</v>
      </c>
      <c r="C37" s="29" t="s">
        <v>58</v>
      </c>
      <c r="D37" s="29" t="s">
        <v>115</v>
      </c>
      <c r="E37" s="29" t="s">
        <v>95</v>
      </c>
      <c r="F37" s="29" t="s">
        <v>201</v>
      </c>
      <c r="G37" s="29" t="s">
        <v>62</v>
      </c>
      <c r="H37" s="43"/>
      <c r="I37" s="43"/>
      <c r="J37" s="29" t="s">
        <v>202</v>
      </c>
      <c r="K37" s="48" t="s">
        <v>192</v>
      </c>
      <c r="L37" s="45"/>
      <c r="M37" s="32" t="s">
        <v>113</v>
      </c>
      <c r="N37" s="35"/>
      <c r="O37" s="36" t="n">
        <v>44294</v>
      </c>
      <c r="P37" s="35" t="s">
        <v>66</v>
      </c>
      <c r="Q37" s="46" t="n">
        <v>52.2</v>
      </c>
      <c r="R37" s="38" t="n">
        <f aca="false">IFERROR(Q37/VLOOKUP(P37,'Exchange rates to USD'!$L$2:$N$225,3,FALSE()),"")</f>
        <v>36.9064979019315</v>
      </c>
    </row>
    <row r="38" customFormat="false" ht="13.25" hidden="false" customHeight="true" outlineLevel="0" collapsed="false">
      <c r="A38" s="15" t="s">
        <v>203</v>
      </c>
      <c r="B38" s="15" t="s">
        <v>57</v>
      </c>
      <c r="C38" s="29" t="s">
        <v>105</v>
      </c>
      <c r="D38" s="29" t="s">
        <v>115</v>
      </c>
      <c r="E38" s="29" t="s">
        <v>95</v>
      </c>
      <c r="F38" s="29" t="s">
        <v>204</v>
      </c>
      <c r="G38" s="29" t="s">
        <v>62</v>
      </c>
      <c r="H38" s="43" t="s">
        <v>110</v>
      </c>
      <c r="I38" s="43"/>
      <c r="J38" s="29" t="s">
        <v>205</v>
      </c>
      <c r="K38" s="48" t="s">
        <v>192</v>
      </c>
      <c r="L38" s="45"/>
      <c r="M38" s="32" t="s">
        <v>93</v>
      </c>
      <c r="N38" s="35"/>
      <c r="O38" s="36" t="n">
        <v>44294</v>
      </c>
      <c r="P38" s="35" t="s">
        <v>66</v>
      </c>
      <c r="Q38" s="46" t="n">
        <v>70.2</v>
      </c>
      <c r="R38" s="38" t="n">
        <f aca="false">IFERROR(Q38/VLOOKUP(P38,'Exchange rates to USD'!$L$2:$N$225,3,FALSE()),"")</f>
        <v>49.6328764888044</v>
      </c>
    </row>
    <row r="39" customFormat="false" ht="13.25" hidden="false" customHeight="true" outlineLevel="0" collapsed="false">
      <c r="A39" s="15" t="s">
        <v>206</v>
      </c>
      <c r="B39" s="15" t="s">
        <v>57</v>
      </c>
      <c r="C39" s="29" t="s">
        <v>58</v>
      </c>
      <c r="D39" s="29" t="s">
        <v>115</v>
      </c>
      <c r="E39" s="29" t="s">
        <v>95</v>
      </c>
      <c r="F39" s="29" t="s">
        <v>207</v>
      </c>
      <c r="G39" s="29" t="s">
        <v>62</v>
      </c>
      <c r="H39" s="43"/>
      <c r="I39" s="43"/>
      <c r="J39" s="29" t="s">
        <v>208</v>
      </c>
      <c r="K39" s="48" t="s">
        <v>192</v>
      </c>
      <c r="L39" s="45"/>
      <c r="M39" s="32" t="s">
        <v>93</v>
      </c>
      <c r="N39" s="35"/>
      <c r="O39" s="36" t="n">
        <v>44294</v>
      </c>
      <c r="P39" s="35" t="s">
        <v>66</v>
      </c>
      <c r="Q39" s="46" t="n">
        <v>74.5</v>
      </c>
      <c r="R39" s="38" t="n">
        <f aca="false">IFERROR(Q39/VLOOKUP(P39,'Exchange rates to USD'!$L$2:$N$225,3,FALSE()),"")</f>
        <v>52.6730669290018</v>
      </c>
    </row>
    <row r="40" customFormat="false" ht="13.25" hidden="false" customHeight="true" outlineLevel="0" collapsed="false">
      <c r="A40" s="15" t="s">
        <v>209</v>
      </c>
      <c r="B40" s="15" t="s">
        <v>57</v>
      </c>
      <c r="C40" s="29" t="s">
        <v>58</v>
      </c>
      <c r="D40" s="29" t="s">
        <v>115</v>
      </c>
      <c r="E40" s="29" t="s">
        <v>95</v>
      </c>
      <c r="F40" s="29" t="s">
        <v>210</v>
      </c>
      <c r="G40" s="29" t="s">
        <v>62</v>
      </c>
      <c r="H40" s="43" t="s">
        <v>110</v>
      </c>
      <c r="I40" s="43"/>
      <c r="J40" s="29" t="s">
        <v>211</v>
      </c>
      <c r="K40" s="48" t="s">
        <v>192</v>
      </c>
      <c r="L40" s="45"/>
      <c r="M40" s="32" t="s">
        <v>93</v>
      </c>
      <c r="N40" s="35"/>
      <c r="O40" s="36" t="n">
        <v>44294</v>
      </c>
      <c r="P40" s="35" t="s">
        <v>66</v>
      </c>
      <c r="Q40" s="46" t="n">
        <v>40.2</v>
      </c>
      <c r="R40" s="38" t="n">
        <f aca="false">IFERROR(Q40/VLOOKUP(P40,'Exchange rates to USD'!$L$2:$N$225,3,FALSE()),"")</f>
        <v>28.4222455106828</v>
      </c>
    </row>
    <row r="41" customFormat="false" ht="13.25" hidden="false" customHeight="true" outlineLevel="0" collapsed="false">
      <c r="A41" s="15" t="s">
        <v>212</v>
      </c>
      <c r="B41" s="15" t="s">
        <v>57</v>
      </c>
      <c r="C41" s="29" t="s">
        <v>58</v>
      </c>
      <c r="D41" s="29" t="s">
        <v>115</v>
      </c>
      <c r="E41" s="29" t="s">
        <v>95</v>
      </c>
      <c r="F41" s="29" t="s">
        <v>213</v>
      </c>
      <c r="G41" s="29" t="s">
        <v>62</v>
      </c>
      <c r="H41" s="43"/>
      <c r="I41" s="43"/>
      <c r="J41" s="29" t="s">
        <v>214</v>
      </c>
      <c r="K41" s="33" t="s">
        <v>215</v>
      </c>
      <c r="L41" s="32"/>
      <c r="M41" s="32" t="s">
        <v>93</v>
      </c>
      <c r="N41" s="35"/>
      <c r="O41" s="36" t="n">
        <v>44294</v>
      </c>
      <c r="P41" s="35" t="s">
        <v>66</v>
      </c>
      <c r="Q41" s="46" t="n">
        <v>200</v>
      </c>
      <c r="R41" s="38" t="n">
        <f aca="false">IFERROR(Q41/VLOOKUP(P41,'Exchange rates to USD'!$L$2:$N$225,3,FALSE()),"")</f>
        <v>141.40420652081</v>
      </c>
    </row>
    <row r="42" customFormat="false" ht="13.25" hidden="false" customHeight="true" outlineLevel="0" collapsed="false">
      <c r="A42" s="15" t="s">
        <v>216</v>
      </c>
      <c r="B42" s="15" t="s">
        <v>57</v>
      </c>
      <c r="C42" s="29" t="s">
        <v>58</v>
      </c>
      <c r="D42" s="29" t="s">
        <v>115</v>
      </c>
      <c r="E42" s="47" t="s">
        <v>116</v>
      </c>
      <c r="F42" s="29" t="s">
        <v>217</v>
      </c>
      <c r="G42" s="29" t="s">
        <v>97</v>
      </c>
      <c r="H42" s="43"/>
      <c r="I42" s="43"/>
      <c r="J42" s="29" t="s">
        <v>218</v>
      </c>
      <c r="K42" s="33" t="s">
        <v>219</v>
      </c>
      <c r="L42" s="32"/>
      <c r="M42" s="32" t="s">
        <v>93</v>
      </c>
      <c r="N42" s="35"/>
      <c r="O42" s="36" t="n">
        <v>44294</v>
      </c>
      <c r="P42" s="35" t="s">
        <v>66</v>
      </c>
      <c r="Q42" s="46" t="n">
        <v>2000</v>
      </c>
      <c r="R42" s="38" t="n">
        <f aca="false">IFERROR(Q42/VLOOKUP(P42,'Exchange rates to USD'!$L$2:$N$225,3,FALSE()),"")</f>
        <v>1414.0420652081</v>
      </c>
    </row>
    <row r="43" customFormat="false" ht="13.25" hidden="false" customHeight="true" outlineLevel="0" collapsed="false">
      <c r="A43" s="15" t="s">
        <v>220</v>
      </c>
      <c r="B43" s="15" t="s">
        <v>57</v>
      </c>
      <c r="C43" s="29" t="s">
        <v>105</v>
      </c>
      <c r="D43" s="29" t="s">
        <v>115</v>
      </c>
      <c r="E43" s="29" t="s">
        <v>76</v>
      </c>
      <c r="F43" s="29" t="s">
        <v>221</v>
      </c>
      <c r="G43" s="29" t="s">
        <v>105</v>
      </c>
      <c r="H43" s="43" t="s">
        <v>77</v>
      </c>
      <c r="I43" s="43"/>
      <c r="J43" s="29" t="s">
        <v>222</v>
      </c>
      <c r="K43" s="49" t="s">
        <v>147</v>
      </c>
      <c r="L43" s="32"/>
      <c r="M43" s="32" t="s">
        <v>70</v>
      </c>
      <c r="N43" s="35"/>
      <c r="O43" s="36" t="n">
        <v>44294</v>
      </c>
      <c r="P43" s="35" t="s">
        <v>66</v>
      </c>
      <c r="Q43" s="46" t="n">
        <v>33.5</v>
      </c>
      <c r="R43" s="38" t="n">
        <f aca="false">IFERROR(Q43/VLOOKUP(P43,'Exchange rates to USD'!$L$2:$N$225,3,FALSE()),"")</f>
        <v>23.6852045922357</v>
      </c>
    </row>
    <row r="44" customFormat="false" ht="13.25" hidden="false" customHeight="true" outlineLevel="0" collapsed="false">
      <c r="A44" s="15" t="s">
        <v>223</v>
      </c>
      <c r="B44" s="15" t="s">
        <v>57</v>
      </c>
      <c r="C44" s="29" t="s">
        <v>105</v>
      </c>
      <c r="D44" s="29" t="s">
        <v>115</v>
      </c>
      <c r="E44" s="29" t="s">
        <v>60</v>
      </c>
      <c r="F44" s="47" t="s">
        <v>61</v>
      </c>
      <c r="G44" s="43" t="s">
        <v>62</v>
      </c>
      <c r="H44" s="43"/>
      <c r="I44" s="43"/>
      <c r="J44" s="29" t="s">
        <v>224</v>
      </c>
      <c r="K44" s="45" t="s">
        <v>225</v>
      </c>
      <c r="L44" s="32"/>
      <c r="M44" s="32" t="s">
        <v>65</v>
      </c>
      <c r="N44" s="35"/>
      <c r="O44" s="36" t="n">
        <v>44294</v>
      </c>
      <c r="P44" s="35" t="s">
        <v>66</v>
      </c>
      <c r="Q44" s="50" t="n">
        <v>100</v>
      </c>
      <c r="R44" s="38" t="n">
        <f aca="false">IFERROR(Q44/VLOOKUP(P44,'Exchange rates to USD'!$L$2:$N$225,3,FALSE()),"")</f>
        <v>70.7021032604051</v>
      </c>
      <c r="S44" s="15" t="s">
        <v>226</v>
      </c>
    </row>
    <row r="45" customFormat="false" ht="13.25" hidden="false" customHeight="true" outlineLevel="0" collapsed="false">
      <c r="A45" s="51" t="s">
        <v>227</v>
      </c>
      <c r="B45" s="51" t="s">
        <v>57</v>
      </c>
      <c r="C45" s="51" t="s">
        <v>105</v>
      </c>
      <c r="D45" s="51" t="s">
        <v>108</v>
      </c>
      <c r="E45" s="51"/>
      <c r="F45" s="51" t="s">
        <v>213</v>
      </c>
      <c r="G45" s="52" t="s">
        <v>105</v>
      </c>
      <c r="H45" s="53"/>
      <c r="I45" s="53"/>
      <c r="J45" s="51" t="s">
        <v>228</v>
      </c>
      <c r="K45" s="54" t="s">
        <v>229</v>
      </c>
      <c r="L45" s="52"/>
      <c r="M45" s="52" t="s">
        <v>93</v>
      </c>
      <c r="N45" s="55"/>
      <c r="O45" s="56" t="n">
        <v>44294</v>
      </c>
      <c r="P45" s="55" t="s">
        <v>66</v>
      </c>
      <c r="Q45" s="57" t="n">
        <v>200</v>
      </c>
      <c r="R45" s="58" t="n">
        <f aca="false">IFERROR(Q45/VLOOKUP(P45,'Exchange rates to USD'!$L$2:$N$225,3,FALSE()),"")</f>
        <v>141.40420652081</v>
      </c>
    </row>
    <row r="46" customFormat="false" ht="13.25" hidden="false" customHeight="true" outlineLevel="0" collapsed="false">
      <c r="A46" s="15" t="s">
        <v>230</v>
      </c>
      <c r="B46" s="15" t="s">
        <v>231</v>
      </c>
      <c r="C46" s="15" t="s">
        <v>232</v>
      </c>
      <c r="D46" s="15" t="s">
        <v>80</v>
      </c>
      <c r="E46" s="15" t="s">
        <v>233</v>
      </c>
      <c r="F46" s="15" t="s">
        <v>234</v>
      </c>
      <c r="G46" s="15" t="s">
        <v>62</v>
      </c>
      <c r="H46" s="15" t="s">
        <v>110</v>
      </c>
      <c r="J46" s="15" t="s">
        <v>235</v>
      </c>
      <c r="K46" s="15" t="s">
        <v>236</v>
      </c>
      <c r="L46" s="15" t="s">
        <v>237</v>
      </c>
      <c r="M46" s="15" t="s">
        <v>93</v>
      </c>
      <c r="N46" s="15" t="s">
        <v>238</v>
      </c>
      <c r="O46" s="16" t="s">
        <v>239</v>
      </c>
      <c r="P46" s="15" t="s">
        <v>240</v>
      </c>
      <c r="Q46" s="17" t="n">
        <v>540</v>
      </c>
      <c r="R46" s="28" t="n">
        <f aca="false">IFERROR(Q46/VLOOKUP(P46,'Exchange rates to USD'!$L$2:$N$225,3,FALSE()),"")</f>
        <v>595.441228180062</v>
      </c>
    </row>
    <row r="47" customFormat="false" ht="13.25" hidden="false" customHeight="true" outlineLevel="0" collapsed="false">
      <c r="A47" s="15" t="s">
        <v>241</v>
      </c>
      <c r="B47" s="15" t="s">
        <v>231</v>
      </c>
      <c r="C47" s="15" t="s">
        <v>58</v>
      </c>
      <c r="D47" s="15" t="s">
        <v>59</v>
      </c>
      <c r="E47" s="15" t="s">
        <v>116</v>
      </c>
      <c r="F47" s="15" t="s">
        <v>242</v>
      </c>
      <c r="G47" s="15" t="s">
        <v>62</v>
      </c>
      <c r="H47" s="15" t="s">
        <v>110</v>
      </c>
      <c r="J47" s="15" t="s">
        <v>243</v>
      </c>
      <c r="M47" s="15" t="s">
        <v>93</v>
      </c>
      <c r="N47" s="15" t="s">
        <v>244</v>
      </c>
      <c r="P47" s="15" t="s">
        <v>240</v>
      </c>
      <c r="Q47" s="17" t="n">
        <v>750</v>
      </c>
      <c r="R47" s="28" t="n">
        <f aca="false">IFERROR(Q47/VLOOKUP(P47,'Exchange rates to USD'!$L$2:$N$225,3,FALSE()),"")</f>
        <v>827.001705805641</v>
      </c>
    </row>
    <row r="48" customFormat="false" ht="13.25" hidden="false" customHeight="true" outlineLevel="0" collapsed="false">
      <c r="A48" s="15" t="s">
        <v>245</v>
      </c>
      <c r="B48" s="15" t="s">
        <v>231</v>
      </c>
      <c r="C48" s="15" t="s">
        <v>58</v>
      </c>
      <c r="D48" s="15" t="s">
        <v>59</v>
      </c>
      <c r="E48" s="15" t="s">
        <v>95</v>
      </c>
      <c r="F48" s="15" t="s">
        <v>246</v>
      </c>
      <c r="G48" s="15" t="s">
        <v>62</v>
      </c>
      <c r="H48" s="15" t="s">
        <v>110</v>
      </c>
      <c r="J48" s="15" t="s">
        <v>247</v>
      </c>
      <c r="M48" s="15" t="s">
        <v>93</v>
      </c>
      <c r="O48" s="16" t="n">
        <v>44273</v>
      </c>
      <c r="P48" s="15" t="s">
        <v>240</v>
      </c>
      <c r="Q48" s="17" t="n">
        <v>260</v>
      </c>
      <c r="R48" s="28" t="n">
        <f aca="false">IFERROR(Q48/VLOOKUP(P48,'Exchange rates to USD'!$L$2:$N$225,3,FALSE()),"")</f>
        <v>286.693924679289</v>
      </c>
    </row>
    <row r="49" customFormat="false" ht="13.25" hidden="false" customHeight="true" outlineLevel="0" collapsed="false">
      <c r="A49" s="15" t="s">
        <v>248</v>
      </c>
      <c r="B49" s="15" t="s">
        <v>231</v>
      </c>
      <c r="C49" s="15" t="s">
        <v>249</v>
      </c>
      <c r="D49" s="15" t="s">
        <v>59</v>
      </c>
      <c r="E49" s="15" t="s">
        <v>233</v>
      </c>
      <c r="F49" s="15" t="s">
        <v>250</v>
      </c>
      <c r="G49" s="15" t="s">
        <v>62</v>
      </c>
      <c r="H49" s="15" t="s">
        <v>110</v>
      </c>
      <c r="J49" s="15" t="s">
        <v>251</v>
      </c>
      <c r="M49" s="15" t="s">
        <v>93</v>
      </c>
      <c r="P49" s="15" t="s">
        <v>240</v>
      </c>
      <c r="Q49" s="17" t="n">
        <v>300</v>
      </c>
      <c r="R49" s="28" t="n">
        <f aca="false">IFERROR(Q49/VLOOKUP(P49,'Exchange rates to USD'!$L$2:$N$225,3,FALSE()),"")</f>
        <v>330.800682322256</v>
      </c>
    </row>
    <row r="50" customFormat="false" ht="13.25" hidden="false" customHeight="true" outlineLevel="0" collapsed="false">
      <c r="A50" s="15" t="s">
        <v>252</v>
      </c>
      <c r="B50" s="15" t="s">
        <v>231</v>
      </c>
      <c r="C50" s="15" t="s">
        <v>75</v>
      </c>
      <c r="D50" s="15" t="s">
        <v>80</v>
      </c>
      <c r="E50" s="15" t="s">
        <v>76</v>
      </c>
      <c r="F50" s="15" t="s">
        <v>253</v>
      </c>
      <c r="G50" s="15" t="s">
        <v>96</v>
      </c>
      <c r="J50" s="15" t="s">
        <v>254</v>
      </c>
      <c r="M50" s="15" t="s">
        <v>93</v>
      </c>
      <c r="P50" s="15" t="s">
        <v>240</v>
      </c>
      <c r="Q50" s="17" t="n">
        <v>100</v>
      </c>
      <c r="R50" s="28" t="n">
        <f aca="false">IFERROR(Q50/VLOOKUP(P50,'Exchange rates to USD'!$L$2:$N$225,3,FALSE()),"")</f>
        <v>110.266894107419</v>
      </c>
    </row>
    <row r="51" customFormat="false" ht="13.25" hidden="false" customHeight="true" outlineLevel="0" collapsed="false">
      <c r="A51" s="15" t="s">
        <v>255</v>
      </c>
      <c r="B51" s="15" t="s">
        <v>231</v>
      </c>
      <c r="C51" s="59" t="s">
        <v>232</v>
      </c>
      <c r="E51" s="15" t="s">
        <v>76</v>
      </c>
      <c r="F51" s="15" t="s">
        <v>256</v>
      </c>
      <c r="G51" s="15" t="s">
        <v>62</v>
      </c>
      <c r="H51" s="15" t="s">
        <v>158</v>
      </c>
      <c r="J51" s="15" t="s">
        <v>257</v>
      </c>
      <c r="K51" s="34" t="s">
        <v>258</v>
      </c>
      <c r="M51" s="15" t="s">
        <v>93</v>
      </c>
      <c r="N51" s="15" t="s">
        <v>259</v>
      </c>
      <c r="O51" s="16" t="n">
        <v>44273</v>
      </c>
      <c r="P51" s="15" t="s">
        <v>240</v>
      </c>
      <c r="Q51" s="17" t="n">
        <v>200</v>
      </c>
      <c r="R51" s="28" t="n">
        <f aca="false">IFERROR(Q51/VLOOKUP(P51,'Exchange rates to USD'!$L$2:$N$225,3,FALSE()),"")</f>
        <v>220.533788214838</v>
      </c>
    </row>
    <row r="52" customFormat="false" ht="13.25" hidden="false" customHeight="true" outlineLevel="0" collapsed="false">
      <c r="A52" s="15" t="s">
        <v>260</v>
      </c>
      <c r="B52" s="15" t="s">
        <v>231</v>
      </c>
      <c r="C52" s="15" t="s">
        <v>58</v>
      </c>
      <c r="D52" s="15" t="s">
        <v>59</v>
      </c>
      <c r="E52" s="15" t="s">
        <v>76</v>
      </c>
      <c r="F52" s="15" t="s">
        <v>242</v>
      </c>
      <c r="G52" s="15" t="s">
        <v>62</v>
      </c>
      <c r="J52" s="15" t="s">
        <v>261</v>
      </c>
      <c r="M52" s="15" t="s">
        <v>93</v>
      </c>
      <c r="O52" s="16" t="n">
        <v>44273</v>
      </c>
      <c r="P52" s="15" t="s">
        <v>240</v>
      </c>
      <c r="Q52" s="17" t="n">
        <v>750</v>
      </c>
      <c r="R52" s="28" t="n">
        <f aca="false">IFERROR(Q52/VLOOKUP(P52,'Exchange rates to USD'!$L$2:$N$225,3,FALSE()),"")</f>
        <v>827.001705805641</v>
      </c>
    </row>
    <row r="53" customFormat="false" ht="13.25" hidden="false" customHeight="true" outlineLevel="0" collapsed="false">
      <c r="A53" s="15" t="s">
        <v>262</v>
      </c>
      <c r="B53" s="15" t="s">
        <v>231</v>
      </c>
      <c r="C53" s="15" t="s">
        <v>249</v>
      </c>
      <c r="D53" s="15" t="s">
        <v>59</v>
      </c>
      <c r="E53" s="15" t="s">
        <v>263</v>
      </c>
      <c r="F53" s="15" t="s">
        <v>264</v>
      </c>
      <c r="G53" s="15" t="s">
        <v>62</v>
      </c>
      <c r="H53" s="15" t="s">
        <v>110</v>
      </c>
      <c r="J53" s="15" t="s">
        <v>265</v>
      </c>
      <c r="M53" s="15" t="s">
        <v>93</v>
      </c>
      <c r="P53" s="15" t="s">
        <v>240</v>
      </c>
      <c r="Q53" s="17" t="n">
        <v>350</v>
      </c>
      <c r="R53" s="28" t="n">
        <f aca="false">IFERROR(Q53/VLOOKUP(P53,'Exchange rates to USD'!$L$2:$N$225,3,FALSE()),"")</f>
        <v>385.934129375966</v>
      </c>
    </row>
    <row r="54" customFormat="false" ht="13.25" hidden="false" customHeight="true" outlineLevel="0" collapsed="false">
      <c r="A54" s="55" t="s">
        <v>266</v>
      </c>
      <c r="B54" s="55" t="s">
        <v>231</v>
      </c>
      <c r="C54" s="55" t="s">
        <v>58</v>
      </c>
      <c r="D54" s="55" t="s">
        <v>59</v>
      </c>
      <c r="E54" s="55" t="s">
        <v>267</v>
      </c>
      <c r="F54" s="55" t="s">
        <v>268</v>
      </c>
      <c r="G54" s="55" t="s">
        <v>62</v>
      </c>
      <c r="H54" s="55"/>
      <c r="I54" s="55"/>
      <c r="J54" s="55" t="s">
        <v>269</v>
      </c>
      <c r="K54" s="55" t="s">
        <v>270</v>
      </c>
      <c r="L54" s="55"/>
      <c r="M54" s="55" t="s">
        <v>113</v>
      </c>
      <c r="N54" s="55"/>
      <c r="O54" s="56"/>
      <c r="P54" s="55" t="s">
        <v>240</v>
      </c>
      <c r="Q54" s="60" t="n">
        <v>600</v>
      </c>
      <c r="R54" s="58" t="n">
        <f aca="false">IFERROR(Q54/VLOOKUP(P54,'Exchange rates to USD'!$L$2:$N$225,3,FALSE()),"")</f>
        <v>661.601364644513</v>
      </c>
    </row>
    <row r="55" customFormat="false" ht="13.25" hidden="false" customHeight="true" outlineLevel="0" collapsed="false">
      <c r="A55" s="15" t="s">
        <v>271</v>
      </c>
      <c r="B55" s="15" t="s">
        <v>272</v>
      </c>
      <c r="C55" s="15" t="s">
        <v>232</v>
      </c>
      <c r="D55" s="15" t="s">
        <v>108</v>
      </c>
      <c r="E55" s="15" t="s">
        <v>76</v>
      </c>
      <c r="F55" s="15" t="s">
        <v>273</v>
      </c>
      <c r="G55" s="15" t="s">
        <v>62</v>
      </c>
      <c r="H55" s="15" t="s">
        <v>96</v>
      </c>
      <c r="I55" s="15" t="s">
        <v>97</v>
      </c>
      <c r="J55" s="15" t="s">
        <v>274</v>
      </c>
      <c r="K55" s="15" t="s">
        <v>275</v>
      </c>
      <c r="L55" s="15" t="s">
        <v>276</v>
      </c>
      <c r="M55" s="15" t="s">
        <v>113</v>
      </c>
      <c r="N55" s="15" t="s">
        <v>277</v>
      </c>
      <c r="O55" s="16" t="s">
        <v>278</v>
      </c>
      <c r="P55" s="15" t="s">
        <v>240</v>
      </c>
      <c r="Q55" s="17" t="n">
        <v>700</v>
      </c>
      <c r="R55" s="28" t="n">
        <f aca="false">IFERROR(Q55/VLOOKUP(P55,'Exchange rates to USD'!$L$2:$N$225,3,FALSE()),"")</f>
        <v>771.868258751932</v>
      </c>
    </row>
    <row r="56" customFormat="false" ht="13.25" hidden="false" customHeight="true" outlineLevel="0" collapsed="false">
      <c r="A56" s="15" t="s">
        <v>279</v>
      </c>
      <c r="B56" s="15" t="s">
        <v>272</v>
      </c>
      <c r="C56" s="15" t="s">
        <v>232</v>
      </c>
      <c r="D56" s="15" t="s">
        <v>108</v>
      </c>
      <c r="E56" s="15" t="s">
        <v>76</v>
      </c>
      <c r="G56" s="15" t="s">
        <v>62</v>
      </c>
      <c r="H56" s="15" t="s">
        <v>77</v>
      </c>
      <c r="J56" s="15" t="s">
        <v>280</v>
      </c>
      <c r="K56" s="15" t="s">
        <v>281</v>
      </c>
      <c r="L56" s="15" t="s">
        <v>282</v>
      </c>
      <c r="M56" s="15" t="s">
        <v>113</v>
      </c>
      <c r="O56" s="16" t="s">
        <v>278</v>
      </c>
      <c r="R56" s="28" t="str">
        <f aca="false">IFERROR(Q56/VLOOKUP(P56,'Exchange rates to USD'!$L$2:$N$225,3,FALSE()),"")</f>
        <v/>
      </c>
    </row>
    <row r="57" customFormat="false" ht="13.25" hidden="false" customHeight="true" outlineLevel="0" collapsed="false">
      <c r="A57" s="15" t="s">
        <v>283</v>
      </c>
      <c r="B57" s="15" t="s">
        <v>272</v>
      </c>
      <c r="C57" s="15" t="s">
        <v>58</v>
      </c>
      <c r="D57" s="15" t="s">
        <v>108</v>
      </c>
      <c r="E57" s="15" t="s">
        <v>116</v>
      </c>
      <c r="F57" s="15" t="s">
        <v>284</v>
      </c>
      <c r="G57" s="15" t="s">
        <v>62</v>
      </c>
      <c r="J57" s="15" t="s">
        <v>285</v>
      </c>
      <c r="K57" s="15" t="s">
        <v>282</v>
      </c>
      <c r="M57" s="15" t="s">
        <v>93</v>
      </c>
      <c r="O57" s="16" t="s">
        <v>278</v>
      </c>
      <c r="P57" s="15" t="s">
        <v>240</v>
      </c>
      <c r="Q57" s="17" t="n">
        <v>12</v>
      </c>
      <c r="R57" s="28" t="n">
        <f aca="false">IFERROR(Q57/VLOOKUP(P57,'Exchange rates to USD'!$L$2:$N$225,3,FALSE()),"")</f>
        <v>13.2320272928903</v>
      </c>
    </row>
    <row r="58" customFormat="false" ht="13.25" hidden="false" customHeight="true" outlineLevel="0" collapsed="false">
      <c r="A58" s="15" t="s">
        <v>286</v>
      </c>
      <c r="B58" s="15" t="s">
        <v>272</v>
      </c>
      <c r="C58" s="15" t="s">
        <v>232</v>
      </c>
      <c r="D58" s="15" t="s">
        <v>108</v>
      </c>
      <c r="E58" s="15" t="s">
        <v>76</v>
      </c>
      <c r="G58" s="15" t="s">
        <v>62</v>
      </c>
      <c r="H58" s="15" t="s">
        <v>77</v>
      </c>
      <c r="I58" s="15" t="s">
        <v>96</v>
      </c>
      <c r="J58" s="15" t="s">
        <v>287</v>
      </c>
      <c r="K58" s="15" t="s">
        <v>288</v>
      </c>
      <c r="L58" s="15" t="s">
        <v>289</v>
      </c>
      <c r="M58" s="15" t="s">
        <v>93</v>
      </c>
      <c r="O58" s="16" t="s">
        <v>278</v>
      </c>
      <c r="R58" s="28" t="str">
        <f aca="false">IFERROR(Q58/VLOOKUP(P58,'Exchange rates to USD'!$L$2:$N$225,3,FALSE()),"")</f>
        <v/>
      </c>
    </row>
    <row r="59" customFormat="false" ht="13.25" hidden="false" customHeight="true" outlineLevel="0" collapsed="false">
      <c r="A59" s="15" t="s">
        <v>290</v>
      </c>
      <c r="B59" s="15" t="s">
        <v>272</v>
      </c>
      <c r="C59" s="15" t="s">
        <v>232</v>
      </c>
      <c r="D59" s="15" t="s">
        <v>80</v>
      </c>
      <c r="E59" s="15" t="s">
        <v>76</v>
      </c>
      <c r="G59" s="15" t="s">
        <v>62</v>
      </c>
      <c r="H59" s="15" t="s">
        <v>96</v>
      </c>
      <c r="I59" s="15" t="s">
        <v>77</v>
      </c>
      <c r="J59" s="15" t="s">
        <v>291</v>
      </c>
      <c r="K59" s="15" t="s">
        <v>292</v>
      </c>
      <c r="M59" s="15" t="s">
        <v>70</v>
      </c>
      <c r="O59" s="16" t="s">
        <v>278</v>
      </c>
      <c r="R59" s="28" t="str">
        <f aca="false">IFERROR(Q59/VLOOKUP(P59,'Exchange rates to USD'!$L$2:$N$225,3,FALSE()),"")</f>
        <v/>
      </c>
    </row>
    <row r="60" customFormat="false" ht="13.25" hidden="false" customHeight="true" outlineLevel="0" collapsed="false">
      <c r="A60" s="15" t="s">
        <v>293</v>
      </c>
      <c r="B60" s="15" t="s">
        <v>272</v>
      </c>
      <c r="C60" s="15" t="s">
        <v>75</v>
      </c>
      <c r="D60" s="15" t="s">
        <v>59</v>
      </c>
      <c r="E60" s="15" t="s">
        <v>116</v>
      </c>
      <c r="F60" s="15" t="s">
        <v>294</v>
      </c>
      <c r="G60" s="15" t="s">
        <v>62</v>
      </c>
      <c r="J60" s="15" t="s">
        <v>295</v>
      </c>
      <c r="K60" s="15" t="s">
        <v>292</v>
      </c>
      <c r="L60" s="15" t="s">
        <v>296</v>
      </c>
      <c r="M60" s="15" t="s">
        <v>113</v>
      </c>
      <c r="O60" s="61" t="n">
        <v>44265</v>
      </c>
      <c r="P60" s="15" t="s">
        <v>240</v>
      </c>
      <c r="Q60" s="17" t="n">
        <v>191</v>
      </c>
      <c r="R60" s="28" t="n">
        <f aca="false">IFERROR(Q60/VLOOKUP(P60,'Exchange rates to USD'!$L$2:$N$225,3,FALSE()),"")</f>
        <v>210.60976774517</v>
      </c>
    </row>
    <row r="61" customFormat="false" ht="13.25" hidden="false" customHeight="true" outlineLevel="0" collapsed="false">
      <c r="A61" s="35" t="s">
        <v>297</v>
      </c>
      <c r="B61" s="35" t="s">
        <v>272</v>
      </c>
      <c r="C61" s="15" t="s">
        <v>75</v>
      </c>
      <c r="D61" s="35" t="s">
        <v>115</v>
      </c>
      <c r="E61" s="35" t="s">
        <v>263</v>
      </c>
      <c r="F61" s="35" t="s">
        <v>298</v>
      </c>
      <c r="G61" s="35" t="s">
        <v>77</v>
      </c>
      <c r="H61" s="35"/>
      <c r="I61" s="35"/>
      <c r="J61" s="35" t="s">
        <v>299</v>
      </c>
      <c r="K61" s="35" t="s">
        <v>300</v>
      </c>
      <c r="L61" s="35"/>
      <c r="M61" s="35" t="s">
        <v>93</v>
      </c>
      <c r="N61" s="35"/>
      <c r="O61" s="61" t="n">
        <v>44265</v>
      </c>
      <c r="P61" s="15" t="s">
        <v>240</v>
      </c>
      <c r="Q61" s="37" t="n">
        <v>23</v>
      </c>
      <c r="R61" s="28" t="n">
        <f aca="false">IFERROR(Q61/VLOOKUP(P61,'Exchange rates to USD'!$L$2:$N$225,3,FALSE()),"")</f>
        <v>25.3613856447063</v>
      </c>
    </row>
    <row r="62" s="35" customFormat="true" ht="13.25" hidden="false" customHeight="true" outlineLevel="0" collapsed="false">
      <c r="A62" s="15" t="s">
        <v>301</v>
      </c>
      <c r="B62" s="15" t="s">
        <v>272</v>
      </c>
      <c r="C62" s="35" t="s">
        <v>138</v>
      </c>
      <c r="E62" s="35" t="s">
        <v>76</v>
      </c>
      <c r="F62" s="35" t="s">
        <v>302</v>
      </c>
      <c r="J62" s="35" t="s">
        <v>303</v>
      </c>
      <c r="K62" s="62" t="s">
        <v>304</v>
      </c>
      <c r="M62" s="35" t="s">
        <v>70</v>
      </c>
      <c r="O62" s="61" t="n">
        <v>44265</v>
      </c>
      <c r="P62" s="15" t="s">
        <v>240</v>
      </c>
      <c r="Q62" s="37" t="n">
        <v>203</v>
      </c>
      <c r="R62" s="28" t="n">
        <f aca="false">IFERROR(Q62/VLOOKUP(P62,'Exchange rates to USD'!$L$2:$N$225,3,FALSE()),"")</f>
        <v>223.84179503806</v>
      </c>
      <c r="U62" s="15"/>
      <c r="V62" s="15"/>
      <c r="W62" s="15"/>
    </row>
    <row r="63" s="35" customFormat="true" ht="13.25" hidden="false" customHeight="true" outlineLevel="0" collapsed="false">
      <c r="A63" s="15" t="s">
        <v>305</v>
      </c>
      <c r="B63" s="15" t="s">
        <v>272</v>
      </c>
      <c r="C63" s="35" t="s">
        <v>232</v>
      </c>
      <c r="D63" s="35" t="s">
        <v>108</v>
      </c>
      <c r="E63" s="35" t="s">
        <v>149</v>
      </c>
      <c r="F63" s="29" t="s">
        <v>306</v>
      </c>
      <c r="G63" s="35" t="s">
        <v>96</v>
      </c>
      <c r="J63" s="63" t="s">
        <v>307</v>
      </c>
      <c r="K63" s="62"/>
      <c r="M63" s="35" t="s">
        <v>93</v>
      </c>
      <c r="O63" s="61" t="n">
        <v>44265</v>
      </c>
      <c r="P63" s="32" t="s">
        <v>240</v>
      </c>
      <c r="Q63" s="28" t="n">
        <v>40</v>
      </c>
      <c r="R63" s="28" t="n">
        <f aca="false">IFERROR(Q63/VLOOKUP(P63,'Exchange rates to USD'!$L$2:$N$225,3,FALSE()),"")</f>
        <v>44.1067576429675</v>
      </c>
      <c r="U63" s="15"/>
      <c r="V63" s="15"/>
      <c r="W63" s="15"/>
    </row>
    <row r="64" s="35" customFormat="true" ht="13.25" hidden="false" customHeight="true" outlineLevel="0" collapsed="false">
      <c r="A64" s="15" t="s">
        <v>308</v>
      </c>
      <c r="B64" s="15" t="s">
        <v>272</v>
      </c>
      <c r="C64" s="35" t="s">
        <v>232</v>
      </c>
      <c r="D64" s="35" t="s">
        <v>108</v>
      </c>
      <c r="E64" s="35" t="s">
        <v>149</v>
      </c>
      <c r="F64" s="29" t="s">
        <v>309</v>
      </c>
      <c r="G64" s="35" t="s">
        <v>96</v>
      </c>
      <c r="J64" s="63" t="s">
        <v>310</v>
      </c>
      <c r="K64" s="62"/>
      <c r="M64" s="35" t="s">
        <v>93</v>
      </c>
      <c r="O64" s="61" t="n">
        <v>44265</v>
      </c>
      <c r="P64" s="32" t="s">
        <v>240</v>
      </c>
      <c r="Q64" s="28" t="n">
        <v>30</v>
      </c>
      <c r="R64" s="28" t="n">
        <f aca="false">IFERROR(Q64/VLOOKUP(P64,'Exchange rates to USD'!$L$2:$N$225,3,FALSE()),"")</f>
        <v>33.0800682322256</v>
      </c>
      <c r="U64" s="15"/>
      <c r="V64" s="15"/>
      <c r="W64" s="15"/>
    </row>
    <row r="65" s="35" customFormat="true" ht="13.25" hidden="false" customHeight="true" outlineLevel="0" collapsed="false">
      <c r="A65" s="15" t="s">
        <v>311</v>
      </c>
      <c r="B65" s="15" t="s">
        <v>272</v>
      </c>
      <c r="C65" s="35" t="s">
        <v>232</v>
      </c>
      <c r="D65" s="35" t="s">
        <v>108</v>
      </c>
      <c r="E65" s="35" t="s">
        <v>149</v>
      </c>
      <c r="F65" s="29" t="s">
        <v>312</v>
      </c>
      <c r="G65" s="35" t="s">
        <v>96</v>
      </c>
      <c r="J65" s="63" t="s">
        <v>313</v>
      </c>
      <c r="K65" s="62"/>
      <c r="M65" s="35" t="s">
        <v>70</v>
      </c>
      <c r="O65" s="61" t="n">
        <v>44265</v>
      </c>
      <c r="P65" s="32" t="s">
        <v>240</v>
      </c>
      <c r="Q65" s="50" t="s">
        <v>314</v>
      </c>
      <c r="R65" s="28" t="n">
        <f aca="false">IFERROR(Q65/VLOOKUP(P65,'Exchange rates to USD'!$L$2:$N$225,3,FALSE()),"")</f>
        <v>2.15020443509467</v>
      </c>
      <c r="U65" s="15"/>
      <c r="V65" s="15"/>
      <c r="W65" s="15"/>
    </row>
    <row r="66" s="35" customFormat="true" ht="13.25" hidden="false" customHeight="true" outlineLevel="0" collapsed="false">
      <c r="A66" s="35" t="s">
        <v>315</v>
      </c>
      <c r="B66" s="35" t="s">
        <v>272</v>
      </c>
      <c r="C66" s="35" t="s">
        <v>232</v>
      </c>
      <c r="D66" s="35" t="s">
        <v>108</v>
      </c>
      <c r="E66" s="35" t="s">
        <v>116</v>
      </c>
      <c r="F66" s="29" t="s">
        <v>316</v>
      </c>
      <c r="G66" s="35" t="s">
        <v>105</v>
      </c>
      <c r="J66" s="63" t="s">
        <v>317</v>
      </c>
      <c r="K66" s="62"/>
      <c r="M66" s="35" t="s">
        <v>93</v>
      </c>
      <c r="O66" s="61" t="n">
        <v>44265</v>
      </c>
      <c r="P66" s="32" t="s">
        <v>240</v>
      </c>
      <c r="Q66" s="28" t="n">
        <v>10</v>
      </c>
      <c r="R66" s="28" t="n">
        <f aca="false">IFERROR(Q66/VLOOKUP(P66,'Exchange rates to USD'!$L$2:$N$225,3,FALSE()),"")</f>
        <v>11.0266894107419</v>
      </c>
      <c r="U66" s="15"/>
      <c r="V66" s="15"/>
      <c r="W66" s="15"/>
    </row>
    <row r="67" s="35" customFormat="true" ht="13.25" hidden="false" customHeight="true" outlineLevel="0" collapsed="false">
      <c r="A67" s="55" t="s">
        <v>318</v>
      </c>
      <c r="B67" s="55" t="s">
        <v>272</v>
      </c>
      <c r="C67" s="55" t="s">
        <v>232</v>
      </c>
      <c r="D67" s="55" t="s">
        <v>108</v>
      </c>
      <c r="E67" s="55" t="s">
        <v>90</v>
      </c>
      <c r="F67" s="64" t="s">
        <v>319</v>
      </c>
      <c r="G67" s="55" t="s">
        <v>105</v>
      </c>
      <c r="H67" s="55"/>
      <c r="I67" s="55"/>
      <c r="J67" s="65" t="s">
        <v>320</v>
      </c>
      <c r="K67" s="66"/>
      <c r="L67" s="55"/>
      <c r="M67" s="55" t="s">
        <v>93</v>
      </c>
      <c r="N67" s="55"/>
      <c r="O67" s="67" t="n">
        <v>44265</v>
      </c>
      <c r="P67" s="52" t="s">
        <v>240</v>
      </c>
      <c r="Q67" s="58" t="n">
        <v>15</v>
      </c>
      <c r="R67" s="58" t="n">
        <f aca="false">IFERROR(Q67/VLOOKUP(P67,'Exchange rates to USD'!$L$2:$N$225,3,FALSE()),"")</f>
        <v>16.5400341161128</v>
      </c>
      <c r="U67" s="15"/>
      <c r="V67" s="15"/>
      <c r="W67" s="15"/>
    </row>
    <row r="68" customFormat="false" ht="13.25" hidden="false" customHeight="true" outlineLevel="0" collapsed="false">
      <c r="A68" s="15" t="s">
        <v>321</v>
      </c>
      <c r="B68" s="15" t="s">
        <v>322</v>
      </c>
      <c r="C68" s="15" t="s">
        <v>232</v>
      </c>
      <c r="D68" s="15" t="s">
        <v>59</v>
      </c>
      <c r="E68" s="15" t="s">
        <v>95</v>
      </c>
      <c r="F68" s="15" t="s">
        <v>323</v>
      </c>
      <c r="G68" s="15" t="s">
        <v>105</v>
      </c>
      <c r="J68" s="27" t="s">
        <v>324</v>
      </c>
      <c r="K68" s="15" t="s">
        <v>325</v>
      </c>
      <c r="M68" s="15" t="s">
        <v>93</v>
      </c>
      <c r="P68" s="15" t="s">
        <v>326</v>
      </c>
      <c r="Q68" s="17" t="n">
        <v>1720</v>
      </c>
      <c r="R68" s="28" t="n">
        <f aca="false">IFERROR(Q68/VLOOKUP(P68,'Exchange rates to USD'!$L$2:$N$225,3,FALSE()),"")</f>
        <v>1313.159867257</v>
      </c>
    </row>
    <row r="69" customFormat="false" ht="13.25" hidden="false" customHeight="true" outlineLevel="0" collapsed="false">
      <c r="A69" s="15" t="s">
        <v>327</v>
      </c>
      <c r="B69" s="15" t="s">
        <v>322</v>
      </c>
      <c r="C69" s="15" t="s">
        <v>58</v>
      </c>
      <c r="D69" s="15" t="s">
        <v>59</v>
      </c>
      <c r="E69" s="15" t="s">
        <v>76</v>
      </c>
      <c r="F69" s="15" t="s">
        <v>328</v>
      </c>
      <c r="J69" s="15" t="s">
        <v>329</v>
      </c>
      <c r="K69" s="15" t="s">
        <v>330</v>
      </c>
      <c r="M69" s="15" t="s">
        <v>70</v>
      </c>
      <c r="P69" s="15" t="s">
        <v>326</v>
      </c>
      <c r="Q69" s="17" t="n">
        <v>65000</v>
      </c>
      <c r="R69" s="28" t="n">
        <f aca="false">IFERROR(Q69/VLOOKUP(P69,'Exchange rates to USD'!$L$2:$N$225,3,FALSE()),"")</f>
        <v>49625.2275416888</v>
      </c>
    </row>
    <row r="70" customFormat="false" ht="13.25" hidden="false" customHeight="true" outlineLevel="0" collapsed="false">
      <c r="A70" s="15" t="s">
        <v>331</v>
      </c>
      <c r="B70" s="15" t="s">
        <v>322</v>
      </c>
      <c r="C70" s="15" t="s">
        <v>58</v>
      </c>
      <c r="D70" s="15" t="s">
        <v>59</v>
      </c>
      <c r="E70" s="15" t="s">
        <v>95</v>
      </c>
      <c r="F70" s="15" t="s">
        <v>332</v>
      </c>
      <c r="G70" s="15" t="s">
        <v>62</v>
      </c>
      <c r="H70" s="15" t="s">
        <v>110</v>
      </c>
      <c r="J70" s="27" t="s">
        <v>333</v>
      </c>
      <c r="K70" s="15" t="s">
        <v>334</v>
      </c>
      <c r="M70" s="15" t="s">
        <v>93</v>
      </c>
      <c r="P70" s="15" t="s">
        <v>326</v>
      </c>
      <c r="Q70" s="17" t="n">
        <v>750</v>
      </c>
      <c r="R70" s="28" t="n">
        <f aca="false">IFERROR(Q70/VLOOKUP(P70,'Exchange rates to USD'!$L$2:$N$225,3,FALSE()),"")</f>
        <v>572.598779327178</v>
      </c>
    </row>
    <row r="71" customFormat="false" ht="13.25" hidden="false" customHeight="true" outlineLevel="0" collapsed="false">
      <c r="A71" s="15" t="s">
        <v>335</v>
      </c>
      <c r="B71" s="15" t="s">
        <v>322</v>
      </c>
      <c r="C71" s="15" t="s">
        <v>232</v>
      </c>
      <c r="D71" s="15" t="s">
        <v>59</v>
      </c>
      <c r="E71" s="15" t="s">
        <v>123</v>
      </c>
      <c r="F71" s="15" t="s">
        <v>336</v>
      </c>
      <c r="G71" s="15" t="s">
        <v>96</v>
      </c>
      <c r="H71" s="15" t="s">
        <v>62</v>
      </c>
      <c r="J71" s="15" t="s">
        <v>337</v>
      </c>
      <c r="K71" s="15" t="s">
        <v>338</v>
      </c>
      <c r="M71" s="15" t="s">
        <v>93</v>
      </c>
      <c r="P71" s="15" t="s">
        <v>326</v>
      </c>
      <c r="Q71" s="17" t="n">
        <v>50</v>
      </c>
      <c r="R71" s="28" t="n">
        <f aca="false">IFERROR(Q71/VLOOKUP(P71,'Exchange rates to USD'!$L$2:$N$225,3,FALSE()),"")</f>
        <v>38.1732519551452</v>
      </c>
    </row>
    <row r="72" customFormat="false" ht="13.25" hidden="false" customHeight="true" outlineLevel="0" collapsed="false">
      <c r="A72" s="15" t="s">
        <v>339</v>
      </c>
      <c r="B72" s="15" t="s">
        <v>322</v>
      </c>
      <c r="C72" s="15" t="s">
        <v>75</v>
      </c>
      <c r="D72" s="15" t="s">
        <v>59</v>
      </c>
      <c r="E72" s="15" t="s">
        <v>60</v>
      </c>
      <c r="F72" s="15" t="s">
        <v>340</v>
      </c>
      <c r="G72" s="15" t="s">
        <v>62</v>
      </c>
      <c r="H72" s="68" t="s">
        <v>110</v>
      </c>
      <c r="J72" s="15" t="s">
        <v>341</v>
      </c>
      <c r="K72" s="15" t="s">
        <v>342</v>
      </c>
      <c r="L72" s="15" t="s">
        <v>343</v>
      </c>
      <c r="M72" s="15" t="s">
        <v>65</v>
      </c>
      <c r="P72" s="15" t="s">
        <v>326</v>
      </c>
      <c r="Q72" s="17" t="n">
        <v>330</v>
      </c>
      <c r="R72" s="28" t="n">
        <f aca="false">IFERROR(Q72/VLOOKUP(P72,'Exchange rates to USD'!$L$2:$N$225,3,FALSE()),"")</f>
        <v>251.943462903958</v>
      </c>
    </row>
    <row r="73" customFormat="false" ht="13.25" hidden="false" customHeight="true" outlineLevel="0" collapsed="false">
      <c r="A73" s="15" t="s">
        <v>344</v>
      </c>
      <c r="B73" s="15" t="s">
        <v>322</v>
      </c>
      <c r="C73" s="15" t="s">
        <v>58</v>
      </c>
      <c r="D73" s="15" t="s">
        <v>108</v>
      </c>
      <c r="E73" s="15" t="s">
        <v>60</v>
      </c>
      <c r="F73" s="15" t="s">
        <v>345</v>
      </c>
      <c r="G73" s="15" t="s">
        <v>62</v>
      </c>
      <c r="J73" s="15" t="s">
        <v>346</v>
      </c>
      <c r="K73" s="15" t="s">
        <v>342</v>
      </c>
      <c r="M73" s="15" t="s">
        <v>65</v>
      </c>
      <c r="P73" s="15" t="s">
        <v>326</v>
      </c>
      <c r="Q73" s="17" t="n">
        <v>22.7</v>
      </c>
      <c r="R73" s="28" t="n">
        <f aca="false">IFERROR(Q73/VLOOKUP(P73,'Exchange rates to USD'!$L$2:$N$225,3,FALSE()),"")</f>
        <v>17.3306563876359</v>
      </c>
    </row>
    <row r="74" customFormat="false" ht="13.25" hidden="false" customHeight="true" outlineLevel="0" collapsed="false">
      <c r="A74" s="15" t="s">
        <v>347</v>
      </c>
      <c r="B74" s="15" t="s">
        <v>322</v>
      </c>
      <c r="C74" s="15" t="s">
        <v>75</v>
      </c>
      <c r="D74" s="15" t="s">
        <v>59</v>
      </c>
      <c r="E74" s="15" t="s">
        <v>76</v>
      </c>
      <c r="G74" s="15" t="s">
        <v>77</v>
      </c>
      <c r="J74" s="27" t="s">
        <v>348</v>
      </c>
      <c r="K74" s="15" t="s">
        <v>342</v>
      </c>
      <c r="M74" s="15" t="s">
        <v>70</v>
      </c>
      <c r="P74" s="15" t="s">
        <v>326</v>
      </c>
      <c r="R74" s="28" t="n">
        <f aca="false">IFERROR(Q74/VLOOKUP(P74,'Exchange rates to USD'!$L$2:$N$225,3,FALSE()),"")</f>
        <v>0</v>
      </c>
    </row>
    <row r="75" customFormat="false" ht="13.25" hidden="false" customHeight="true" outlineLevel="0" collapsed="false">
      <c r="A75" s="15" t="s">
        <v>349</v>
      </c>
      <c r="B75" s="15" t="s">
        <v>322</v>
      </c>
      <c r="C75" s="15" t="s">
        <v>58</v>
      </c>
      <c r="D75" s="15" t="s">
        <v>80</v>
      </c>
      <c r="E75" s="15" t="s">
        <v>76</v>
      </c>
      <c r="F75" s="15" t="s">
        <v>350</v>
      </c>
      <c r="G75" s="15" t="s">
        <v>62</v>
      </c>
      <c r="H75" s="15" t="s">
        <v>110</v>
      </c>
      <c r="J75" s="15" t="s">
        <v>351</v>
      </c>
      <c r="K75" s="15" t="s">
        <v>352</v>
      </c>
      <c r="M75" s="15" t="s">
        <v>113</v>
      </c>
      <c r="P75" s="15" t="s">
        <v>326</v>
      </c>
      <c r="Q75" s="17" t="n">
        <v>2200</v>
      </c>
      <c r="R75" s="28" t="n">
        <f aca="false">IFERROR(Q75/VLOOKUP(P75,'Exchange rates to USD'!$L$2:$N$225,3,FALSE()),"")</f>
        <v>1679.62308602639</v>
      </c>
    </row>
    <row r="76" customFormat="false" ht="13.25" hidden="false" customHeight="true" outlineLevel="0" collapsed="false">
      <c r="A76" s="15" t="s">
        <v>353</v>
      </c>
      <c r="B76" s="15" t="s">
        <v>322</v>
      </c>
      <c r="C76" s="15" t="s">
        <v>75</v>
      </c>
      <c r="D76" s="15" t="s">
        <v>108</v>
      </c>
      <c r="E76" s="15" t="s">
        <v>95</v>
      </c>
      <c r="F76" s="15" t="s">
        <v>354</v>
      </c>
      <c r="G76" s="15" t="s">
        <v>62</v>
      </c>
      <c r="H76" s="15" t="s">
        <v>110</v>
      </c>
      <c r="J76" s="15" t="s">
        <v>355</v>
      </c>
      <c r="K76" s="15" t="s">
        <v>356</v>
      </c>
      <c r="M76" s="15" t="s">
        <v>113</v>
      </c>
      <c r="P76" s="15" t="s">
        <v>326</v>
      </c>
      <c r="Q76" s="17" t="n">
        <v>113</v>
      </c>
      <c r="R76" s="28" t="n">
        <f aca="false">IFERROR(Q76/VLOOKUP(P76,'Exchange rates to USD'!$L$2:$N$225,3,FALSE()),"")</f>
        <v>86.2715494186282</v>
      </c>
    </row>
    <row r="77" customFormat="false" ht="13.25" hidden="false" customHeight="true" outlineLevel="0" collapsed="false">
      <c r="A77" s="15" t="s">
        <v>357</v>
      </c>
      <c r="B77" s="15" t="s">
        <v>322</v>
      </c>
      <c r="C77" s="15" t="s">
        <v>122</v>
      </c>
      <c r="D77" s="15" t="s">
        <v>108</v>
      </c>
      <c r="E77" s="15" t="s">
        <v>95</v>
      </c>
      <c r="G77" s="15" t="s">
        <v>62</v>
      </c>
      <c r="H77" s="15" t="s">
        <v>110</v>
      </c>
      <c r="J77" s="15" t="s">
        <v>358</v>
      </c>
      <c r="K77" s="15" t="s">
        <v>356</v>
      </c>
      <c r="M77" s="15" t="s">
        <v>65</v>
      </c>
      <c r="P77" s="15" t="s">
        <v>326</v>
      </c>
      <c r="R77" s="28" t="n">
        <f aca="false">IFERROR(Q77/VLOOKUP(P77,'Exchange rates to USD'!$L$2:$N$225,3,FALSE()),"")</f>
        <v>0</v>
      </c>
    </row>
    <row r="78" customFormat="false" ht="13.25" hidden="false" customHeight="true" outlineLevel="0" collapsed="false">
      <c r="A78" s="15" t="s">
        <v>359</v>
      </c>
      <c r="B78" s="15" t="s">
        <v>322</v>
      </c>
      <c r="C78" s="15" t="s">
        <v>58</v>
      </c>
      <c r="D78" s="15" t="s">
        <v>108</v>
      </c>
      <c r="E78" s="15" t="s">
        <v>233</v>
      </c>
      <c r="F78" s="15" t="s">
        <v>360</v>
      </c>
      <c r="G78" s="15" t="s">
        <v>62</v>
      </c>
      <c r="H78" s="15" t="s">
        <v>110</v>
      </c>
      <c r="J78" s="15" t="s">
        <v>361</v>
      </c>
      <c r="K78" s="15" t="s">
        <v>362</v>
      </c>
      <c r="M78" s="15" t="s">
        <v>93</v>
      </c>
      <c r="P78" s="15" t="s">
        <v>326</v>
      </c>
      <c r="Q78" s="17" t="n">
        <v>1000</v>
      </c>
      <c r="R78" s="28" t="n">
        <f aca="false">IFERROR(Q78/VLOOKUP(P78,'Exchange rates to USD'!$L$2:$N$225,3,FALSE()),"")</f>
        <v>763.465039102904</v>
      </c>
    </row>
    <row r="79" customFormat="false" ht="13.25" hidden="false" customHeight="true" outlineLevel="0" collapsed="false">
      <c r="A79" s="15" t="s">
        <v>363</v>
      </c>
      <c r="B79" s="15" t="s">
        <v>322</v>
      </c>
      <c r="C79" s="15" t="s">
        <v>232</v>
      </c>
      <c r="D79" s="15" t="s">
        <v>108</v>
      </c>
      <c r="E79" s="15" t="s">
        <v>60</v>
      </c>
      <c r="G79" s="15" t="s">
        <v>62</v>
      </c>
      <c r="J79" s="27" t="s">
        <v>364</v>
      </c>
      <c r="K79" s="15" t="s">
        <v>362</v>
      </c>
      <c r="M79" s="15" t="s">
        <v>65</v>
      </c>
      <c r="P79" s="15" t="s">
        <v>326</v>
      </c>
      <c r="R79" s="28" t="n">
        <f aca="false">IFERROR(Q79/VLOOKUP(P79,'Exchange rates to USD'!$L$2:$N$225,3,FALSE()),"")</f>
        <v>0</v>
      </c>
    </row>
    <row r="80" customFormat="false" ht="13.25" hidden="false" customHeight="true" outlineLevel="0" collapsed="false">
      <c r="A80" s="15" t="s">
        <v>365</v>
      </c>
      <c r="B80" s="15" t="s">
        <v>322</v>
      </c>
      <c r="C80" s="15" t="s">
        <v>232</v>
      </c>
      <c r="D80" s="15" t="s">
        <v>108</v>
      </c>
      <c r="E80" s="15" t="s">
        <v>95</v>
      </c>
      <c r="G80" s="15" t="s">
        <v>62</v>
      </c>
      <c r="H80" s="15" t="s">
        <v>110</v>
      </c>
      <c r="J80" s="27" t="s">
        <v>366</v>
      </c>
      <c r="K80" s="15" t="s">
        <v>367</v>
      </c>
      <c r="M80" s="15" t="s">
        <v>65</v>
      </c>
      <c r="P80" s="15" t="s">
        <v>326</v>
      </c>
      <c r="R80" s="28" t="n">
        <f aca="false">IFERROR(Q80/VLOOKUP(P80,'Exchange rates to USD'!$L$2:$N$225,3,FALSE()),"")</f>
        <v>0</v>
      </c>
    </row>
    <row r="81" customFormat="false" ht="13.25" hidden="false" customHeight="true" outlineLevel="0" collapsed="false">
      <c r="A81" s="15" t="s">
        <v>368</v>
      </c>
      <c r="B81" s="15" t="s">
        <v>322</v>
      </c>
      <c r="C81" s="15" t="s">
        <v>232</v>
      </c>
      <c r="D81" s="15" t="s">
        <v>59</v>
      </c>
      <c r="E81" s="15" t="s">
        <v>123</v>
      </c>
      <c r="F81" s="15" t="s">
        <v>369</v>
      </c>
      <c r="G81" s="15" t="s">
        <v>62</v>
      </c>
      <c r="H81" s="15" t="s">
        <v>96</v>
      </c>
      <c r="J81" s="15" t="s">
        <v>370</v>
      </c>
      <c r="K81" s="15" t="s">
        <v>342</v>
      </c>
      <c r="M81" s="15" t="s">
        <v>113</v>
      </c>
      <c r="O81" s="16" t="n">
        <v>44151</v>
      </c>
      <c r="P81" s="15" t="s">
        <v>326</v>
      </c>
      <c r="Q81" s="17" t="n">
        <v>200</v>
      </c>
      <c r="R81" s="28" t="n">
        <f aca="false">IFERROR(Q81/VLOOKUP(P81,'Exchange rates to USD'!$L$2:$N$225,3,FALSE()),"")</f>
        <v>152.693007820581</v>
      </c>
    </row>
    <row r="82" customFormat="false" ht="13.25" hidden="false" customHeight="true" outlineLevel="0" collapsed="false">
      <c r="A82" s="15" t="s">
        <v>371</v>
      </c>
      <c r="B82" s="15" t="s">
        <v>322</v>
      </c>
      <c r="C82" s="15" t="s">
        <v>58</v>
      </c>
      <c r="D82" s="15" t="s">
        <v>59</v>
      </c>
      <c r="E82" s="15" t="s">
        <v>123</v>
      </c>
      <c r="F82" s="15" t="s">
        <v>372</v>
      </c>
      <c r="G82" s="15" t="s">
        <v>62</v>
      </c>
      <c r="H82" s="15" t="s">
        <v>96</v>
      </c>
      <c r="J82" s="27" t="s">
        <v>373</v>
      </c>
      <c r="K82" s="15" t="s">
        <v>342</v>
      </c>
      <c r="M82" s="15" t="s">
        <v>113</v>
      </c>
      <c r="O82" s="16" t="n">
        <v>44151</v>
      </c>
      <c r="P82" s="15" t="s">
        <v>326</v>
      </c>
      <c r="Q82" s="17" t="n">
        <v>62.5</v>
      </c>
      <c r="R82" s="28" t="n">
        <f aca="false">IFERROR(Q82/VLOOKUP(P82,'Exchange rates to USD'!$L$2:$N$225,3,FALSE()),"")</f>
        <v>47.7165649439315</v>
      </c>
    </row>
    <row r="83" customFormat="false" ht="13.25" hidden="false" customHeight="true" outlineLevel="0" collapsed="false">
      <c r="A83" s="15" t="s">
        <v>374</v>
      </c>
      <c r="B83" s="15" t="s">
        <v>322</v>
      </c>
      <c r="C83" s="15" t="s">
        <v>58</v>
      </c>
      <c r="D83" s="15" t="s">
        <v>59</v>
      </c>
      <c r="E83" s="15" t="s">
        <v>76</v>
      </c>
      <c r="F83" s="15" t="s">
        <v>375</v>
      </c>
      <c r="G83" s="15" t="s">
        <v>62</v>
      </c>
      <c r="H83" s="15" t="s">
        <v>110</v>
      </c>
      <c r="I83" s="15" t="s">
        <v>158</v>
      </c>
      <c r="J83" s="27" t="s">
        <v>376</v>
      </c>
      <c r="K83" s="15" t="s">
        <v>342</v>
      </c>
      <c r="L83" s="15" t="s">
        <v>377</v>
      </c>
      <c r="M83" s="15" t="s">
        <v>93</v>
      </c>
      <c r="O83" s="16" t="n">
        <v>44151</v>
      </c>
      <c r="P83" s="15" t="s">
        <v>326</v>
      </c>
      <c r="Q83" s="17" t="n">
        <v>3000</v>
      </c>
      <c r="R83" s="28" t="n">
        <f aca="false">IFERROR(Q83/VLOOKUP(P83,'Exchange rates to USD'!$L$2:$N$225,3,FALSE()),"")</f>
        <v>2290.39511730871</v>
      </c>
    </row>
    <row r="84" customFormat="false" ht="13.25" hidden="false" customHeight="true" outlineLevel="0" collapsed="false">
      <c r="A84" s="15" t="s">
        <v>378</v>
      </c>
      <c r="B84" s="15" t="s">
        <v>322</v>
      </c>
      <c r="C84" s="15" t="s">
        <v>58</v>
      </c>
      <c r="D84" s="15" t="s">
        <v>108</v>
      </c>
      <c r="E84" s="15" t="s">
        <v>95</v>
      </c>
      <c r="F84" s="15" t="s">
        <v>379</v>
      </c>
      <c r="G84" s="15" t="s">
        <v>62</v>
      </c>
      <c r="H84" s="15" t="s">
        <v>380</v>
      </c>
      <c r="I84" s="15" t="s">
        <v>77</v>
      </c>
      <c r="J84" s="15" t="s">
        <v>381</v>
      </c>
      <c r="K84" s="15" t="s">
        <v>342</v>
      </c>
      <c r="L84" s="15" t="s">
        <v>382</v>
      </c>
      <c r="M84" s="15" t="s">
        <v>70</v>
      </c>
      <c r="N84" s="15" t="s">
        <v>383</v>
      </c>
      <c r="O84" s="16" t="n">
        <v>44151</v>
      </c>
      <c r="P84" s="15" t="s">
        <v>326</v>
      </c>
      <c r="Q84" s="17" t="n">
        <v>320</v>
      </c>
      <c r="R84" s="28" t="n">
        <f aca="false">IFERROR(Q84/VLOOKUP(P84,'Exchange rates to USD'!$L$2:$N$225,3,FALSE()),"")</f>
        <v>244.308812512929</v>
      </c>
    </row>
    <row r="85" customFormat="false" ht="13.25" hidden="false" customHeight="true" outlineLevel="0" collapsed="false">
      <c r="A85" s="15" t="s">
        <v>384</v>
      </c>
      <c r="B85" s="15" t="s">
        <v>322</v>
      </c>
      <c r="C85" s="15" t="s">
        <v>58</v>
      </c>
      <c r="D85" s="15" t="s">
        <v>108</v>
      </c>
      <c r="E85" s="15" t="s">
        <v>233</v>
      </c>
      <c r="F85" s="15" t="s">
        <v>385</v>
      </c>
      <c r="G85" s="15" t="s">
        <v>62</v>
      </c>
      <c r="H85" s="15" t="s">
        <v>110</v>
      </c>
      <c r="J85" s="15" t="s">
        <v>386</v>
      </c>
      <c r="K85" s="15" t="s">
        <v>387</v>
      </c>
      <c r="L85" s="15" t="s">
        <v>388</v>
      </c>
      <c r="M85" s="15" t="s">
        <v>93</v>
      </c>
      <c r="O85" s="16" t="n">
        <v>44151</v>
      </c>
      <c r="P85" s="15" t="s">
        <v>326</v>
      </c>
      <c r="Q85" s="17" t="n">
        <v>2300</v>
      </c>
      <c r="R85" s="28" t="n">
        <f aca="false">IFERROR(Q85/VLOOKUP(P85,'Exchange rates to USD'!$L$2:$N$225,3,FALSE()),"")</f>
        <v>1755.96958993668</v>
      </c>
    </row>
    <row r="86" customFormat="false" ht="13.25" hidden="false" customHeight="true" outlineLevel="0" collapsed="false">
      <c r="A86" s="15" t="s">
        <v>389</v>
      </c>
      <c r="B86" s="15" t="s">
        <v>322</v>
      </c>
      <c r="C86" s="15" t="s">
        <v>75</v>
      </c>
      <c r="D86" s="15" t="s">
        <v>115</v>
      </c>
      <c r="E86" s="15" t="s">
        <v>123</v>
      </c>
      <c r="F86" s="15" t="s">
        <v>390</v>
      </c>
      <c r="G86" s="15" t="s">
        <v>77</v>
      </c>
      <c r="J86" s="15" t="s">
        <v>391</v>
      </c>
      <c r="K86" s="15" t="s">
        <v>392</v>
      </c>
      <c r="M86" s="15" t="s">
        <v>113</v>
      </c>
      <c r="O86" s="16" t="n">
        <v>44155</v>
      </c>
      <c r="P86" s="15" t="s">
        <v>326</v>
      </c>
      <c r="Q86" s="17" t="n">
        <v>469</v>
      </c>
      <c r="R86" s="28" t="n">
        <f aca="false">IFERROR(Q86/VLOOKUP(P86,'Exchange rates to USD'!$L$2:$N$225,3,FALSE()),"")</f>
        <v>358.065103339262</v>
      </c>
    </row>
    <row r="87" customFormat="false" ht="13.25" hidden="false" customHeight="true" outlineLevel="0" collapsed="false">
      <c r="A87" s="15" t="s">
        <v>393</v>
      </c>
      <c r="B87" s="15" t="s">
        <v>322</v>
      </c>
      <c r="C87" s="15" t="s">
        <v>75</v>
      </c>
      <c r="D87" s="15" t="s">
        <v>59</v>
      </c>
      <c r="E87" s="15" t="s">
        <v>263</v>
      </c>
      <c r="F87" s="15" t="s">
        <v>394</v>
      </c>
      <c r="G87" s="15" t="s">
        <v>77</v>
      </c>
      <c r="H87" s="15" t="s">
        <v>77</v>
      </c>
      <c r="J87" s="15" t="s">
        <v>395</v>
      </c>
      <c r="K87" s="15" t="s">
        <v>396</v>
      </c>
      <c r="M87" s="15" t="s">
        <v>113</v>
      </c>
      <c r="O87" s="16" t="n">
        <v>44155</v>
      </c>
      <c r="P87" s="15" t="s">
        <v>326</v>
      </c>
      <c r="Q87" s="17" t="n">
        <v>30</v>
      </c>
      <c r="R87" s="28" t="n">
        <f aca="false">IFERROR(Q87/VLOOKUP(P87,'Exchange rates to USD'!$L$2:$N$225,3,FALSE()),"")</f>
        <v>22.9039511730871</v>
      </c>
    </row>
    <row r="88" customFormat="false" ht="13.25" hidden="false" customHeight="true" outlineLevel="0" collapsed="false">
      <c r="A88" s="15" t="s">
        <v>397</v>
      </c>
      <c r="B88" s="15" t="s">
        <v>322</v>
      </c>
      <c r="C88" s="15" t="s">
        <v>58</v>
      </c>
      <c r="D88" s="15" t="s">
        <v>59</v>
      </c>
      <c r="E88" s="15" t="s">
        <v>76</v>
      </c>
      <c r="F88" s="15" t="s">
        <v>398</v>
      </c>
      <c r="G88" s="15" t="s">
        <v>77</v>
      </c>
      <c r="J88" s="15" t="s">
        <v>399</v>
      </c>
      <c r="K88" s="15" t="s">
        <v>342</v>
      </c>
      <c r="M88" s="15" t="s">
        <v>113</v>
      </c>
      <c r="O88" s="16" t="n">
        <v>44155</v>
      </c>
      <c r="P88" s="15" t="s">
        <v>326</v>
      </c>
      <c r="Q88" s="17" t="n">
        <v>53</v>
      </c>
      <c r="R88" s="28" t="n">
        <f aca="false">IFERROR(Q88/VLOOKUP(P88,'Exchange rates to USD'!$L$2:$N$225,3,FALSE()),"")</f>
        <v>40.4636470724539</v>
      </c>
    </row>
    <row r="89" customFormat="false" ht="13.25" hidden="false" customHeight="true" outlineLevel="0" collapsed="false">
      <c r="A89" s="15" t="s">
        <v>400</v>
      </c>
      <c r="B89" s="15" t="s">
        <v>322</v>
      </c>
      <c r="C89" s="15" t="s">
        <v>75</v>
      </c>
      <c r="D89" s="15" t="s">
        <v>108</v>
      </c>
      <c r="E89" s="15" t="s">
        <v>95</v>
      </c>
      <c r="F89" s="15" t="s">
        <v>401</v>
      </c>
      <c r="G89" s="15" t="s">
        <v>62</v>
      </c>
      <c r="H89" s="15" t="s">
        <v>62</v>
      </c>
      <c r="J89" s="15" t="s">
        <v>402</v>
      </c>
      <c r="K89" s="15" t="s">
        <v>396</v>
      </c>
      <c r="L89" s="27" t="s">
        <v>403</v>
      </c>
      <c r="M89" s="15" t="s">
        <v>93</v>
      </c>
      <c r="N89" s="15" t="s">
        <v>404</v>
      </c>
      <c r="O89" s="16" t="n">
        <v>44155</v>
      </c>
      <c r="P89" s="15" t="s">
        <v>326</v>
      </c>
      <c r="Q89" s="17" t="n">
        <v>141.5</v>
      </c>
      <c r="R89" s="28" t="n">
        <f aca="false">IFERROR(Q89/VLOOKUP(P89,'Exchange rates to USD'!$L$2:$N$225,3,FALSE()),"")</f>
        <v>108.030303033061</v>
      </c>
    </row>
    <row r="90" customFormat="false" ht="13.25" hidden="false" customHeight="true" outlineLevel="0" collapsed="false">
      <c r="A90" s="15" t="s">
        <v>405</v>
      </c>
      <c r="B90" s="15" t="s">
        <v>322</v>
      </c>
      <c r="C90" s="15" t="s">
        <v>75</v>
      </c>
      <c r="D90" s="15" t="s">
        <v>108</v>
      </c>
      <c r="E90" s="15" t="s">
        <v>233</v>
      </c>
      <c r="F90" s="15" t="s">
        <v>406</v>
      </c>
      <c r="G90" s="15" t="s">
        <v>62</v>
      </c>
      <c r="J90" s="15" t="s">
        <v>407</v>
      </c>
      <c r="K90" s="15" t="s">
        <v>396</v>
      </c>
      <c r="L90" s="15" t="s">
        <v>408</v>
      </c>
      <c r="M90" s="15" t="s">
        <v>113</v>
      </c>
      <c r="N90" s="15" t="s">
        <v>409</v>
      </c>
      <c r="O90" s="16" t="n">
        <v>44155</v>
      </c>
      <c r="P90" s="15" t="s">
        <v>326</v>
      </c>
      <c r="Q90" s="17" t="n">
        <v>64.4</v>
      </c>
      <c r="R90" s="28" t="n">
        <f aca="false">IFERROR(Q90/VLOOKUP(P90,'Exchange rates to USD'!$L$2:$N$225,3,FALSE()),"")</f>
        <v>49.1671485182271</v>
      </c>
    </row>
    <row r="91" customFormat="false" ht="13.25" hidden="false" customHeight="true" outlineLevel="0" collapsed="false">
      <c r="A91" s="15" t="s">
        <v>410</v>
      </c>
      <c r="B91" s="15" t="s">
        <v>322</v>
      </c>
      <c r="C91" s="15" t="s">
        <v>75</v>
      </c>
      <c r="D91" s="15" t="s">
        <v>108</v>
      </c>
      <c r="E91" s="15" t="s">
        <v>95</v>
      </c>
      <c r="F91" s="15" t="s">
        <v>411</v>
      </c>
      <c r="G91" s="15" t="s">
        <v>62</v>
      </c>
      <c r="H91" s="15" t="s">
        <v>110</v>
      </c>
      <c r="J91" s="15" t="s">
        <v>412</v>
      </c>
      <c r="K91" s="15" t="s">
        <v>396</v>
      </c>
      <c r="L91" s="15" t="s">
        <v>413</v>
      </c>
      <c r="M91" s="15" t="s">
        <v>113</v>
      </c>
      <c r="N91" s="15" t="s">
        <v>404</v>
      </c>
      <c r="O91" s="16" t="n">
        <v>44155</v>
      </c>
      <c r="P91" s="15" t="s">
        <v>326</v>
      </c>
      <c r="Q91" s="17" t="n">
        <v>58</v>
      </c>
      <c r="R91" s="28" t="n">
        <f aca="false">IFERROR(Q91/VLOOKUP(P91,'Exchange rates to USD'!$L$2:$N$225,3,FALSE()),"")</f>
        <v>44.2809722679685</v>
      </c>
    </row>
    <row r="92" customFormat="false" ht="13.25" hidden="false" customHeight="true" outlineLevel="0" collapsed="false">
      <c r="A92" s="15" t="s">
        <v>414</v>
      </c>
      <c r="B92" s="15" t="s">
        <v>322</v>
      </c>
      <c r="C92" s="15" t="s">
        <v>58</v>
      </c>
      <c r="D92" s="15" t="s">
        <v>108</v>
      </c>
      <c r="E92" s="15" t="s">
        <v>95</v>
      </c>
      <c r="F92" s="15" t="s">
        <v>415</v>
      </c>
      <c r="G92" s="15" t="s">
        <v>62</v>
      </c>
      <c r="H92" s="15" t="s">
        <v>110</v>
      </c>
      <c r="J92" s="15" t="s">
        <v>416</v>
      </c>
      <c r="K92" s="15" t="s">
        <v>396</v>
      </c>
      <c r="L92" s="15" t="s">
        <v>417</v>
      </c>
      <c r="M92" s="15" t="s">
        <v>113</v>
      </c>
      <c r="O92" s="16" t="n">
        <v>44155</v>
      </c>
      <c r="P92" s="15" t="s">
        <v>326</v>
      </c>
      <c r="Q92" s="17" t="n">
        <v>50</v>
      </c>
      <c r="R92" s="28" t="n">
        <f aca="false">IFERROR(Q92/VLOOKUP(P92,'Exchange rates to USD'!$L$2:$N$225,3,FALSE()),"")</f>
        <v>38.1732519551452</v>
      </c>
    </row>
    <row r="93" customFormat="false" ht="13.25" hidden="false" customHeight="true" outlineLevel="0" collapsed="false">
      <c r="A93" s="15" t="s">
        <v>418</v>
      </c>
      <c r="B93" s="15" t="s">
        <v>322</v>
      </c>
      <c r="C93" s="15" t="s">
        <v>75</v>
      </c>
      <c r="D93" s="15" t="s">
        <v>108</v>
      </c>
      <c r="E93" s="15" t="s">
        <v>95</v>
      </c>
      <c r="F93" s="15" t="s">
        <v>419</v>
      </c>
      <c r="G93" s="15" t="s">
        <v>62</v>
      </c>
      <c r="J93" s="15" t="s">
        <v>420</v>
      </c>
      <c r="K93" s="15" t="s">
        <v>396</v>
      </c>
      <c r="L93" s="15" t="s">
        <v>421</v>
      </c>
      <c r="M93" s="15" t="s">
        <v>113</v>
      </c>
      <c r="O93" s="16" t="n">
        <v>44155</v>
      </c>
      <c r="P93" s="15" t="s">
        <v>326</v>
      </c>
      <c r="Q93" s="17" t="n">
        <v>2900</v>
      </c>
      <c r="R93" s="28" t="n">
        <f aca="false">IFERROR(Q93/VLOOKUP(P93,'Exchange rates to USD'!$L$2:$N$225,3,FALSE()),"")</f>
        <v>2214.04861339842</v>
      </c>
    </row>
    <row r="94" customFormat="false" ht="13.25" hidden="false" customHeight="true" outlineLevel="0" collapsed="false">
      <c r="A94" s="15" t="s">
        <v>422</v>
      </c>
      <c r="B94" s="15" t="s">
        <v>322</v>
      </c>
      <c r="C94" s="15" t="s">
        <v>75</v>
      </c>
      <c r="D94" s="15" t="s">
        <v>108</v>
      </c>
      <c r="E94" s="15" t="s">
        <v>233</v>
      </c>
      <c r="F94" s="15" t="s">
        <v>423</v>
      </c>
      <c r="G94" s="15" t="s">
        <v>62</v>
      </c>
      <c r="H94" s="15" t="s">
        <v>110</v>
      </c>
      <c r="J94" s="15" t="s">
        <v>424</v>
      </c>
      <c r="K94" s="15" t="s">
        <v>396</v>
      </c>
      <c r="L94" s="15" t="s">
        <v>425</v>
      </c>
      <c r="M94" s="15" t="s">
        <v>93</v>
      </c>
      <c r="N94" s="15" t="s">
        <v>426</v>
      </c>
      <c r="O94" s="16" t="n">
        <v>44155</v>
      </c>
      <c r="P94" s="15" t="s">
        <v>326</v>
      </c>
      <c r="Q94" s="17" t="n">
        <v>295</v>
      </c>
      <c r="R94" s="28" t="n">
        <f aca="false">IFERROR(Q94/VLOOKUP(P94,'Exchange rates to USD'!$L$2:$N$225,3,FALSE()),"")</f>
        <v>225.222186535357</v>
      </c>
    </row>
    <row r="95" customFormat="false" ht="13.25" hidden="false" customHeight="true" outlineLevel="0" collapsed="false">
      <c r="A95" s="15" t="s">
        <v>427</v>
      </c>
      <c r="B95" s="15" t="s">
        <v>322</v>
      </c>
      <c r="C95" s="15" t="s">
        <v>75</v>
      </c>
      <c r="D95" s="15" t="s">
        <v>108</v>
      </c>
      <c r="E95" s="15" t="s">
        <v>95</v>
      </c>
      <c r="F95" s="15" t="s">
        <v>428</v>
      </c>
      <c r="G95" s="15" t="s">
        <v>62</v>
      </c>
      <c r="J95" s="15" t="s">
        <v>429</v>
      </c>
      <c r="K95" s="15" t="s">
        <v>396</v>
      </c>
      <c r="L95" s="15" t="s">
        <v>430</v>
      </c>
      <c r="M95" s="15" t="s">
        <v>113</v>
      </c>
      <c r="N95" s="15" t="s">
        <v>431</v>
      </c>
      <c r="O95" s="16" t="n">
        <v>44155</v>
      </c>
      <c r="P95" s="15" t="s">
        <v>326</v>
      </c>
      <c r="Q95" s="17" t="n">
        <v>70</v>
      </c>
      <c r="R95" s="28" t="n">
        <f aca="false">IFERROR(Q95/VLOOKUP(P95,'Exchange rates to USD'!$L$2:$N$225,3,FALSE()),"")</f>
        <v>53.4425527372033</v>
      </c>
    </row>
    <row r="96" customFormat="false" ht="13.25" hidden="false" customHeight="true" outlineLevel="0" collapsed="false">
      <c r="A96" s="15" t="s">
        <v>432</v>
      </c>
      <c r="B96" s="15" t="s">
        <v>322</v>
      </c>
      <c r="C96" s="15" t="s">
        <v>75</v>
      </c>
      <c r="D96" s="15" t="s">
        <v>108</v>
      </c>
      <c r="E96" s="15" t="s">
        <v>95</v>
      </c>
      <c r="F96" s="15" t="s">
        <v>433</v>
      </c>
      <c r="G96" s="15" t="s">
        <v>62</v>
      </c>
      <c r="J96" s="15" t="s">
        <v>434</v>
      </c>
      <c r="K96" s="15" t="s">
        <v>396</v>
      </c>
      <c r="L96" s="15" t="s">
        <v>435</v>
      </c>
      <c r="M96" s="15" t="s">
        <v>93</v>
      </c>
      <c r="O96" s="16" t="n">
        <v>44155</v>
      </c>
      <c r="P96" s="15" t="s">
        <v>326</v>
      </c>
      <c r="Q96" s="17" t="n">
        <v>16.67</v>
      </c>
      <c r="R96" s="28" t="n">
        <f aca="false">IFERROR(Q96/VLOOKUP(P96,'Exchange rates to USD'!$L$2:$N$225,3,FALSE()),"")</f>
        <v>12.7269622018454</v>
      </c>
    </row>
    <row r="97" customFormat="false" ht="13.25" hidden="false" customHeight="true" outlineLevel="0" collapsed="false">
      <c r="A97" s="15" t="s">
        <v>436</v>
      </c>
      <c r="B97" s="15" t="s">
        <v>322</v>
      </c>
      <c r="C97" s="15" t="s">
        <v>75</v>
      </c>
      <c r="D97" s="15" t="s">
        <v>108</v>
      </c>
      <c r="E97" s="15" t="s">
        <v>95</v>
      </c>
      <c r="F97" s="15" t="s">
        <v>437</v>
      </c>
      <c r="G97" s="15" t="s">
        <v>62</v>
      </c>
      <c r="J97" s="15" t="s">
        <v>438</v>
      </c>
      <c r="K97" s="15" t="s">
        <v>396</v>
      </c>
      <c r="L97" s="15" t="s">
        <v>439</v>
      </c>
      <c r="M97" s="15" t="s">
        <v>113</v>
      </c>
      <c r="N97" s="15" t="s">
        <v>440</v>
      </c>
      <c r="O97" s="16" t="n">
        <v>44155</v>
      </c>
      <c r="P97" s="15" t="s">
        <v>326</v>
      </c>
      <c r="Q97" s="17" t="n">
        <v>18</v>
      </c>
      <c r="R97" s="28" t="n">
        <f aca="false">IFERROR(Q97/VLOOKUP(P97,'Exchange rates to USD'!$L$2:$N$225,3,FALSE()),"")</f>
        <v>13.7423707038523</v>
      </c>
    </row>
    <row r="98" customFormat="false" ht="13.25" hidden="false" customHeight="true" outlineLevel="0" collapsed="false">
      <c r="A98" s="15" t="s">
        <v>441</v>
      </c>
      <c r="B98" s="15" t="s">
        <v>322</v>
      </c>
      <c r="C98" s="15" t="s">
        <v>75</v>
      </c>
      <c r="D98" s="15" t="s">
        <v>108</v>
      </c>
      <c r="E98" s="15" t="s">
        <v>95</v>
      </c>
      <c r="F98" s="15" t="s">
        <v>442</v>
      </c>
      <c r="G98" s="15" t="s">
        <v>62</v>
      </c>
      <c r="J98" s="15" t="s">
        <v>443</v>
      </c>
      <c r="K98" s="15" t="s">
        <v>396</v>
      </c>
      <c r="L98" s="15" t="s">
        <v>444</v>
      </c>
      <c r="M98" s="15" t="s">
        <v>65</v>
      </c>
      <c r="N98" s="15" t="s">
        <v>445</v>
      </c>
      <c r="O98" s="16" t="n">
        <v>44155</v>
      </c>
      <c r="P98" s="15" t="s">
        <v>326</v>
      </c>
      <c r="Q98" s="17" t="n">
        <v>6000</v>
      </c>
      <c r="R98" s="28" t="n">
        <f aca="false">IFERROR(Q98/VLOOKUP(P98,'Exchange rates to USD'!$L$2:$N$225,3,FALSE()),"")</f>
        <v>4580.79023461743</v>
      </c>
    </row>
    <row r="99" customFormat="false" ht="13.25" hidden="false" customHeight="true" outlineLevel="0" collapsed="false">
      <c r="A99" s="15" t="s">
        <v>446</v>
      </c>
      <c r="B99" s="15" t="s">
        <v>322</v>
      </c>
      <c r="C99" s="15" t="s">
        <v>75</v>
      </c>
      <c r="D99" s="15" t="s">
        <v>108</v>
      </c>
      <c r="E99" s="15" t="s">
        <v>95</v>
      </c>
      <c r="F99" s="15" t="s">
        <v>447</v>
      </c>
      <c r="G99" s="15" t="s">
        <v>62</v>
      </c>
      <c r="J99" s="15" t="s">
        <v>448</v>
      </c>
      <c r="K99" s="15" t="s">
        <v>396</v>
      </c>
      <c r="L99" s="15" t="s">
        <v>449</v>
      </c>
      <c r="M99" s="15" t="s">
        <v>65</v>
      </c>
      <c r="N99" s="15" t="s">
        <v>450</v>
      </c>
      <c r="O99" s="16" t="n">
        <v>44155</v>
      </c>
      <c r="P99" s="15" t="s">
        <v>326</v>
      </c>
      <c r="Q99" s="17" t="n">
        <v>80</v>
      </c>
      <c r="R99" s="28" t="n">
        <f aca="false">IFERROR(Q99/VLOOKUP(P99,'Exchange rates to USD'!$L$2:$N$225,3,FALSE()),"")</f>
        <v>61.0772031282324</v>
      </c>
    </row>
    <row r="100" customFormat="false" ht="13.25" hidden="false" customHeight="true" outlineLevel="0" collapsed="false">
      <c r="A100" s="15" t="s">
        <v>451</v>
      </c>
      <c r="B100" s="15" t="s">
        <v>322</v>
      </c>
      <c r="C100" s="15" t="s">
        <v>75</v>
      </c>
      <c r="D100" s="15" t="s">
        <v>108</v>
      </c>
      <c r="E100" s="15" t="s">
        <v>95</v>
      </c>
      <c r="F100" s="15" t="s">
        <v>452</v>
      </c>
      <c r="G100" s="15" t="s">
        <v>62</v>
      </c>
      <c r="J100" s="15" t="s">
        <v>453</v>
      </c>
      <c r="K100" s="15" t="s">
        <v>396</v>
      </c>
      <c r="L100" s="15" t="s">
        <v>454</v>
      </c>
      <c r="M100" s="15" t="s">
        <v>65</v>
      </c>
      <c r="N100" s="15" t="s">
        <v>455</v>
      </c>
      <c r="O100" s="16" t="n">
        <v>44155</v>
      </c>
      <c r="P100" s="15" t="s">
        <v>326</v>
      </c>
      <c r="Q100" s="17" t="n">
        <v>32</v>
      </c>
      <c r="R100" s="28" t="n">
        <f aca="false">IFERROR(Q100/VLOOKUP(P100,'Exchange rates to USD'!$L$2:$N$225,3,FALSE()),"")</f>
        <v>24.4308812512929</v>
      </c>
    </row>
    <row r="101" customFormat="false" ht="13.25" hidden="false" customHeight="true" outlineLevel="0" collapsed="false">
      <c r="A101" s="15" t="s">
        <v>456</v>
      </c>
      <c r="B101" s="15" t="s">
        <v>322</v>
      </c>
      <c r="C101" s="15" t="s">
        <v>122</v>
      </c>
      <c r="D101" s="15" t="s">
        <v>108</v>
      </c>
      <c r="E101" s="15" t="s">
        <v>76</v>
      </c>
      <c r="G101" s="15" t="s">
        <v>62</v>
      </c>
      <c r="J101" s="15" t="s">
        <v>457</v>
      </c>
      <c r="K101" s="15" t="s">
        <v>396</v>
      </c>
      <c r="L101" s="15" t="s">
        <v>458</v>
      </c>
      <c r="M101" s="15" t="s">
        <v>65</v>
      </c>
      <c r="N101" s="15" t="s">
        <v>459</v>
      </c>
      <c r="O101" s="16" t="n">
        <v>44155</v>
      </c>
      <c r="R101" s="28" t="str">
        <f aca="false">IFERROR(Q101/VLOOKUP(P101,'Exchange rates to USD'!$L$2:$N$225,3,FALSE()),"")</f>
        <v/>
      </c>
    </row>
    <row r="102" customFormat="false" ht="13.25" hidden="false" customHeight="true" outlineLevel="0" collapsed="false">
      <c r="A102" s="15" t="s">
        <v>460</v>
      </c>
      <c r="B102" s="15" t="s">
        <v>322</v>
      </c>
      <c r="C102" s="15" t="s">
        <v>122</v>
      </c>
      <c r="D102" s="15" t="s">
        <v>108</v>
      </c>
      <c r="E102" s="15" t="s">
        <v>76</v>
      </c>
      <c r="G102" s="15" t="s">
        <v>62</v>
      </c>
      <c r="H102" s="15" t="s">
        <v>110</v>
      </c>
      <c r="J102" s="15" t="s">
        <v>461</v>
      </c>
      <c r="K102" s="15" t="s">
        <v>396</v>
      </c>
      <c r="L102" s="15" t="s">
        <v>462</v>
      </c>
      <c r="M102" s="15" t="s">
        <v>65</v>
      </c>
      <c r="N102" s="15" t="s">
        <v>459</v>
      </c>
      <c r="O102" s="16" t="n">
        <v>44155</v>
      </c>
      <c r="R102" s="28" t="str">
        <f aca="false">IFERROR(Q102/VLOOKUP(P102,'Exchange rates to USD'!$L$2:$N$225,3,FALSE()),"")</f>
        <v/>
      </c>
    </row>
    <row r="103" customFormat="false" ht="13.25" hidden="false" customHeight="true" outlineLevel="0" collapsed="false">
      <c r="A103" s="15" t="s">
        <v>463</v>
      </c>
      <c r="B103" s="15" t="s">
        <v>322</v>
      </c>
      <c r="C103" s="15" t="s">
        <v>122</v>
      </c>
      <c r="D103" s="15" t="s">
        <v>108</v>
      </c>
      <c r="E103" s="15" t="s">
        <v>76</v>
      </c>
      <c r="G103" s="15" t="s">
        <v>62</v>
      </c>
      <c r="J103" s="15" t="s">
        <v>464</v>
      </c>
      <c r="K103" s="15" t="s">
        <v>396</v>
      </c>
      <c r="L103" s="15" t="s">
        <v>465</v>
      </c>
      <c r="M103" s="15" t="s">
        <v>65</v>
      </c>
      <c r="N103" s="15" t="s">
        <v>466</v>
      </c>
      <c r="O103" s="16" t="n">
        <v>44155</v>
      </c>
      <c r="R103" s="28" t="str">
        <f aca="false">IFERROR(Q103/VLOOKUP(P103,'Exchange rates to USD'!$L$2:$N$225,3,FALSE()),"")</f>
        <v/>
      </c>
    </row>
    <row r="104" customFormat="false" ht="13.25" hidden="false" customHeight="true" outlineLevel="0" collapsed="false">
      <c r="A104" s="15" t="s">
        <v>467</v>
      </c>
      <c r="B104" s="15" t="s">
        <v>322</v>
      </c>
      <c r="C104" s="15" t="s">
        <v>122</v>
      </c>
      <c r="D104" s="15" t="s">
        <v>108</v>
      </c>
      <c r="E104" s="15" t="s">
        <v>76</v>
      </c>
      <c r="G104" s="15" t="s">
        <v>110</v>
      </c>
      <c r="H104" s="15" t="s">
        <v>62</v>
      </c>
      <c r="J104" s="15" t="s">
        <v>468</v>
      </c>
      <c r="K104" s="15" t="s">
        <v>396</v>
      </c>
      <c r="L104" s="27" t="s">
        <v>469</v>
      </c>
      <c r="M104" s="15" t="s">
        <v>65</v>
      </c>
      <c r="N104" s="15" t="s">
        <v>470</v>
      </c>
      <c r="O104" s="16" t="n">
        <v>44155</v>
      </c>
      <c r="R104" s="28" t="str">
        <f aca="false">IFERROR(Q104/VLOOKUP(P104,'Exchange rates to USD'!$L$2:$N$225,3,FALSE()),"")</f>
        <v/>
      </c>
    </row>
    <row r="105" customFormat="false" ht="13.25" hidden="false" customHeight="true" outlineLevel="0" collapsed="false">
      <c r="A105" s="15" t="s">
        <v>471</v>
      </c>
      <c r="B105" s="15" t="s">
        <v>322</v>
      </c>
      <c r="C105" s="15" t="s">
        <v>122</v>
      </c>
      <c r="D105" s="15" t="s">
        <v>108</v>
      </c>
      <c r="E105" s="15" t="s">
        <v>76</v>
      </c>
      <c r="G105" s="15" t="s">
        <v>62</v>
      </c>
      <c r="H105" s="15" t="s">
        <v>110</v>
      </c>
      <c r="J105" s="15" t="s">
        <v>472</v>
      </c>
      <c r="K105" s="15" t="s">
        <v>396</v>
      </c>
      <c r="L105" s="15" t="s">
        <v>473</v>
      </c>
      <c r="M105" s="15" t="s">
        <v>65</v>
      </c>
      <c r="N105" s="15" t="s">
        <v>474</v>
      </c>
      <c r="O105" s="16" t="n">
        <v>44155</v>
      </c>
      <c r="R105" s="28" t="str">
        <f aca="false">IFERROR(Q105/VLOOKUP(P105,'Exchange rates to USD'!$L$2:$N$225,3,FALSE()),"")</f>
        <v/>
      </c>
    </row>
    <row r="106" customFormat="false" ht="13.25" hidden="false" customHeight="true" outlineLevel="0" collapsed="false">
      <c r="A106" s="15" t="s">
        <v>475</v>
      </c>
      <c r="B106" s="15" t="s">
        <v>322</v>
      </c>
      <c r="C106" s="15" t="s">
        <v>122</v>
      </c>
      <c r="D106" s="15" t="s">
        <v>108</v>
      </c>
      <c r="E106" s="15" t="s">
        <v>76</v>
      </c>
      <c r="G106" s="15" t="s">
        <v>62</v>
      </c>
      <c r="J106" s="15" t="s">
        <v>476</v>
      </c>
      <c r="K106" s="15" t="s">
        <v>396</v>
      </c>
      <c r="L106" s="27" t="s">
        <v>477</v>
      </c>
      <c r="M106" s="15" t="s">
        <v>65</v>
      </c>
      <c r="N106" s="15" t="s">
        <v>478</v>
      </c>
      <c r="O106" s="16" t="n">
        <v>44158</v>
      </c>
      <c r="R106" s="28" t="str">
        <f aca="false">IFERROR(Q106/VLOOKUP(P106,'Exchange rates to USD'!$L$2:$N$225,3,FALSE()),"")</f>
        <v/>
      </c>
    </row>
    <row r="107" customFormat="false" ht="13.25" hidden="false" customHeight="true" outlineLevel="0" collapsed="false">
      <c r="A107" s="15" t="s">
        <v>479</v>
      </c>
      <c r="B107" s="15" t="s">
        <v>322</v>
      </c>
      <c r="C107" s="15" t="s">
        <v>58</v>
      </c>
      <c r="D107" s="15" t="s">
        <v>115</v>
      </c>
      <c r="E107" s="15" t="s">
        <v>95</v>
      </c>
      <c r="F107" s="15" t="s">
        <v>480</v>
      </c>
      <c r="G107" s="15" t="s">
        <v>62</v>
      </c>
      <c r="H107" s="15" t="s">
        <v>110</v>
      </c>
      <c r="J107" s="15" t="s">
        <v>481</v>
      </c>
      <c r="K107" s="15" t="s">
        <v>482</v>
      </c>
      <c r="M107" s="15" t="s">
        <v>93</v>
      </c>
      <c r="N107" s="15" t="s">
        <v>483</v>
      </c>
      <c r="O107" s="16" t="n">
        <v>44158</v>
      </c>
      <c r="P107" s="15" t="s">
        <v>326</v>
      </c>
      <c r="Q107" s="17" t="n">
        <v>2500</v>
      </c>
      <c r="R107" s="28" t="n">
        <f aca="false">IFERROR(Q107/VLOOKUP(P107,'Exchange rates to USD'!$L$2:$N$225,3,FALSE()),"")</f>
        <v>1908.66259775726</v>
      </c>
    </row>
    <row r="108" customFormat="false" ht="13.25" hidden="false" customHeight="true" outlineLevel="0" collapsed="false">
      <c r="A108" s="15" t="s">
        <v>484</v>
      </c>
      <c r="B108" s="15" t="s">
        <v>322</v>
      </c>
      <c r="C108" s="15" t="s">
        <v>58</v>
      </c>
      <c r="D108" s="15" t="s">
        <v>115</v>
      </c>
      <c r="E108" s="15" t="s">
        <v>95</v>
      </c>
      <c r="F108" s="15" t="s">
        <v>485</v>
      </c>
      <c r="G108" s="15" t="s">
        <v>62</v>
      </c>
      <c r="H108" s="15" t="s">
        <v>110</v>
      </c>
      <c r="J108" s="15" t="s">
        <v>486</v>
      </c>
      <c r="K108" s="15" t="s">
        <v>482</v>
      </c>
      <c r="M108" s="15" t="s">
        <v>93</v>
      </c>
      <c r="N108" s="15" t="s">
        <v>483</v>
      </c>
      <c r="O108" s="16" t="n">
        <v>44158</v>
      </c>
      <c r="P108" s="15" t="s">
        <v>326</v>
      </c>
      <c r="Q108" s="17" t="n">
        <v>2000</v>
      </c>
      <c r="R108" s="28" t="n">
        <f aca="false">IFERROR(Q108/VLOOKUP(P108,'Exchange rates to USD'!$L$2:$N$225,3,FALSE()),"")</f>
        <v>1526.93007820581</v>
      </c>
    </row>
    <row r="109" customFormat="false" ht="13.25" hidden="false" customHeight="true" outlineLevel="0" collapsed="false">
      <c r="A109" s="15" t="s">
        <v>487</v>
      </c>
      <c r="B109" s="15" t="s">
        <v>322</v>
      </c>
      <c r="C109" s="15" t="s">
        <v>58</v>
      </c>
      <c r="D109" s="15" t="s">
        <v>115</v>
      </c>
      <c r="E109" s="15" t="s">
        <v>123</v>
      </c>
      <c r="F109" s="15" t="s">
        <v>488</v>
      </c>
      <c r="G109" s="15" t="s">
        <v>97</v>
      </c>
      <c r="J109" s="15" t="s">
        <v>489</v>
      </c>
      <c r="K109" s="15" t="s">
        <v>482</v>
      </c>
      <c r="M109" s="15" t="s">
        <v>113</v>
      </c>
      <c r="N109" s="15" t="s">
        <v>483</v>
      </c>
      <c r="O109" s="16" t="n">
        <v>44158</v>
      </c>
      <c r="P109" s="15" t="s">
        <v>326</v>
      </c>
      <c r="Q109" s="17" t="n">
        <v>1500</v>
      </c>
      <c r="R109" s="28" t="n">
        <f aca="false">IFERROR(Q109/VLOOKUP(P109,'Exchange rates to USD'!$L$2:$N$225,3,FALSE()),"")</f>
        <v>1145.19755865436</v>
      </c>
    </row>
    <row r="110" customFormat="false" ht="13.25" hidden="false" customHeight="true" outlineLevel="0" collapsed="false">
      <c r="A110" s="15" t="s">
        <v>490</v>
      </c>
      <c r="B110" s="15" t="s">
        <v>322</v>
      </c>
      <c r="C110" s="15" t="s">
        <v>58</v>
      </c>
      <c r="D110" s="15" t="s">
        <v>115</v>
      </c>
      <c r="E110" s="15" t="s">
        <v>233</v>
      </c>
      <c r="F110" s="15" t="s">
        <v>488</v>
      </c>
      <c r="G110" s="15" t="s">
        <v>62</v>
      </c>
      <c r="H110" s="15" t="s">
        <v>110</v>
      </c>
      <c r="J110" s="15" t="s">
        <v>491</v>
      </c>
      <c r="K110" s="15" t="s">
        <v>482</v>
      </c>
      <c r="M110" s="15" t="s">
        <v>113</v>
      </c>
      <c r="N110" s="15" t="s">
        <v>483</v>
      </c>
      <c r="O110" s="16" t="n">
        <v>44158</v>
      </c>
      <c r="P110" s="15" t="s">
        <v>326</v>
      </c>
      <c r="Q110" s="17" t="n">
        <v>1500</v>
      </c>
      <c r="R110" s="28" t="n">
        <f aca="false">IFERROR(Q110/VLOOKUP(P110,'Exchange rates to USD'!$L$2:$N$225,3,FALSE()),"")</f>
        <v>1145.19755865436</v>
      </c>
    </row>
    <row r="111" customFormat="false" ht="13.25" hidden="false" customHeight="true" outlineLevel="0" collapsed="false">
      <c r="A111" s="15" t="s">
        <v>492</v>
      </c>
      <c r="B111" s="15" t="s">
        <v>322</v>
      </c>
      <c r="C111" s="15" t="s">
        <v>58</v>
      </c>
      <c r="D111" s="15" t="s">
        <v>59</v>
      </c>
      <c r="E111" s="15" t="s">
        <v>95</v>
      </c>
      <c r="F111" s="15" t="s">
        <v>493</v>
      </c>
      <c r="G111" s="15" t="s">
        <v>62</v>
      </c>
      <c r="H111" s="15" t="s">
        <v>110</v>
      </c>
      <c r="J111" s="15" t="s">
        <v>494</v>
      </c>
      <c r="K111" s="15" t="s">
        <v>495</v>
      </c>
      <c r="M111" s="15" t="s">
        <v>113</v>
      </c>
      <c r="N111" s="15" t="s">
        <v>496</v>
      </c>
      <c r="O111" s="16" t="n">
        <v>44158</v>
      </c>
      <c r="P111" s="15" t="s">
        <v>326</v>
      </c>
      <c r="Q111" s="17" t="n">
        <v>300</v>
      </c>
      <c r="R111" s="28" t="n">
        <f aca="false">IFERROR(Q111/VLOOKUP(P111,'Exchange rates to USD'!$L$2:$N$225,3,FALSE()),"")</f>
        <v>229.039511730871</v>
      </c>
    </row>
    <row r="112" customFormat="false" ht="13.25" hidden="false" customHeight="true" outlineLevel="0" collapsed="false">
      <c r="A112" s="15" t="s">
        <v>497</v>
      </c>
      <c r="B112" s="15" t="s">
        <v>322</v>
      </c>
      <c r="C112" s="15" t="s">
        <v>58</v>
      </c>
      <c r="D112" s="15" t="s">
        <v>108</v>
      </c>
      <c r="E112" s="15" t="s">
        <v>233</v>
      </c>
      <c r="F112" s="15" t="s">
        <v>423</v>
      </c>
      <c r="G112" s="15" t="s">
        <v>62</v>
      </c>
      <c r="H112" s="15" t="s">
        <v>110</v>
      </c>
      <c r="J112" s="15" t="s">
        <v>498</v>
      </c>
      <c r="K112" s="15" t="s">
        <v>396</v>
      </c>
      <c r="L112" s="15" t="s">
        <v>425</v>
      </c>
      <c r="M112" s="15" t="s">
        <v>113</v>
      </c>
      <c r="N112" s="15" t="s">
        <v>499</v>
      </c>
      <c r="O112" s="16" t="n">
        <v>44158</v>
      </c>
      <c r="P112" s="15" t="s">
        <v>326</v>
      </c>
      <c r="Q112" s="17" t="n">
        <v>295</v>
      </c>
      <c r="R112" s="28" t="n">
        <f aca="false">IFERROR(Q112/VLOOKUP(P112,'Exchange rates to USD'!$L$2:$N$225,3,FALSE()),"")</f>
        <v>225.222186535357</v>
      </c>
    </row>
    <row r="113" customFormat="false" ht="13.25" hidden="false" customHeight="true" outlineLevel="0" collapsed="false">
      <c r="A113" s="15" t="s">
        <v>500</v>
      </c>
      <c r="B113" s="15" t="s">
        <v>322</v>
      </c>
      <c r="C113" s="15" t="s">
        <v>75</v>
      </c>
      <c r="D113" s="15" t="s">
        <v>115</v>
      </c>
      <c r="E113" s="15" t="s">
        <v>233</v>
      </c>
      <c r="F113" s="15" t="s">
        <v>501</v>
      </c>
      <c r="G113" s="15" t="s">
        <v>62</v>
      </c>
      <c r="H113" s="15" t="s">
        <v>110</v>
      </c>
      <c r="J113" s="15" t="s">
        <v>502</v>
      </c>
      <c r="K113" s="15" t="s">
        <v>396</v>
      </c>
      <c r="L113" s="15" t="s">
        <v>503</v>
      </c>
      <c r="M113" s="15" t="s">
        <v>70</v>
      </c>
      <c r="N113" s="15" t="s">
        <v>504</v>
      </c>
      <c r="O113" s="16" t="n">
        <v>44158</v>
      </c>
      <c r="P113" s="15" t="s">
        <v>326</v>
      </c>
      <c r="Q113" s="17" t="n">
        <v>251.1</v>
      </c>
      <c r="R113" s="28" t="n">
        <f aca="false">IFERROR(Q113/VLOOKUP(P113,'Exchange rates to USD'!$L$2:$N$225,3,FALSE()),"")</f>
        <v>191.706071318739</v>
      </c>
    </row>
    <row r="114" customFormat="false" ht="13.25" hidden="false" customHeight="true" outlineLevel="0" collapsed="false">
      <c r="A114" s="15" t="s">
        <v>505</v>
      </c>
      <c r="B114" s="15" t="s">
        <v>322</v>
      </c>
      <c r="C114" s="15" t="s">
        <v>58</v>
      </c>
      <c r="D114" s="15" t="s">
        <v>59</v>
      </c>
      <c r="E114" s="15" t="s">
        <v>95</v>
      </c>
      <c r="F114" s="15" t="s">
        <v>506</v>
      </c>
      <c r="G114" s="15" t="s">
        <v>62</v>
      </c>
      <c r="H114" s="15" t="s">
        <v>110</v>
      </c>
      <c r="J114" s="15" t="s">
        <v>507</v>
      </c>
      <c r="K114" s="15" t="s">
        <v>396</v>
      </c>
      <c r="L114" s="15" t="s">
        <v>508</v>
      </c>
      <c r="M114" s="15" t="s">
        <v>113</v>
      </c>
      <c r="N114" s="15" t="s">
        <v>509</v>
      </c>
      <c r="O114" s="16" t="n">
        <v>44158</v>
      </c>
      <c r="P114" s="15" t="s">
        <v>326</v>
      </c>
      <c r="Q114" s="17" t="n">
        <v>57.128</v>
      </c>
      <c r="R114" s="28" t="n">
        <f aca="false">IFERROR(Q114/VLOOKUP(P114,'Exchange rates to USD'!$L$2:$N$225,3,FALSE()),"")</f>
        <v>43.6152307538707</v>
      </c>
    </row>
    <row r="115" customFormat="false" ht="13.25" hidden="false" customHeight="true" outlineLevel="0" collapsed="false">
      <c r="A115" s="15" t="s">
        <v>510</v>
      </c>
      <c r="B115" s="15" t="s">
        <v>322</v>
      </c>
      <c r="C115" s="15" t="s">
        <v>58</v>
      </c>
      <c r="D115" s="15" t="s">
        <v>115</v>
      </c>
      <c r="E115" s="15" t="s">
        <v>233</v>
      </c>
      <c r="F115" s="15" t="s">
        <v>511</v>
      </c>
      <c r="G115" s="15" t="s">
        <v>62</v>
      </c>
      <c r="H115" s="15" t="s">
        <v>110</v>
      </c>
      <c r="J115" s="15" t="s">
        <v>512</v>
      </c>
      <c r="K115" s="15" t="s">
        <v>396</v>
      </c>
      <c r="L115" s="15" t="s">
        <v>508</v>
      </c>
      <c r="M115" s="15" t="s">
        <v>113</v>
      </c>
      <c r="N115" s="15" t="s">
        <v>513</v>
      </c>
      <c r="O115" s="16" t="n">
        <v>44158</v>
      </c>
      <c r="P115" s="15" t="s">
        <v>326</v>
      </c>
      <c r="Q115" s="17" t="n">
        <v>26.5</v>
      </c>
      <c r="R115" s="28" t="n">
        <f aca="false">IFERROR(Q115/VLOOKUP(P115,'Exchange rates to USD'!$L$2:$N$225,3,FALSE()),"")</f>
        <v>20.231823536227</v>
      </c>
    </row>
    <row r="116" customFormat="false" ht="13.25" hidden="false" customHeight="true" outlineLevel="0" collapsed="false">
      <c r="A116" s="15" t="s">
        <v>514</v>
      </c>
      <c r="B116" s="15" t="s">
        <v>322</v>
      </c>
      <c r="C116" s="15" t="s">
        <v>58</v>
      </c>
      <c r="D116" s="15" t="s">
        <v>115</v>
      </c>
      <c r="E116" s="15" t="s">
        <v>233</v>
      </c>
      <c r="F116" s="15" t="s">
        <v>515</v>
      </c>
      <c r="G116" s="15" t="s">
        <v>62</v>
      </c>
      <c r="H116" s="15" t="s">
        <v>110</v>
      </c>
      <c r="J116" s="15" t="s">
        <v>516</v>
      </c>
      <c r="K116" s="15" t="s">
        <v>396</v>
      </c>
      <c r="L116" s="15" t="s">
        <v>517</v>
      </c>
      <c r="M116" s="15" t="s">
        <v>113</v>
      </c>
      <c r="N116" s="15" t="s">
        <v>518</v>
      </c>
      <c r="O116" s="16" t="n">
        <v>44158</v>
      </c>
      <c r="P116" s="15" t="s">
        <v>326</v>
      </c>
      <c r="Q116" s="17" t="n">
        <v>100</v>
      </c>
      <c r="R116" s="28" t="n">
        <f aca="false">IFERROR(Q116/VLOOKUP(P116,'Exchange rates to USD'!$L$2:$N$225,3,FALSE()),"")</f>
        <v>76.3465039102904</v>
      </c>
    </row>
    <row r="117" customFormat="false" ht="13.25" hidden="false" customHeight="true" outlineLevel="0" collapsed="false">
      <c r="A117" s="15" t="s">
        <v>519</v>
      </c>
      <c r="B117" s="15" t="s">
        <v>322</v>
      </c>
      <c r="C117" s="15" t="s">
        <v>249</v>
      </c>
      <c r="D117" s="15" t="s">
        <v>59</v>
      </c>
      <c r="E117" s="15" t="s">
        <v>233</v>
      </c>
      <c r="F117" s="15" t="s">
        <v>515</v>
      </c>
      <c r="G117" s="15" t="s">
        <v>62</v>
      </c>
      <c r="H117" s="15" t="s">
        <v>110</v>
      </c>
      <c r="J117" s="15" t="s">
        <v>520</v>
      </c>
      <c r="K117" s="15" t="s">
        <v>396</v>
      </c>
      <c r="L117" s="15" t="s">
        <v>521</v>
      </c>
      <c r="M117" s="15" t="s">
        <v>93</v>
      </c>
      <c r="N117" s="15" t="s">
        <v>522</v>
      </c>
      <c r="O117" s="16" t="n">
        <v>44158</v>
      </c>
      <c r="P117" s="15" t="s">
        <v>326</v>
      </c>
      <c r="Q117" s="17" t="n">
        <v>100</v>
      </c>
      <c r="R117" s="28" t="n">
        <f aca="false">IFERROR(Q117/VLOOKUP(P117,'Exchange rates to USD'!$L$2:$N$225,3,FALSE()),"")</f>
        <v>76.3465039102904</v>
      </c>
    </row>
    <row r="118" customFormat="false" ht="13.25" hidden="false" customHeight="true" outlineLevel="0" collapsed="false">
      <c r="A118" s="15" t="s">
        <v>523</v>
      </c>
      <c r="B118" s="15" t="s">
        <v>322</v>
      </c>
      <c r="C118" s="15" t="s">
        <v>58</v>
      </c>
      <c r="D118" s="15" t="s">
        <v>108</v>
      </c>
      <c r="E118" s="15" t="s">
        <v>95</v>
      </c>
      <c r="F118" s="15" t="s">
        <v>524</v>
      </c>
      <c r="G118" s="15" t="s">
        <v>62</v>
      </c>
      <c r="H118" s="15" t="s">
        <v>110</v>
      </c>
      <c r="J118" s="15" t="s">
        <v>525</v>
      </c>
      <c r="K118" s="15" t="s">
        <v>396</v>
      </c>
      <c r="L118" s="27" t="s">
        <v>526</v>
      </c>
      <c r="M118" s="15" t="s">
        <v>113</v>
      </c>
      <c r="N118" s="15" t="s">
        <v>527</v>
      </c>
      <c r="O118" s="16" t="n">
        <v>44158</v>
      </c>
      <c r="P118" s="15" t="s">
        <v>326</v>
      </c>
      <c r="Q118" s="17" t="n">
        <v>93</v>
      </c>
      <c r="R118" s="28" t="n">
        <f aca="false">IFERROR(Q118/VLOOKUP(P118,'Exchange rates to USD'!$L$2:$N$225,3,FALSE()),"")</f>
        <v>71.0022486365701</v>
      </c>
    </row>
    <row r="119" customFormat="false" ht="13.25" hidden="false" customHeight="true" outlineLevel="0" collapsed="false">
      <c r="A119" s="15" t="s">
        <v>528</v>
      </c>
      <c r="B119" s="15" t="s">
        <v>322</v>
      </c>
      <c r="C119" s="15" t="s">
        <v>58</v>
      </c>
      <c r="D119" s="15" t="s">
        <v>108</v>
      </c>
      <c r="E119" s="15" t="s">
        <v>95</v>
      </c>
      <c r="F119" s="15" t="s">
        <v>529</v>
      </c>
      <c r="G119" s="15" t="s">
        <v>62</v>
      </c>
      <c r="H119" s="15" t="s">
        <v>110</v>
      </c>
      <c r="J119" s="15" t="s">
        <v>530</v>
      </c>
      <c r="K119" s="15" t="s">
        <v>396</v>
      </c>
      <c r="L119" s="15" t="s">
        <v>531</v>
      </c>
      <c r="M119" s="15" t="s">
        <v>93</v>
      </c>
      <c r="N119" s="15" t="s">
        <v>532</v>
      </c>
      <c r="O119" s="16" t="n">
        <v>44158</v>
      </c>
      <c r="P119" s="15" t="s">
        <v>326</v>
      </c>
      <c r="Q119" s="17" t="n">
        <v>18.3</v>
      </c>
      <c r="R119" s="28" t="n">
        <f aca="false">IFERROR(Q119/VLOOKUP(P119,'Exchange rates to USD'!$L$2:$N$225,3,FALSE()),"")</f>
        <v>13.9714102155832</v>
      </c>
    </row>
    <row r="120" customFormat="false" ht="13.25" hidden="false" customHeight="true" outlineLevel="0" collapsed="false">
      <c r="A120" s="15" t="s">
        <v>533</v>
      </c>
      <c r="B120" s="15" t="s">
        <v>322</v>
      </c>
      <c r="C120" s="15" t="s">
        <v>75</v>
      </c>
      <c r="D120" s="15" t="s">
        <v>108</v>
      </c>
      <c r="E120" s="15" t="s">
        <v>95</v>
      </c>
      <c r="F120" s="15" t="s">
        <v>534</v>
      </c>
      <c r="G120" s="15" t="s">
        <v>62</v>
      </c>
      <c r="H120" s="15" t="s">
        <v>110</v>
      </c>
      <c r="J120" s="15" t="s">
        <v>535</v>
      </c>
      <c r="K120" s="15" t="s">
        <v>396</v>
      </c>
      <c r="L120" s="27" t="s">
        <v>536</v>
      </c>
      <c r="M120" s="15" t="s">
        <v>93</v>
      </c>
      <c r="N120" s="15" t="s">
        <v>537</v>
      </c>
      <c r="O120" s="16" t="n">
        <v>44158</v>
      </c>
      <c r="P120" s="15" t="s">
        <v>326</v>
      </c>
      <c r="Q120" s="17" t="n">
        <v>17</v>
      </c>
      <c r="R120" s="28" t="n">
        <f aca="false">IFERROR(Q120/VLOOKUP(P120,'Exchange rates to USD'!$L$2:$N$225,3,FALSE()),"")</f>
        <v>12.9789056647494</v>
      </c>
    </row>
    <row r="121" customFormat="false" ht="13.25" hidden="false" customHeight="true" outlineLevel="0" collapsed="false">
      <c r="A121" s="15" t="s">
        <v>538</v>
      </c>
      <c r="B121" s="15" t="s">
        <v>322</v>
      </c>
      <c r="C121" s="15" t="s">
        <v>249</v>
      </c>
      <c r="D121" s="15" t="s">
        <v>59</v>
      </c>
      <c r="E121" s="15" t="s">
        <v>76</v>
      </c>
      <c r="F121" s="15" t="s">
        <v>539</v>
      </c>
      <c r="G121" s="15" t="s">
        <v>62</v>
      </c>
      <c r="H121" s="15" t="s">
        <v>110</v>
      </c>
      <c r="J121" s="15" t="s">
        <v>540</v>
      </c>
      <c r="K121" s="15" t="s">
        <v>396</v>
      </c>
      <c r="L121" s="15" t="s">
        <v>541</v>
      </c>
      <c r="M121" s="15" t="s">
        <v>93</v>
      </c>
      <c r="N121" s="15" t="s">
        <v>542</v>
      </c>
      <c r="O121" s="16" t="n">
        <v>44158</v>
      </c>
      <c r="P121" s="15" t="s">
        <v>326</v>
      </c>
      <c r="Q121" s="17" t="n">
        <v>16.2</v>
      </c>
      <c r="R121" s="28" t="n">
        <f aca="false">IFERROR(Q121/VLOOKUP(P121,'Exchange rates to USD'!$L$2:$N$225,3,FALSE()),"")</f>
        <v>12.3681336334671</v>
      </c>
    </row>
    <row r="122" customFormat="false" ht="13.25" hidden="false" customHeight="true" outlineLevel="0" collapsed="false">
      <c r="A122" s="15" t="s">
        <v>543</v>
      </c>
      <c r="B122" s="15" t="s">
        <v>322</v>
      </c>
      <c r="C122" s="15" t="s">
        <v>75</v>
      </c>
      <c r="D122" s="15" t="s">
        <v>115</v>
      </c>
      <c r="E122" s="15" t="s">
        <v>95</v>
      </c>
      <c r="F122" s="15" t="s">
        <v>544</v>
      </c>
      <c r="G122" s="15" t="s">
        <v>62</v>
      </c>
      <c r="H122" s="15" t="s">
        <v>110</v>
      </c>
      <c r="J122" s="15" t="s">
        <v>545</v>
      </c>
      <c r="K122" s="15" t="s">
        <v>396</v>
      </c>
      <c r="L122" s="15" t="s">
        <v>546</v>
      </c>
      <c r="M122" s="15" t="s">
        <v>113</v>
      </c>
      <c r="O122" s="16" t="n">
        <v>44158</v>
      </c>
      <c r="P122" s="15" t="s">
        <v>326</v>
      </c>
      <c r="Q122" s="17" t="n">
        <v>15.7</v>
      </c>
      <c r="R122" s="28" t="n">
        <f aca="false">IFERROR(Q122/VLOOKUP(P122,'Exchange rates to USD'!$L$2:$N$225,3,FALSE()),"")</f>
        <v>11.9864011139156</v>
      </c>
    </row>
    <row r="123" customFormat="false" ht="13.25" hidden="false" customHeight="true" outlineLevel="0" collapsed="false">
      <c r="A123" s="15" t="s">
        <v>547</v>
      </c>
      <c r="B123" s="15" t="s">
        <v>322</v>
      </c>
      <c r="C123" s="15" t="s">
        <v>75</v>
      </c>
      <c r="D123" s="15" t="s">
        <v>108</v>
      </c>
      <c r="E123" s="15" t="s">
        <v>233</v>
      </c>
      <c r="F123" s="15" t="s">
        <v>548</v>
      </c>
      <c r="G123" s="15" t="s">
        <v>62</v>
      </c>
      <c r="J123" s="15" t="s">
        <v>549</v>
      </c>
      <c r="K123" s="15" t="s">
        <v>396</v>
      </c>
      <c r="L123" s="27" t="s">
        <v>550</v>
      </c>
      <c r="M123" s="15" t="s">
        <v>113</v>
      </c>
      <c r="N123" s="15" t="s">
        <v>551</v>
      </c>
      <c r="O123" s="16" t="n">
        <v>44158</v>
      </c>
      <c r="P123" s="15" t="s">
        <v>326</v>
      </c>
      <c r="Q123" s="17" t="n">
        <v>12</v>
      </c>
      <c r="R123" s="28" t="n">
        <f aca="false">IFERROR(Q123/VLOOKUP(P123,'Exchange rates to USD'!$L$2:$N$225,3,FALSE()),"")</f>
        <v>9.16158046923485</v>
      </c>
    </row>
    <row r="124" customFormat="false" ht="13.25" hidden="false" customHeight="true" outlineLevel="0" collapsed="false">
      <c r="A124" s="15" t="s">
        <v>552</v>
      </c>
      <c r="B124" s="15" t="s">
        <v>322</v>
      </c>
      <c r="C124" s="15" t="s">
        <v>58</v>
      </c>
      <c r="D124" s="15" t="s">
        <v>108</v>
      </c>
      <c r="E124" s="15" t="s">
        <v>76</v>
      </c>
      <c r="F124" s="15" t="s">
        <v>553</v>
      </c>
      <c r="G124" s="15" t="s">
        <v>62</v>
      </c>
      <c r="J124" s="15" t="s">
        <v>554</v>
      </c>
      <c r="K124" s="15" t="s">
        <v>396</v>
      </c>
      <c r="L124" s="15" t="s">
        <v>555</v>
      </c>
      <c r="M124" s="15" t="s">
        <v>113</v>
      </c>
      <c r="N124" s="15" t="s">
        <v>556</v>
      </c>
      <c r="O124" s="16" t="n">
        <v>44158</v>
      </c>
      <c r="P124" s="15" t="s">
        <v>326</v>
      </c>
      <c r="Q124" s="17" t="n">
        <v>10</v>
      </c>
      <c r="R124" s="28" t="n">
        <f aca="false">IFERROR(Q124/VLOOKUP(P124,'Exchange rates to USD'!$L$2:$N$225,3,FALSE()),"")</f>
        <v>7.63465039102904</v>
      </c>
    </row>
    <row r="125" customFormat="false" ht="13.25" hidden="false" customHeight="true" outlineLevel="0" collapsed="false">
      <c r="A125" s="15" t="s">
        <v>557</v>
      </c>
      <c r="B125" s="15" t="s">
        <v>322</v>
      </c>
      <c r="C125" s="15" t="s">
        <v>249</v>
      </c>
      <c r="D125" s="15" t="s">
        <v>59</v>
      </c>
      <c r="E125" s="15" t="s">
        <v>95</v>
      </c>
      <c r="F125" s="15" t="s">
        <v>558</v>
      </c>
      <c r="G125" s="15" t="s">
        <v>62</v>
      </c>
      <c r="J125" s="15" t="s">
        <v>559</v>
      </c>
      <c r="K125" s="15" t="s">
        <v>396</v>
      </c>
      <c r="L125" s="15" t="s">
        <v>560</v>
      </c>
      <c r="M125" s="15" t="s">
        <v>93</v>
      </c>
      <c r="N125" s="15" t="s">
        <v>561</v>
      </c>
      <c r="O125" s="16" t="n">
        <v>44158</v>
      </c>
      <c r="P125" s="15" t="s">
        <v>326</v>
      </c>
      <c r="Q125" s="17" t="n">
        <v>9.4</v>
      </c>
      <c r="R125" s="28" t="n">
        <f aca="false">IFERROR(Q125/VLOOKUP(P125,'Exchange rates to USD'!$L$2:$N$225,3,FALSE()),"")</f>
        <v>7.1765713675673</v>
      </c>
    </row>
    <row r="126" customFormat="false" ht="13.25" hidden="false" customHeight="true" outlineLevel="0" collapsed="false">
      <c r="A126" s="15" t="s">
        <v>562</v>
      </c>
      <c r="B126" s="15" t="s">
        <v>322</v>
      </c>
      <c r="C126" s="15" t="s">
        <v>75</v>
      </c>
      <c r="D126" s="15" t="s">
        <v>108</v>
      </c>
      <c r="E126" s="15" t="s">
        <v>95</v>
      </c>
      <c r="F126" s="15" t="s">
        <v>563</v>
      </c>
      <c r="G126" s="15" t="s">
        <v>62</v>
      </c>
      <c r="H126" s="15" t="s">
        <v>110</v>
      </c>
      <c r="J126" s="15" t="s">
        <v>564</v>
      </c>
      <c r="K126" s="15" t="s">
        <v>396</v>
      </c>
      <c r="L126" s="15" t="s">
        <v>565</v>
      </c>
      <c r="M126" s="15" t="s">
        <v>93</v>
      </c>
      <c r="O126" s="16" t="n">
        <v>44158</v>
      </c>
      <c r="P126" s="15" t="s">
        <v>326</v>
      </c>
      <c r="Q126" s="17" t="n">
        <v>8</v>
      </c>
      <c r="R126" s="28" t="n">
        <f aca="false">IFERROR(Q126/VLOOKUP(P126,'Exchange rates to USD'!$L$2:$N$225,3,FALSE()),"")</f>
        <v>6.10772031282324</v>
      </c>
    </row>
    <row r="127" customFormat="false" ht="13.25" hidden="false" customHeight="true" outlineLevel="0" collapsed="false">
      <c r="A127" s="15" t="s">
        <v>566</v>
      </c>
      <c r="B127" s="15" t="s">
        <v>322</v>
      </c>
      <c r="C127" s="15" t="s">
        <v>249</v>
      </c>
      <c r="D127" s="15" t="s">
        <v>108</v>
      </c>
      <c r="E127" s="15" t="s">
        <v>95</v>
      </c>
      <c r="F127" s="15" t="s">
        <v>567</v>
      </c>
      <c r="G127" s="15" t="s">
        <v>110</v>
      </c>
      <c r="H127" s="15" t="s">
        <v>62</v>
      </c>
      <c r="J127" s="15" t="s">
        <v>568</v>
      </c>
      <c r="K127" s="15" t="s">
        <v>396</v>
      </c>
      <c r="L127" s="15" t="s">
        <v>569</v>
      </c>
      <c r="M127" s="15" t="s">
        <v>93</v>
      </c>
      <c r="O127" s="16" t="n">
        <v>44158</v>
      </c>
      <c r="P127" s="15" t="s">
        <v>326</v>
      </c>
      <c r="Q127" s="17" t="n">
        <v>7.348</v>
      </c>
      <c r="R127" s="28" t="n">
        <f aca="false">IFERROR(Q127/VLOOKUP(P127,'Exchange rates to USD'!$L$2:$N$225,3,FALSE()),"")</f>
        <v>5.60994110732814</v>
      </c>
    </row>
    <row r="128" customFormat="false" ht="13.25" hidden="false" customHeight="true" outlineLevel="0" collapsed="false">
      <c r="A128" s="15" t="s">
        <v>570</v>
      </c>
      <c r="B128" s="15" t="s">
        <v>322</v>
      </c>
      <c r="C128" s="15" t="s">
        <v>249</v>
      </c>
      <c r="D128" s="15" t="s">
        <v>108</v>
      </c>
      <c r="E128" s="15" t="s">
        <v>95</v>
      </c>
      <c r="F128" s="15" t="s">
        <v>571</v>
      </c>
      <c r="G128" s="15" t="s">
        <v>62</v>
      </c>
      <c r="J128" s="15" t="s">
        <v>572</v>
      </c>
      <c r="K128" s="15" t="s">
        <v>396</v>
      </c>
      <c r="L128" s="15" t="s">
        <v>573</v>
      </c>
      <c r="M128" s="15" t="s">
        <v>93</v>
      </c>
      <c r="N128" s="15" t="s">
        <v>574</v>
      </c>
      <c r="O128" s="16" t="n">
        <v>44158</v>
      </c>
      <c r="P128" s="15" t="s">
        <v>326</v>
      </c>
      <c r="Q128" s="17" t="n">
        <v>6</v>
      </c>
      <c r="R128" s="28" t="n">
        <f aca="false">IFERROR(Q128/VLOOKUP(P128,'Exchange rates to USD'!$L$2:$N$225,3,FALSE()),"")</f>
        <v>4.58079023461743</v>
      </c>
    </row>
    <row r="129" customFormat="false" ht="13.25" hidden="false" customHeight="true" outlineLevel="0" collapsed="false">
      <c r="A129" s="15" t="s">
        <v>575</v>
      </c>
      <c r="B129" s="15" t="s">
        <v>322</v>
      </c>
      <c r="C129" s="15" t="s">
        <v>75</v>
      </c>
      <c r="D129" s="15" t="s">
        <v>108</v>
      </c>
      <c r="E129" s="15" t="s">
        <v>95</v>
      </c>
      <c r="F129" s="15" t="s">
        <v>576</v>
      </c>
      <c r="G129" s="15" t="s">
        <v>62</v>
      </c>
      <c r="J129" s="15" t="s">
        <v>577</v>
      </c>
      <c r="K129" s="15" t="s">
        <v>396</v>
      </c>
      <c r="L129" s="15" t="s">
        <v>578</v>
      </c>
      <c r="M129" s="15" t="s">
        <v>93</v>
      </c>
      <c r="N129" s="15" t="s">
        <v>579</v>
      </c>
      <c r="O129" s="16" t="n">
        <v>44158</v>
      </c>
      <c r="P129" s="15" t="s">
        <v>326</v>
      </c>
      <c r="Q129" s="17" t="n">
        <v>5.1</v>
      </c>
      <c r="R129" s="28" t="n">
        <f aca="false">IFERROR(Q129/VLOOKUP(P129,'Exchange rates to USD'!$L$2:$N$225,3,FALSE()),"")</f>
        <v>3.89367169942481</v>
      </c>
    </row>
    <row r="130" customFormat="false" ht="13.25" hidden="false" customHeight="true" outlineLevel="0" collapsed="false">
      <c r="A130" s="15" t="s">
        <v>580</v>
      </c>
      <c r="B130" s="15" t="s">
        <v>322</v>
      </c>
      <c r="C130" s="15" t="s">
        <v>75</v>
      </c>
      <c r="D130" s="15" t="s">
        <v>59</v>
      </c>
      <c r="E130" s="15" t="s">
        <v>95</v>
      </c>
      <c r="F130" s="15" t="s">
        <v>581</v>
      </c>
      <c r="G130" s="15" t="s">
        <v>62</v>
      </c>
      <c r="J130" s="15" t="s">
        <v>582</v>
      </c>
      <c r="K130" s="15" t="s">
        <v>396</v>
      </c>
      <c r="L130" s="15" t="s">
        <v>583</v>
      </c>
      <c r="M130" s="15" t="s">
        <v>93</v>
      </c>
      <c r="N130" s="15" t="s">
        <v>584</v>
      </c>
      <c r="O130" s="16" t="n">
        <v>44158</v>
      </c>
      <c r="P130" s="15" t="s">
        <v>326</v>
      </c>
      <c r="Q130" s="17" t="n">
        <v>5</v>
      </c>
      <c r="R130" s="28" t="n">
        <f aca="false">IFERROR(Q130/VLOOKUP(P130,'Exchange rates to USD'!$L$2:$N$225,3,FALSE()),"")</f>
        <v>3.81732519551452</v>
      </c>
    </row>
    <row r="131" customFormat="false" ht="13.25" hidden="false" customHeight="true" outlineLevel="0" collapsed="false">
      <c r="A131" s="15" t="s">
        <v>585</v>
      </c>
      <c r="B131" s="15" t="s">
        <v>322</v>
      </c>
      <c r="C131" s="15" t="s">
        <v>75</v>
      </c>
      <c r="D131" s="15" t="s">
        <v>108</v>
      </c>
      <c r="E131" s="15" t="s">
        <v>95</v>
      </c>
      <c r="F131" s="15" t="s">
        <v>586</v>
      </c>
      <c r="G131" s="15" t="s">
        <v>62</v>
      </c>
      <c r="J131" s="15" t="s">
        <v>587</v>
      </c>
      <c r="K131" s="15" t="s">
        <v>396</v>
      </c>
      <c r="L131" s="15" t="s">
        <v>588</v>
      </c>
      <c r="M131" s="15" t="s">
        <v>113</v>
      </c>
      <c r="N131" s="15" t="s">
        <v>589</v>
      </c>
      <c r="O131" s="16" t="n">
        <v>44158</v>
      </c>
      <c r="P131" s="15" t="s">
        <v>326</v>
      </c>
      <c r="Q131" s="17" t="n">
        <v>4.5</v>
      </c>
      <c r="R131" s="28" t="n">
        <f aca="false">IFERROR(Q131/VLOOKUP(P131,'Exchange rates to USD'!$L$2:$N$225,3,FALSE()),"")</f>
        <v>3.43559267596307</v>
      </c>
    </row>
    <row r="132" customFormat="false" ht="13.25" hidden="false" customHeight="true" outlineLevel="0" collapsed="false">
      <c r="A132" s="15" t="s">
        <v>590</v>
      </c>
      <c r="B132" s="15" t="s">
        <v>322</v>
      </c>
      <c r="C132" s="15" t="s">
        <v>75</v>
      </c>
      <c r="D132" s="15" t="s">
        <v>59</v>
      </c>
      <c r="E132" s="15" t="s">
        <v>95</v>
      </c>
      <c r="F132" s="15" t="s">
        <v>591</v>
      </c>
      <c r="G132" s="15" t="s">
        <v>62</v>
      </c>
      <c r="J132" s="15" t="s">
        <v>592</v>
      </c>
      <c r="K132" s="15" t="s">
        <v>396</v>
      </c>
      <c r="L132" s="15" t="s">
        <v>593</v>
      </c>
      <c r="M132" s="15" t="s">
        <v>113</v>
      </c>
      <c r="N132" s="15" t="s">
        <v>594</v>
      </c>
      <c r="O132" s="16" t="n">
        <v>44158</v>
      </c>
      <c r="P132" s="15" t="s">
        <v>326</v>
      </c>
      <c r="Q132" s="17" t="n">
        <v>4</v>
      </c>
      <c r="R132" s="28" t="n">
        <f aca="false">IFERROR(Q132/VLOOKUP(P132,'Exchange rates to USD'!$L$2:$N$225,3,FALSE()),"")</f>
        <v>3.05386015641162</v>
      </c>
    </row>
    <row r="133" customFormat="false" ht="13.25" hidden="false" customHeight="true" outlineLevel="0" collapsed="false">
      <c r="A133" s="15" t="s">
        <v>595</v>
      </c>
      <c r="B133" s="15" t="s">
        <v>322</v>
      </c>
      <c r="C133" s="15" t="s">
        <v>249</v>
      </c>
      <c r="D133" s="15" t="s">
        <v>108</v>
      </c>
      <c r="E133" s="15" t="s">
        <v>95</v>
      </c>
      <c r="F133" s="15" t="s">
        <v>596</v>
      </c>
      <c r="G133" s="15" t="s">
        <v>62</v>
      </c>
      <c r="J133" s="15" t="s">
        <v>597</v>
      </c>
      <c r="K133" s="15" t="s">
        <v>396</v>
      </c>
      <c r="L133" s="15" t="s">
        <v>598</v>
      </c>
      <c r="M133" s="15" t="s">
        <v>113</v>
      </c>
      <c r="N133" s="15" t="s">
        <v>599</v>
      </c>
      <c r="O133" s="16" t="n">
        <v>44158</v>
      </c>
      <c r="P133" s="15" t="s">
        <v>326</v>
      </c>
      <c r="Q133" s="17" t="n">
        <v>3</v>
      </c>
      <c r="R133" s="28" t="n">
        <f aca="false">IFERROR(Q133/VLOOKUP(P133,'Exchange rates to USD'!$L$2:$N$225,3,FALSE()),"")</f>
        <v>2.29039511730871</v>
      </c>
    </row>
    <row r="134" customFormat="false" ht="13.25" hidden="false" customHeight="true" outlineLevel="0" collapsed="false">
      <c r="A134" s="15" t="s">
        <v>600</v>
      </c>
      <c r="B134" s="15" t="s">
        <v>322</v>
      </c>
      <c r="C134" s="15" t="s">
        <v>75</v>
      </c>
      <c r="D134" s="15" t="s">
        <v>108</v>
      </c>
      <c r="E134" s="15" t="s">
        <v>95</v>
      </c>
      <c r="F134" s="15" t="s">
        <v>601</v>
      </c>
      <c r="G134" s="15" t="s">
        <v>62</v>
      </c>
      <c r="J134" s="15" t="s">
        <v>602</v>
      </c>
      <c r="K134" s="15" t="s">
        <v>396</v>
      </c>
      <c r="L134" s="15" t="s">
        <v>603</v>
      </c>
      <c r="M134" s="15" t="s">
        <v>113</v>
      </c>
      <c r="N134" s="15" t="s">
        <v>604</v>
      </c>
      <c r="O134" s="16" t="n">
        <v>44158</v>
      </c>
      <c r="P134" s="15" t="s">
        <v>326</v>
      </c>
      <c r="Q134" s="17" t="n">
        <v>2</v>
      </c>
      <c r="R134" s="28" t="n">
        <f aca="false">IFERROR(Q134/VLOOKUP(P134,'Exchange rates to USD'!$L$2:$N$225,3,FALSE()),"")</f>
        <v>1.52693007820581</v>
      </c>
    </row>
    <row r="135" customFormat="false" ht="13.25" hidden="false" customHeight="true" outlineLevel="0" collapsed="false">
      <c r="A135" s="15" t="s">
        <v>605</v>
      </c>
      <c r="B135" s="15" t="s">
        <v>322</v>
      </c>
      <c r="C135" s="15" t="s">
        <v>249</v>
      </c>
      <c r="D135" s="15" t="s">
        <v>59</v>
      </c>
      <c r="E135" s="15" t="s">
        <v>95</v>
      </c>
      <c r="F135" s="15" t="s">
        <v>606</v>
      </c>
      <c r="G135" s="15" t="s">
        <v>62</v>
      </c>
      <c r="J135" s="15" t="s">
        <v>607</v>
      </c>
      <c r="K135" s="15" t="s">
        <v>396</v>
      </c>
      <c r="L135" s="15" t="s">
        <v>608</v>
      </c>
      <c r="M135" s="15" t="s">
        <v>93</v>
      </c>
      <c r="N135" s="15" t="s">
        <v>609</v>
      </c>
      <c r="O135" s="16" t="n">
        <v>44158</v>
      </c>
      <c r="P135" s="15" t="s">
        <v>326</v>
      </c>
      <c r="Q135" s="17" t="n">
        <v>1.717</v>
      </c>
      <c r="R135" s="28" t="n">
        <f aca="false">IFERROR(Q135/VLOOKUP(P135,'Exchange rates to USD'!$L$2:$N$225,3,FALSE()),"")</f>
        <v>1.31086947213969</v>
      </c>
    </row>
    <row r="136" customFormat="false" ht="13.25" hidden="false" customHeight="true" outlineLevel="0" collapsed="false">
      <c r="A136" s="15" t="s">
        <v>610</v>
      </c>
      <c r="B136" s="15" t="s">
        <v>322</v>
      </c>
      <c r="C136" s="15" t="s">
        <v>249</v>
      </c>
      <c r="D136" s="15" t="s">
        <v>59</v>
      </c>
      <c r="E136" s="15" t="s">
        <v>233</v>
      </c>
      <c r="F136" s="15" t="s">
        <v>611</v>
      </c>
      <c r="G136" s="15" t="s">
        <v>110</v>
      </c>
      <c r="J136" s="15" t="s">
        <v>612</v>
      </c>
      <c r="K136" s="15" t="s">
        <v>396</v>
      </c>
      <c r="L136" s="15" t="s">
        <v>613</v>
      </c>
      <c r="M136" s="15" t="s">
        <v>93</v>
      </c>
      <c r="N136" s="15" t="s">
        <v>614</v>
      </c>
      <c r="O136" s="16" t="n">
        <v>44158</v>
      </c>
      <c r="P136" s="15" t="s">
        <v>326</v>
      </c>
      <c r="Q136" s="17" t="n">
        <v>0.57</v>
      </c>
      <c r="R136" s="28" t="n">
        <f aca="false">IFERROR(Q136/VLOOKUP(P136,'Exchange rates to USD'!$L$2:$N$225,3,FALSE()),"")</f>
        <v>0.435175072288655</v>
      </c>
    </row>
    <row r="137" customFormat="false" ht="13.25" hidden="false" customHeight="true" outlineLevel="0" collapsed="false">
      <c r="A137" s="15" t="s">
        <v>615</v>
      </c>
      <c r="B137" s="15" t="s">
        <v>322</v>
      </c>
      <c r="C137" s="15" t="s">
        <v>249</v>
      </c>
      <c r="D137" s="15" t="s">
        <v>59</v>
      </c>
      <c r="E137" s="15" t="s">
        <v>95</v>
      </c>
      <c r="F137" s="15" t="s">
        <v>616</v>
      </c>
      <c r="G137" s="15" t="s">
        <v>62</v>
      </c>
      <c r="J137" s="15" t="s">
        <v>617</v>
      </c>
      <c r="K137" s="15" t="s">
        <v>396</v>
      </c>
      <c r="L137" s="15" t="s">
        <v>618</v>
      </c>
      <c r="M137" s="15" t="s">
        <v>113</v>
      </c>
      <c r="N137" s="15" t="s">
        <v>619</v>
      </c>
      <c r="O137" s="16" t="n">
        <v>44158</v>
      </c>
      <c r="P137" s="15" t="s">
        <v>326</v>
      </c>
      <c r="Q137" s="17" t="n">
        <v>1</v>
      </c>
      <c r="R137" s="28" t="n">
        <f aca="false">IFERROR(Q137/VLOOKUP(P137,'Exchange rates to USD'!$L$2:$N$225,3,FALSE()),"")</f>
        <v>0.763465039102904</v>
      </c>
    </row>
    <row r="138" customFormat="false" ht="13.25" hidden="false" customHeight="true" outlineLevel="0" collapsed="false">
      <c r="A138" s="15" t="s">
        <v>620</v>
      </c>
      <c r="B138" s="15" t="s">
        <v>322</v>
      </c>
      <c r="C138" s="15" t="s">
        <v>122</v>
      </c>
      <c r="D138" s="15" t="s">
        <v>108</v>
      </c>
      <c r="E138" s="15" t="s">
        <v>95</v>
      </c>
      <c r="G138" s="15" t="s">
        <v>62</v>
      </c>
      <c r="J138" s="15" t="s">
        <v>621</v>
      </c>
      <c r="K138" s="15" t="s">
        <v>396</v>
      </c>
      <c r="L138" s="15" t="s">
        <v>622</v>
      </c>
      <c r="M138" s="15" t="s">
        <v>113</v>
      </c>
      <c r="N138" s="15" t="s">
        <v>623</v>
      </c>
      <c r="O138" s="16" t="n">
        <v>44159</v>
      </c>
      <c r="P138" s="15" t="s">
        <v>326</v>
      </c>
      <c r="Q138" s="17" t="n">
        <v>1</v>
      </c>
      <c r="R138" s="28" t="n">
        <f aca="false">IFERROR(Q138/VLOOKUP(P138,'Exchange rates to USD'!$L$2:$N$225,3,FALSE()),"")</f>
        <v>0.763465039102904</v>
      </c>
    </row>
    <row r="139" customFormat="false" ht="13.25" hidden="false" customHeight="true" outlineLevel="0" collapsed="false">
      <c r="A139" s="15" t="s">
        <v>624</v>
      </c>
      <c r="B139" s="15" t="s">
        <v>322</v>
      </c>
      <c r="C139" s="15" t="s">
        <v>75</v>
      </c>
      <c r="D139" s="15" t="s">
        <v>108</v>
      </c>
      <c r="E139" s="15" t="s">
        <v>95</v>
      </c>
      <c r="F139" s="15" t="s">
        <v>625</v>
      </c>
      <c r="G139" s="15" t="s">
        <v>62</v>
      </c>
      <c r="J139" s="15" t="s">
        <v>626</v>
      </c>
      <c r="K139" s="15" t="s">
        <v>396</v>
      </c>
      <c r="L139" s="15" t="s">
        <v>627</v>
      </c>
      <c r="M139" s="15" t="s">
        <v>113</v>
      </c>
      <c r="N139" s="15" t="s">
        <v>628</v>
      </c>
      <c r="O139" s="16" t="n">
        <v>44159</v>
      </c>
      <c r="P139" s="15" t="s">
        <v>326</v>
      </c>
      <c r="Q139" s="17" t="n">
        <v>5.4</v>
      </c>
      <c r="R139" s="28" t="n">
        <f aca="false">IFERROR(Q139/VLOOKUP(P139,'Exchange rates to USD'!$L$2:$N$225,3,FALSE()),"")</f>
        <v>4.12271121115568</v>
      </c>
    </row>
    <row r="140" customFormat="false" ht="13.25" hidden="false" customHeight="true" outlineLevel="0" collapsed="false">
      <c r="A140" s="15" t="s">
        <v>629</v>
      </c>
      <c r="B140" s="15" t="s">
        <v>322</v>
      </c>
      <c r="C140" s="15" t="s">
        <v>122</v>
      </c>
      <c r="D140" s="15" t="s">
        <v>59</v>
      </c>
      <c r="E140" s="15" t="s">
        <v>76</v>
      </c>
      <c r="G140" s="15" t="s">
        <v>62</v>
      </c>
      <c r="J140" s="15" t="s">
        <v>630</v>
      </c>
      <c r="K140" s="15" t="s">
        <v>396</v>
      </c>
      <c r="L140" s="15" t="s">
        <v>631</v>
      </c>
      <c r="M140" s="15" t="s">
        <v>65</v>
      </c>
      <c r="N140" s="15" t="s">
        <v>632</v>
      </c>
      <c r="O140" s="16" t="n">
        <v>44159</v>
      </c>
      <c r="P140" s="15" t="s">
        <v>326</v>
      </c>
      <c r="R140" s="28" t="n">
        <f aca="false">IFERROR(Q140/VLOOKUP(P140,'Exchange rates to USD'!$L$2:$N$225,3,FALSE()),"")</f>
        <v>0</v>
      </c>
    </row>
    <row r="141" customFormat="false" ht="13.25" hidden="false" customHeight="true" outlineLevel="0" collapsed="false">
      <c r="A141" s="55" t="s">
        <v>633</v>
      </c>
      <c r="B141" s="55" t="s">
        <v>322</v>
      </c>
      <c r="C141" s="55" t="s">
        <v>122</v>
      </c>
      <c r="D141" s="55" t="s">
        <v>59</v>
      </c>
      <c r="E141" s="55" t="s">
        <v>90</v>
      </c>
      <c r="F141" s="55"/>
      <c r="G141" s="55" t="s">
        <v>110</v>
      </c>
      <c r="H141" s="55" t="s">
        <v>62</v>
      </c>
      <c r="I141" s="55"/>
      <c r="J141" s="55" t="s">
        <v>634</v>
      </c>
      <c r="K141" s="55" t="s">
        <v>396</v>
      </c>
      <c r="L141" s="55" t="s">
        <v>635</v>
      </c>
      <c r="M141" s="55" t="s">
        <v>65</v>
      </c>
      <c r="N141" s="55" t="s">
        <v>636</v>
      </c>
      <c r="O141" s="56" t="n">
        <v>44159</v>
      </c>
      <c r="P141" s="55" t="s">
        <v>326</v>
      </c>
      <c r="Q141" s="60"/>
      <c r="R141" s="58" t="n">
        <f aca="false">IFERROR(Q141/VLOOKUP(P141,'Exchange rates to USD'!$L$2:$N$225,3,FALSE()),"")</f>
        <v>0</v>
      </c>
    </row>
    <row r="142" customFormat="false" ht="13.25" hidden="false" customHeight="true" outlineLevel="0" collapsed="false">
      <c r="A142" s="15" t="s">
        <v>637</v>
      </c>
      <c r="B142" s="15" t="s">
        <v>638</v>
      </c>
      <c r="C142" s="15" t="s">
        <v>58</v>
      </c>
      <c r="D142" s="15" t="s">
        <v>80</v>
      </c>
      <c r="E142" s="15" t="s">
        <v>76</v>
      </c>
      <c r="F142" s="15" t="s">
        <v>639</v>
      </c>
      <c r="G142" s="15" t="s">
        <v>62</v>
      </c>
      <c r="H142" s="15" t="s">
        <v>97</v>
      </c>
      <c r="I142" s="15" t="s">
        <v>158</v>
      </c>
      <c r="J142" s="15" t="s">
        <v>640</v>
      </c>
      <c r="K142" s="15" t="s">
        <v>641</v>
      </c>
      <c r="M142" s="15" t="s">
        <v>93</v>
      </c>
      <c r="N142" s="15" t="s">
        <v>642</v>
      </c>
      <c r="O142" s="16" t="n">
        <v>44143</v>
      </c>
      <c r="P142" s="15" t="s">
        <v>643</v>
      </c>
      <c r="Q142" s="17" t="n">
        <v>4500</v>
      </c>
      <c r="R142" s="28" t="n">
        <f aca="false">IFERROR(Q142/VLOOKUP(P142,'Exchange rates to USD'!$L$2:$N$225,3,FALSE()),"")</f>
        <v>4500</v>
      </c>
    </row>
    <row r="143" customFormat="false" ht="13.25" hidden="false" customHeight="true" outlineLevel="0" collapsed="false">
      <c r="A143" s="15" t="s">
        <v>644</v>
      </c>
      <c r="B143" s="15" t="s">
        <v>638</v>
      </c>
      <c r="C143" s="15" t="s">
        <v>75</v>
      </c>
      <c r="E143" s="15" t="s">
        <v>76</v>
      </c>
      <c r="F143" s="15" t="s">
        <v>645</v>
      </c>
      <c r="G143" s="15" t="s">
        <v>105</v>
      </c>
      <c r="J143" s="15" t="s">
        <v>646</v>
      </c>
      <c r="K143" s="15" t="s">
        <v>647</v>
      </c>
      <c r="M143" s="15" t="s">
        <v>93</v>
      </c>
      <c r="O143" s="16" t="n">
        <v>44140</v>
      </c>
      <c r="P143" s="15" t="s">
        <v>643</v>
      </c>
      <c r="Q143" s="17" t="n">
        <v>75</v>
      </c>
      <c r="R143" s="28" t="n">
        <f aca="false">IFERROR(Q143/VLOOKUP(P143,'Exchange rates to USD'!$L$2:$N$225,3,FALSE()),"")</f>
        <v>75</v>
      </c>
    </row>
    <row r="144" customFormat="false" ht="13.25" hidden="false" customHeight="true" outlineLevel="0" collapsed="false">
      <c r="A144" s="15" t="s">
        <v>648</v>
      </c>
      <c r="B144" s="15" t="s">
        <v>638</v>
      </c>
      <c r="C144" s="15" t="s">
        <v>122</v>
      </c>
      <c r="D144" s="15" t="s">
        <v>59</v>
      </c>
      <c r="E144" s="15" t="s">
        <v>95</v>
      </c>
      <c r="G144" s="15" t="s">
        <v>62</v>
      </c>
      <c r="H144" s="15" t="s">
        <v>110</v>
      </c>
      <c r="J144" s="15" t="s">
        <v>649</v>
      </c>
      <c r="M144" s="15" t="s">
        <v>70</v>
      </c>
      <c r="O144" s="16" t="n">
        <v>44140</v>
      </c>
      <c r="R144" s="28" t="str">
        <f aca="false">IFERROR(Q144/VLOOKUP(P144,'Exchange rates to USD'!$L$2:$N$225,3,FALSE()),"")</f>
        <v/>
      </c>
    </row>
    <row r="145" customFormat="false" ht="13.25" hidden="false" customHeight="true" outlineLevel="0" collapsed="false">
      <c r="A145" s="35" t="s">
        <v>650</v>
      </c>
      <c r="B145" s="35" t="s">
        <v>638</v>
      </c>
      <c r="C145" s="35" t="s">
        <v>122</v>
      </c>
      <c r="D145" s="35" t="s">
        <v>59</v>
      </c>
      <c r="E145" s="35" t="s">
        <v>233</v>
      </c>
      <c r="F145" s="35"/>
      <c r="G145" s="35" t="s">
        <v>110</v>
      </c>
      <c r="H145" s="35" t="s">
        <v>62</v>
      </c>
      <c r="I145" s="35"/>
      <c r="J145" s="35" t="s">
        <v>651</v>
      </c>
      <c r="K145" s="35" t="s">
        <v>652</v>
      </c>
      <c r="L145" s="35"/>
      <c r="M145" s="35" t="s">
        <v>65</v>
      </c>
      <c r="N145" s="35"/>
      <c r="O145" s="36" t="n">
        <v>44140</v>
      </c>
      <c r="P145" s="35"/>
      <c r="Q145" s="37"/>
      <c r="R145" s="28" t="str">
        <f aca="false">IFERROR(Q145/VLOOKUP(P145,'Exchange rates to USD'!$L$2:$N$225,3,FALSE()),"")</f>
        <v/>
      </c>
    </row>
    <row r="146" customFormat="false" ht="13.25" hidden="false" customHeight="true" outlineLevel="0" collapsed="false">
      <c r="A146" s="35" t="s">
        <v>653</v>
      </c>
      <c r="B146" s="35" t="s">
        <v>638</v>
      </c>
      <c r="C146" s="35" t="s">
        <v>58</v>
      </c>
      <c r="D146" s="35" t="s">
        <v>59</v>
      </c>
      <c r="E146" s="35" t="s">
        <v>233</v>
      </c>
      <c r="F146" s="69" t="s">
        <v>654</v>
      </c>
      <c r="G146" s="35" t="s">
        <v>62</v>
      </c>
      <c r="H146" s="35" t="s">
        <v>110</v>
      </c>
      <c r="I146" s="35"/>
      <c r="J146" s="70" t="s">
        <v>655</v>
      </c>
      <c r="K146" s="35"/>
      <c r="L146" s="35"/>
      <c r="M146" s="35" t="s">
        <v>93</v>
      </c>
      <c r="N146" s="35"/>
      <c r="O146" s="36" t="n">
        <v>44203</v>
      </c>
      <c r="P146" s="35" t="s">
        <v>656</v>
      </c>
      <c r="Q146" s="37" t="n">
        <v>5000</v>
      </c>
      <c r="R146" s="28" t="n">
        <f aca="false">IFERROR(Q146/VLOOKUP(P146,'Exchange rates to USD'!$L$2:$N$225,3,FALSE()),"")</f>
        <v>8.03137018685191</v>
      </c>
    </row>
    <row r="147" customFormat="false" ht="13.25" hidden="false" customHeight="true" outlineLevel="0" collapsed="false">
      <c r="A147" s="35" t="s">
        <v>657</v>
      </c>
      <c r="B147" s="35" t="s">
        <v>638</v>
      </c>
      <c r="C147" s="35" t="s">
        <v>58</v>
      </c>
      <c r="D147" s="35" t="s">
        <v>59</v>
      </c>
      <c r="E147" s="35" t="s">
        <v>233</v>
      </c>
      <c r="F147" s="69" t="s">
        <v>658</v>
      </c>
      <c r="G147" s="35"/>
      <c r="H147" s="35"/>
      <c r="I147" s="35"/>
      <c r="J147" s="70" t="s">
        <v>659</v>
      </c>
      <c r="K147" s="35"/>
      <c r="L147" s="35"/>
      <c r="M147" s="35" t="s">
        <v>70</v>
      </c>
      <c r="N147" s="35"/>
      <c r="O147" s="36" t="n">
        <v>44203</v>
      </c>
      <c r="P147" s="35" t="s">
        <v>656</v>
      </c>
      <c r="Q147" s="37" t="n">
        <v>26000</v>
      </c>
      <c r="R147" s="28" t="n">
        <f aca="false">IFERROR(Q147/VLOOKUP(P147,'Exchange rates to USD'!$L$2:$N$225,3,FALSE()),"")</f>
        <v>41.7631249716299</v>
      </c>
    </row>
    <row r="148" customFormat="false" ht="13.25" hidden="false" customHeight="true" outlineLevel="0" collapsed="false">
      <c r="A148" s="35" t="s">
        <v>660</v>
      </c>
      <c r="B148" s="35" t="s">
        <v>638</v>
      </c>
      <c r="C148" s="35" t="s">
        <v>232</v>
      </c>
      <c r="D148" s="35" t="s">
        <v>80</v>
      </c>
      <c r="E148" s="35" t="s">
        <v>123</v>
      </c>
      <c r="F148" s="71" t="s">
        <v>661</v>
      </c>
      <c r="G148" s="35" t="s">
        <v>97</v>
      </c>
      <c r="H148" s="35" t="s">
        <v>158</v>
      </c>
      <c r="I148" s="35" t="s">
        <v>62</v>
      </c>
      <c r="J148" s="72" t="s">
        <v>662</v>
      </c>
      <c r="K148" s="73" t="s">
        <v>641</v>
      </c>
      <c r="L148" s="35"/>
      <c r="M148" s="15" t="s">
        <v>93</v>
      </c>
      <c r="N148" s="74" t="s">
        <v>663</v>
      </c>
      <c r="O148" s="36" t="n">
        <v>44203</v>
      </c>
      <c r="P148" s="35" t="s">
        <v>643</v>
      </c>
      <c r="Q148" s="37" t="n">
        <v>455</v>
      </c>
      <c r="R148" s="28" t="n">
        <f aca="false">IFERROR(Q148/VLOOKUP(P148,'Exchange rates to USD'!$L$2:$N$225,3,FALSE()),"")</f>
        <v>455</v>
      </c>
    </row>
    <row r="149" customFormat="false" ht="13.25" hidden="false" customHeight="true" outlineLevel="0" collapsed="false">
      <c r="A149" s="35" t="s">
        <v>664</v>
      </c>
      <c r="B149" s="35" t="s">
        <v>638</v>
      </c>
      <c r="C149" s="35" t="s">
        <v>232</v>
      </c>
      <c r="D149" s="35" t="s">
        <v>80</v>
      </c>
      <c r="E149" s="35" t="s">
        <v>76</v>
      </c>
      <c r="F149" s="75" t="s">
        <v>665</v>
      </c>
      <c r="G149" s="35" t="s">
        <v>97</v>
      </c>
      <c r="H149" s="35" t="s">
        <v>158</v>
      </c>
      <c r="I149" s="35" t="s">
        <v>62</v>
      </c>
      <c r="J149" s="72" t="s">
        <v>666</v>
      </c>
      <c r="K149" s="73" t="s">
        <v>641</v>
      </c>
      <c r="L149" s="35"/>
      <c r="M149" s="15" t="s">
        <v>70</v>
      </c>
      <c r="N149" s="74" t="s">
        <v>667</v>
      </c>
      <c r="O149" s="36" t="n">
        <v>44203</v>
      </c>
      <c r="P149" s="35" t="s">
        <v>643</v>
      </c>
      <c r="Q149" s="37" t="n">
        <v>481</v>
      </c>
      <c r="R149" s="28" t="n">
        <f aca="false">IFERROR(Q149/VLOOKUP(P149,'Exchange rates to USD'!$L$2:$N$225,3,FALSE()),"")</f>
        <v>481</v>
      </c>
    </row>
    <row r="150" customFormat="false" ht="13.25" hidden="false" customHeight="true" outlineLevel="0" collapsed="false">
      <c r="A150" s="35" t="s">
        <v>668</v>
      </c>
      <c r="B150" s="35" t="s">
        <v>638</v>
      </c>
      <c r="C150" s="35" t="s">
        <v>232</v>
      </c>
      <c r="D150" s="35" t="s">
        <v>80</v>
      </c>
      <c r="E150" s="35" t="s">
        <v>233</v>
      </c>
      <c r="F150" s="72" t="s">
        <v>669</v>
      </c>
      <c r="G150" s="35" t="s">
        <v>158</v>
      </c>
      <c r="H150" s="35" t="s">
        <v>62</v>
      </c>
      <c r="I150" s="35" t="s">
        <v>97</v>
      </c>
      <c r="J150" s="72" t="s">
        <v>670</v>
      </c>
      <c r="K150" s="73" t="s">
        <v>641</v>
      </c>
      <c r="L150" s="35"/>
      <c r="M150" s="15" t="s">
        <v>113</v>
      </c>
      <c r="N150" s="74" t="s">
        <v>671</v>
      </c>
      <c r="O150" s="36" t="n">
        <v>44203</v>
      </c>
      <c r="P150" s="35" t="s">
        <v>643</v>
      </c>
      <c r="Q150" s="37" t="n">
        <v>376</v>
      </c>
      <c r="R150" s="28" t="n">
        <f aca="false">IFERROR(Q150/VLOOKUP(P150,'Exchange rates to USD'!$L$2:$N$225,3,FALSE()),"")</f>
        <v>376</v>
      </c>
    </row>
    <row r="151" customFormat="false" ht="13.25" hidden="false" customHeight="true" outlineLevel="0" collapsed="false">
      <c r="A151" s="35" t="s">
        <v>672</v>
      </c>
      <c r="B151" s="35" t="s">
        <v>638</v>
      </c>
      <c r="C151" s="35" t="s">
        <v>232</v>
      </c>
      <c r="D151" s="35" t="s">
        <v>80</v>
      </c>
      <c r="E151" s="35" t="s">
        <v>76</v>
      </c>
      <c r="F151" s="72" t="s">
        <v>673</v>
      </c>
      <c r="G151" s="35" t="s">
        <v>158</v>
      </c>
      <c r="H151" s="35" t="s">
        <v>62</v>
      </c>
      <c r="I151" s="35" t="s">
        <v>97</v>
      </c>
      <c r="J151" s="72" t="s">
        <v>674</v>
      </c>
      <c r="K151" s="73" t="s">
        <v>641</v>
      </c>
      <c r="L151" s="35"/>
      <c r="M151" s="15" t="s">
        <v>93</v>
      </c>
      <c r="N151" s="74" t="s">
        <v>675</v>
      </c>
      <c r="O151" s="36" t="n">
        <v>44203</v>
      </c>
      <c r="P151" s="35" t="s">
        <v>643</v>
      </c>
      <c r="Q151" s="37" t="n">
        <v>235</v>
      </c>
      <c r="R151" s="28" t="n">
        <f aca="false">IFERROR(Q151/VLOOKUP(P151,'Exchange rates to USD'!$L$2:$N$225,3,FALSE()),"")</f>
        <v>235</v>
      </c>
    </row>
    <row r="152" customFormat="false" ht="13.25" hidden="false" customHeight="true" outlineLevel="0" collapsed="false">
      <c r="A152" s="35" t="s">
        <v>676</v>
      </c>
      <c r="B152" s="35" t="s">
        <v>638</v>
      </c>
      <c r="C152" s="35" t="s">
        <v>232</v>
      </c>
      <c r="D152" s="35" t="s">
        <v>80</v>
      </c>
      <c r="E152" s="35" t="s">
        <v>76</v>
      </c>
      <c r="F152" s="72" t="s">
        <v>677</v>
      </c>
      <c r="G152" s="35" t="s">
        <v>97</v>
      </c>
      <c r="H152" s="35" t="s">
        <v>158</v>
      </c>
      <c r="I152" s="35" t="s">
        <v>62</v>
      </c>
      <c r="J152" s="72" t="s">
        <v>678</v>
      </c>
      <c r="K152" s="73" t="s">
        <v>641</v>
      </c>
      <c r="L152" s="35"/>
      <c r="M152" s="15" t="s">
        <v>93</v>
      </c>
      <c r="N152" s="74" t="s">
        <v>679</v>
      </c>
      <c r="O152" s="36" t="n">
        <v>44203</v>
      </c>
      <c r="P152" s="35" t="s">
        <v>643</v>
      </c>
      <c r="Q152" s="37" t="n">
        <v>39</v>
      </c>
      <c r="R152" s="28" t="n">
        <f aca="false">IFERROR(Q152/VLOOKUP(P152,'Exchange rates to USD'!$L$2:$N$225,3,FALSE()),"")</f>
        <v>39</v>
      </c>
    </row>
    <row r="153" customFormat="false" ht="13.25" hidden="false" customHeight="true" outlineLevel="0" collapsed="false">
      <c r="A153" s="55" t="s">
        <v>680</v>
      </c>
      <c r="B153" s="55" t="s">
        <v>638</v>
      </c>
      <c r="C153" s="55" t="s">
        <v>232</v>
      </c>
      <c r="D153" s="55" t="s">
        <v>80</v>
      </c>
      <c r="E153" s="55" t="s">
        <v>116</v>
      </c>
      <c r="F153" s="76" t="s">
        <v>681</v>
      </c>
      <c r="G153" s="55" t="s">
        <v>158</v>
      </c>
      <c r="H153" s="55" t="s">
        <v>105</v>
      </c>
      <c r="I153" s="55"/>
      <c r="J153" s="76" t="s">
        <v>682</v>
      </c>
      <c r="K153" s="77" t="s">
        <v>641</v>
      </c>
      <c r="L153" s="55"/>
      <c r="M153" s="15" t="s">
        <v>70</v>
      </c>
      <c r="N153" s="76" t="s">
        <v>683</v>
      </c>
      <c r="O153" s="56" t="n">
        <v>44203</v>
      </c>
      <c r="P153" s="55" t="s">
        <v>643</v>
      </c>
      <c r="Q153" s="60" t="n">
        <v>403</v>
      </c>
      <c r="R153" s="58" t="n">
        <f aca="false">IFERROR(Q153/VLOOKUP(P153,'Exchange rates to USD'!$L$2:$N$225,3,FALSE()),"")</f>
        <v>403</v>
      </c>
    </row>
    <row r="154" customFormat="false" ht="13.25" hidden="false" customHeight="true" outlineLevel="0" collapsed="false">
      <c r="A154" s="15" t="s">
        <v>684</v>
      </c>
      <c r="B154" s="15" t="s">
        <v>685</v>
      </c>
      <c r="C154" s="15" t="s">
        <v>232</v>
      </c>
      <c r="D154" s="15" t="s">
        <v>80</v>
      </c>
      <c r="E154" s="15" t="s">
        <v>76</v>
      </c>
      <c r="G154" s="15" t="s">
        <v>97</v>
      </c>
      <c r="J154" s="15" t="s">
        <v>686</v>
      </c>
      <c r="K154" s="15" t="s">
        <v>687</v>
      </c>
      <c r="M154" s="15" t="s">
        <v>70</v>
      </c>
      <c r="N154" s="15" t="s">
        <v>688</v>
      </c>
      <c r="O154" s="16" t="n">
        <v>44154</v>
      </c>
      <c r="P154" s="35"/>
      <c r="Q154" s="37"/>
      <c r="R154" s="38" t="str">
        <f aca="false">IFERROR(Q154/VLOOKUP(P154,'Exchange rates to USD'!$L$2:$N$225,3,FALSE()),"")</f>
        <v/>
      </c>
    </row>
    <row r="155" customFormat="false" ht="13.25" hidden="false" customHeight="true" outlineLevel="0" collapsed="false">
      <c r="A155" s="15" t="s">
        <v>689</v>
      </c>
      <c r="B155" s="15" t="s">
        <v>685</v>
      </c>
      <c r="C155" s="15" t="s">
        <v>75</v>
      </c>
      <c r="E155" s="15" t="s">
        <v>76</v>
      </c>
      <c r="J155" s="15" t="s">
        <v>690</v>
      </c>
      <c r="M155" s="15" t="s">
        <v>70</v>
      </c>
      <c r="P155" s="35"/>
      <c r="Q155" s="37"/>
      <c r="R155" s="38" t="str">
        <f aca="false">IFERROR(Q155/VLOOKUP(P155,'Exchange rates to USD'!$L$2:$N$225,3,FALSE()),"")</f>
        <v/>
      </c>
    </row>
    <row r="156" customFormat="false" ht="13.25" hidden="false" customHeight="true" outlineLevel="0" collapsed="false">
      <c r="A156" s="15" t="s">
        <v>691</v>
      </c>
      <c r="B156" s="15" t="s">
        <v>685</v>
      </c>
      <c r="C156" s="15" t="s">
        <v>75</v>
      </c>
      <c r="E156" s="15" t="s">
        <v>76</v>
      </c>
      <c r="J156" s="15" t="s">
        <v>692</v>
      </c>
      <c r="M156" s="15" t="s">
        <v>70</v>
      </c>
      <c r="P156" s="35"/>
      <c r="Q156" s="37"/>
      <c r="R156" s="38" t="str">
        <f aca="false">IFERROR(Q156/VLOOKUP(P156,'Exchange rates to USD'!$L$2:$N$225,3,FALSE()),"")</f>
        <v/>
      </c>
    </row>
    <row r="157" customFormat="false" ht="13.25" hidden="false" customHeight="true" outlineLevel="0" collapsed="false">
      <c r="A157" s="15" t="s">
        <v>693</v>
      </c>
      <c r="B157" s="15" t="s">
        <v>685</v>
      </c>
      <c r="C157" s="15" t="s">
        <v>232</v>
      </c>
      <c r="E157" s="15" t="s">
        <v>76</v>
      </c>
      <c r="J157" s="15" t="s">
        <v>694</v>
      </c>
      <c r="M157" s="15" t="s">
        <v>70</v>
      </c>
      <c r="P157" s="35"/>
      <c r="Q157" s="37"/>
      <c r="R157" s="38" t="str">
        <f aca="false">IFERROR(Q157/VLOOKUP(P157,'Exchange rates to USD'!$L$2:$N$225,3,FALSE()),"")</f>
        <v/>
      </c>
    </row>
    <row r="158" customFormat="false" ht="13.25" hidden="false" customHeight="true" outlineLevel="0" collapsed="false">
      <c r="A158" s="15" t="s">
        <v>695</v>
      </c>
      <c r="B158" s="15" t="s">
        <v>685</v>
      </c>
      <c r="C158" s="15" t="s">
        <v>75</v>
      </c>
      <c r="E158" s="15" t="s">
        <v>76</v>
      </c>
      <c r="J158" s="15" t="s">
        <v>696</v>
      </c>
      <c r="M158" s="15" t="s">
        <v>70</v>
      </c>
      <c r="P158" s="35"/>
      <c r="Q158" s="37"/>
      <c r="R158" s="38" t="str">
        <f aca="false">IFERROR(Q158/VLOOKUP(P158,'Exchange rates to USD'!$L$2:$N$225,3,FALSE()),"")</f>
        <v/>
      </c>
    </row>
    <row r="159" customFormat="false" ht="13.25" hidden="false" customHeight="true" outlineLevel="0" collapsed="false">
      <c r="A159" s="15" t="s">
        <v>697</v>
      </c>
      <c r="B159" s="15" t="s">
        <v>685</v>
      </c>
      <c r="C159" s="15" t="s">
        <v>75</v>
      </c>
      <c r="E159" s="15" t="s">
        <v>76</v>
      </c>
      <c r="G159" s="15" t="s">
        <v>62</v>
      </c>
      <c r="H159" s="15" t="s">
        <v>77</v>
      </c>
      <c r="J159" s="15" t="s">
        <v>698</v>
      </c>
      <c r="M159" s="15" t="s">
        <v>70</v>
      </c>
      <c r="P159" s="35"/>
      <c r="Q159" s="37"/>
      <c r="R159" s="38" t="str">
        <f aca="false">IFERROR(Q159/VLOOKUP(P159,'Exchange rates to USD'!$L$2:$N$225,3,FALSE()),"")</f>
        <v/>
      </c>
    </row>
    <row r="160" customFormat="false" ht="13.25" hidden="false" customHeight="true" outlineLevel="0" collapsed="false">
      <c r="A160" s="15" t="s">
        <v>699</v>
      </c>
      <c r="B160" s="15" t="s">
        <v>685</v>
      </c>
      <c r="C160" s="15" t="s">
        <v>58</v>
      </c>
      <c r="E160" s="15" t="s">
        <v>76</v>
      </c>
      <c r="F160" s="15" t="s">
        <v>700</v>
      </c>
      <c r="G160" s="15" t="s">
        <v>62</v>
      </c>
      <c r="H160" s="15" t="s">
        <v>77</v>
      </c>
      <c r="J160" s="15" t="s">
        <v>701</v>
      </c>
      <c r="M160" s="15" t="s">
        <v>65</v>
      </c>
      <c r="P160" s="35" t="s">
        <v>702</v>
      </c>
      <c r="Q160" s="37" t="n">
        <v>60000</v>
      </c>
      <c r="R160" s="38" t="n">
        <f aca="false">IFERROR(Q160/VLOOKUP(P160,'Exchange rates to USD'!$L$2:$N$225,3,FALSE()),"")</f>
        <v>20.8308417156931</v>
      </c>
    </row>
    <row r="161" customFormat="false" ht="13.25" hidden="false" customHeight="true" outlineLevel="0" collapsed="false">
      <c r="A161" s="15" t="s">
        <v>703</v>
      </c>
      <c r="B161" s="15" t="s">
        <v>685</v>
      </c>
      <c r="C161" s="15" t="s">
        <v>232</v>
      </c>
      <c r="D161" s="15" t="s">
        <v>80</v>
      </c>
      <c r="E161" s="15" t="s">
        <v>233</v>
      </c>
      <c r="G161" s="15" t="s">
        <v>62</v>
      </c>
      <c r="J161" s="15" t="s">
        <v>704</v>
      </c>
      <c r="M161" s="15" t="s">
        <v>65</v>
      </c>
      <c r="P161" s="35"/>
      <c r="Q161" s="37"/>
      <c r="R161" s="38" t="str">
        <f aca="false">IFERROR(Q161/VLOOKUP(P161,'Exchange rates to USD'!$L$2:$N$225,3,FALSE()),"")</f>
        <v/>
      </c>
    </row>
    <row r="162" customFormat="false" ht="13.25" hidden="false" customHeight="true" outlineLevel="0" collapsed="false">
      <c r="A162" s="15" t="s">
        <v>705</v>
      </c>
      <c r="B162" s="15" t="s">
        <v>685</v>
      </c>
      <c r="C162" s="15" t="s">
        <v>75</v>
      </c>
      <c r="E162" s="15" t="s">
        <v>76</v>
      </c>
      <c r="F162" s="15" t="s">
        <v>706</v>
      </c>
      <c r="J162" s="15" t="s">
        <v>707</v>
      </c>
      <c r="M162" s="15" t="s">
        <v>70</v>
      </c>
      <c r="P162" s="35" t="s">
        <v>702</v>
      </c>
      <c r="Q162" s="37" t="n">
        <v>70000</v>
      </c>
      <c r="R162" s="38" t="n">
        <f aca="false">IFERROR(Q162/VLOOKUP(P162,'Exchange rates to USD'!$L$2:$N$225,3,FALSE()),"")</f>
        <v>24.3026486683086</v>
      </c>
    </row>
    <row r="163" customFormat="false" ht="13.25" hidden="false" customHeight="true" outlineLevel="0" collapsed="false">
      <c r="A163" s="15" t="s">
        <v>708</v>
      </c>
      <c r="B163" s="15" t="s">
        <v>685</v>
      </c>
      <c r="C163" s="15" t="s">
        <v>58</v>
      </c>
      <c r="E163" s="15" t="s">
        <v>76</v>
      </c>
      <c r="J163" s="15" t="s">
        <v>709</v>
      </c>
      <c r="M163" s="15" t="s">
        <v>70</v>
      </c>
      <c r="P163" s="35"/>
      <c r="Q163" s="37"/>
      <c r="R163" s="38" t="str">
        <f aca="false">IFERROR(Q163/VLOOKUP(P163,'Exchange rates to USD'!$L$2:$N$225,3,FALSE()),"")</f>
        <v/>
      </c>
    </row>
    <row r="164" customFormat="false" ht="13.25" hidden="false" customHeight="true" outlineLevel="0" collapsed="false">
      <c r="A164" s="15" t="s">
        <v>710</v>
      </c>
      <c r="B164" s="15" t="s">
        <v>685</v>
      </c>
      <c r="C164" s="15" t="s">
        <v>232</v>
      </c>
      <c r="D164" s="15" t="s">
        <v>80</v>
      </c>
      <c r="E164" s="15" t="s">
        <v>76</v>
      </c>
      <c r="J164" s="15" t="s">
        <v>711</v>
      </c>
      <c r="M164" s="15" t="s">
        <v>70</v>
      </c>
      <c r="P164" s="35"/>
      <c r="Q164" s="37"/>
      <c r="R164" s="38" t="str">
        <f aca="false">IFERROR(Q164/VLOOKUP(P164,'Exchange rates to USD'!$L$2:$N$225,3,FALSE()),"")</f>
        <v/>
      </c>
    </row>
    <row r="165" customFormat="false" ht="13.25" hidden="false" customHeight="true" outlineLevel="0" collapsed="false">
      <c r="A165" s="15" t="s">
        <v>712</v>
      </c>
      <c r="B165" s="15" t="s">
        <v>685</v>
      </c>
      <c r="C165" s="15" t="s">
        <v>232</v>
      </c>
      <c r="D165" s="15" t="s">
        <v>80</v>
      </c>
      <c r="E165" s="15" t="s">
        <v>76</v>
      </c>
      <c r="J165" s="15" t="s">
        <v>713</v>
      </c>
      <c r="M165" s="15" t="s">
        <v>70</v>
      </c>
      <c r="P165" s="35"/>
      <c r="Q165" s="37"/>
      <c r="R165" s="38" t="str">
        <f aca="false">IFERROR(Q165/VLOOKUP(P165,'Exchange rates to USD'!$L$2:$N$225,3,FALSE()),"")</f>
        <v/>
      </c>
    </row>
    <row r="166" customFormat="false" ht="13.25" hidden="false" customHeight="true" outlineLevel="0" collapsed="false">
      <c r="A166" s="15" t="s">
        <v>714</v>
      </c>
      <c r="B166" s="15" t="s">
        <v>685</v>
      </c>
      <c r="C166" s="15" t="s">
        <v>232</v>
      </c>
      <c r="E166" s="15" t="s">
        <v>76</v>
      </c>
      <c r="J166" s="15" t="s">
        <v>715</v>
      </c>
      <c r="M166" s="15" t="s">
        <v>70</v>
      </c>
      <c r="P166" s="35"/>
      <c r="Q166" s="37"/>
      <c r="R166" s="38" t="str">
        <f aca="false">IFERROR(Q166/VLOOKUP(P166,'Exchange rates to USD'!$L$2:$N$225,3,FALSE()),"")</f>
        <v/>
      </c>
    </row>
    <row r="167" customFormat="false" ht="13.25" hidden="false" customHeight="true" outlineLevel="0" collapsed="false">
      <c r="A167" s="15" t="s">
        <v>716</v>
      </c>
      <c r="B167" s="15" t="s">
        <v>685</v>
      </c>
      <c r="C167" s="59" t="s">
        <v>232</v>
      </c>
      <c r="D167" s="15" t="s">
        <v>59</v>
      </c>
      <c r="E167" s="15" t="s">
        <v>95</v>
      </c>
      <c r="F167" s="15" t="s">
        <v>717</v>
      </c>
      <c r="G167" s="15" t="s">
        <v>62</v>
      </c>
      <c r="J167" s="15" t="s">
        <v>718</v>
      </c>
      <c r="L167" s="15" t="s">
        <v>719</v>
      </c>
      <c r="M167" s="15" t="s">
        <v>113</v>
      </c>
      <c r="O167" s="16" t="n">
        <v>44140</v>
      </c>
      <c r="P167" s="35" t="s">
        <v>702</v>
      </c>
      <c r="Q167" s="37" t="n">
        <v>16000</v>
      </c>
      <c r="R167" s="38" t="n">
        <f aca="false">IFERROR(Q167/VLOOKUP(P167,'Exchange rates to USD'!$L$2:$N$225,3,FALSE()),"")</f>
        <v>5.55489112418482</v>
      </c>
    </row>
    <row r="168" customFormat="false" ht="13.25" hidden="false" customHeight="true" outlineLevel="0" collapsed="false">
      <c r="A168" s="15" t="s">
        <v>720</v>
      </c>
      <c r="B168" s="15" t="s">
        <v>685</v>
      </c>
      <c r="C168" s="59" t="s">
        <v>232</v>
      </c>
      <c r="D168" s="15" t="s">
        <v>59</v>
      </c>
      <c r="E168" s="15" t="s">
        <v>123</v>
      </c>
      <c r="G168" s="15" t="s">
        <v>77</v>
      </c>
      <c r="H168" s="15" t="s">
        <v>62</v>
      </c>
      <c r="J168" s="15" t="s">
        <v>721</v>
      </c>
      <c r="L168" s="15" t="s">
        <v>722</v>
      </c>
      <c r="M168" s="15" t="s">
        <v>93</v>
      </c>
      <c r="N168" s="15" t="s">
        <v>723</v>
      </c>
      <c r="O168" s="16" t="n">
        <v>44141</v>
      </c>
      <c r="P168" s="35"/>
      <c r="Q168" s="37"/>
      <c r="R168" s="38" t="str">
        <f aca="false">IFERROR(Q168/VLOOKUP(P168,'Exchange rates to USD'!$L$2:$N$225,3,FALSE()),"")</f>
        <v/>
      </c>
    </row>
    <row r="169" customFormat="false" ht="13.25" hidden="false" customHeight="true" outlineLevel="0" collapsed="false">
      <c r="A169" s="15" t="s">
        <v>724</v>
      </c>
      <c r="B169" s="15" t="s">
        <v>685</v>
      </c>
      <c r="C169" s="59" t="s">
        <v>232</v>
      </c>
      <c r="D169" s="15" t="s">
        <v>80</v>
      </c>
      <c r="E169" s="15" t="s">
        <v>76</v>
      </c>
      <c r="F169" s="15" t="s">
        <v>725</v>
      </c>
      <c r="G169" s="15" t="s">
        <v>62</v>
      </c>
      <c r="H169" s="15" t="s">
        <v>77</v>
      </c>
      <c r="J169" s="15" t="s">
        <v>726</v>
      </c>
      <c r="L169" s="15" t="s">
        <v>722</v>
      </c>
      <c r="M169" s="15" t="s">
        <v>65</v>
      </c>
      <c r="N169" s="15" t="s">
        <v>727</v>
      </c>
      <c r="O169" s="16" t="n">
        <v>44142</v>
      </c>
      <c r="P169" s="35" t="s">
        <v>702</v>
      </c>
      <c r="Q169" s="37" t="n">
        <v>1500000</v>
      </c>
      <c r="R169" s="38" t="n">
        <f aca="false">IFERROR(Q169/VLOOKUP(P169,'Exchange rates to USD'!$L$2:$N$225,3,FALSE()),"")</f>
        <v>520.771042892327</v>
      </c>
    </row>
    <row r="170" customFormat="false" ht="13.25" hidden="false" customHeight="true" outlineLevel="0" collapsed="false">
      <c r="A170" s="15" t="s">
        <v>728</v>
      </c>
      <c r="B170" s="15" t="s">
        <v>685</v>
      </c>
      <c r="C170" s="15" t="s">
        <v>122</v>
      </c>
      <c r="D170" s="15" t="s">
        <v>80</v>
      </c>
      <c r="E170" s="15" t="s">
        <v>76</v>
      </c>
      <c r="G170" s="15" t="s">
        <v>62</v>
      </c>
      <c r="H170" s="15" t="s">
        <v>77</v>
      </c>
      <c r="I170" s="15" t="s">
        <v>97</v>
      </c>
      <c r="J170" s="15" t="s">
        <v>729</v>
      </c>
      <c r="L170" s="15" t="s">
        <v>722</v>
      </c>
      <c r="M170" s="15" t="s">
        <v>70</v>
      </c>
      <c r="N170" s="15" t="s">
        <v>730</v>
      </c>
      <c r="O170" s="16" t="n">
        <v>44143</v>
      </c>
      <c r="P170" s="35"/>
      <c r="Q170" s="37"/>
      <c r="R170" s="38" t="str">
        <f aca="false">IFERROR(Q170/VLOOKUP(P170,'Exchange rates to USD'!$L$2:$N$225,3,FALSE()),"")</f>
        <v/>
      </c>
    </row>
    <row r="171" customFormat="false" ht="13.25" hidden="false" customHeight="true" outlineLevel="0" collapsed="false">
      <c r="A171" s="15" t="s">
        <v>731</v>
      </c>
      <c r="B171" s="15" t="s">
        <v>685</v>
      </c>
      <c r="C171" s="15" t="s">
        <v>122</v>
      </c>
      <c r="D171" s="15" t="s">
        <v>59</v>
      </c>
      <c r="E171" s="15" t="s">
        <v>90</v>
      </c>
      <c r="G171" s="15" t="s">
        <v>77</v>
      </c>
      <c r="H171" s="15" t="s">
        <v>97</v>
      </c>
      <c r="I171" s="15" t="s">
        <v>62</v>
      </c>
      <c r="J171" s="15" t="s">
        <v>732</v>
      </c>
      <c r="L171" s="15" t="s">
        <v>722</v>
      </c>
      <c r="M171" s="15" t="s">
        <v>93</v>
      </c>
      <c r="O171" s="16" t="n">
        <v>44144</v>
      </c>
      <c r="P171" s="35"/>
      <c r="Q171" s="37"/>
      <c r="R171" s="38" t="str">
        <f aca="false">IFERROR(Q171/VLOOKUP(P171,'Exchange rates to USD'!$L$2:$N$225,3,FALSE()),"")</f>
        <v/>
      </c>
    </row>
    <row r="172" customFormat="false" ht="13.25" hidden="false" customHeight="true" outlineLevel="0" collapsed="false">
      <c r="A172" s="15" t="s">
        <v>733</v>
      </c>
      <c r="B172" s="15" t="s">
        <v>685</v>
      </c>
      <c r="C172" s="59" t="s">
        <v>232</v>
      </c>
      <c r="D172" s="15" t="s">
        <v>80</v>
      </c>
      <c r="G172" s="15" t="s">
        <v>62</v>
      </c>
      <c r="H172" s="15" t="s">
        <v>158</v>
      </c>
      <c r="J172" s="15" t="s">
        <v>734</v>
      </c>
      <c r="L172" s="15" t="s">
        <v>722</v>
      </c>
      <c r="M172" s="15" t="s">
        <v>113</v>
      </c>
      <c r="O172" s="16" t="n">
        <v>44145</v>
      </c>
      <c r="P172" s="35"/>
      <c r="Q172" s="37"/>
      <c r="R172" s="38" t="str">
        <f aca="false">IFERROR(Q172/VLOOKUP(P172,'Exchange rates to USD'!$L$2:$N$225,3,FALSE()),"")</f>
        <v/>
      </c>
    </row>
    <row r="173" customFormat="false" ht="13.25" hidden="false" customHeight="true" outlineLevel="0" collapsed="false">
      <c r="A173" s="15" t="s">
        <v>735</v>
      </c>
      <c r="B173" s="15" t="s">
        <v>685</v>
      </c>
      <c r="C173" s="59" t="s">
        <v>232</v>
      </c>
      <c r="D173" s="15" t="s">
        <v>59</v>
      </c>
      <c r="E173" s="15" t="s">
        <v>76</v>
      </c>
      <c r="G173" s="15" t="s">
        <v>77</v>
      </c>
      <c r="H173" s="15" t="s">
        <v>62</v>
      </c>
      <c r="J173" s="15" t="s">
        <v>736</v>
      </c>
      <c r="L173" s="15" t="s">
        <v>722</v>
      </c>
      <c r="M173" s="15" t="s">
        <v>113</v>
      </c>
      <c r="O173" s="16" t="n">
        <v>44146</v>
      </c>
      <c r="P173" s="35"/>
      <c r="Q173" s="37"/>
      <c r="R173" s="38" t="str">
        <f aca="false">IFERROR(Q173/VLOOKUP(P173,'Exchange rates to USD'!$L$2:$N$225,3,FALSE()),"")</f>
        <v/>
      </c>
    </row>
    <row r="174" customFormat="false" ht="13.25" hidden="false" customHeight="true" outlineLevel="0" collapsed="false">
      <c r="A174" s="15" t="s">
        <v>737</v>
      </c>
      <c r="B174" s="15" t="s">
        <v>685</v>
      </c>
      <c r="C174" s="15" t="s">
        <v>58</v>
      </c>
      <c r="D174" s="15" t="s">
        <v>59</v>
      </c>
      <c r="E174" s="15" t="s">
        <v>123</v>
      </c>
      <c r="G174" s="15" t="s">
        <v>77</v>
      </c>
      <c r="H174" s="15" t="s">
        <v>105</v>
      </c>
      <c r="J174" s="15" t="s">
        <v>738</v>
      </c>
      <c r="L174" s="15" t="s">
        <v>739</v>
      </c>
      <c r="M174" s="15" t="s">
        <v>113</v>
      </c>
      <c r="N174" s="15" t="s">
        <v>740</v>
      </c>
      <c r="O174" s="16" t="n">
        <v>44154</v>
      </c>
      <c r="P174" s="35"/>
      <c r="Q174" s="37"/>
      <c r="R174" s="38" t="str">
        <f aca="false">IFERROR(Q174/VLOOKUP(P174,'Exchange rates to USD'!$L$2:$N$225,3,FALSE()),"")</f>
        <v/>
      </c>
    </row>
    <row r="175" customFormat="false" ht="13.25" hidden="false" customHeight="true" outlineLevel="0" collapsed="false">
      <c r="A175" s="55" t="s">
        <v>741</v>
      </c>
      <c r="B175" s="55" t="s">
        <v>685</v>
      </c>
      <c r="C175" s="15" t="s">
        <v>75</v>
      </c>
      <c r="D175" s="55"/>
      <c r="E175" s="55" t="s">
        <v>76</v>
      </c>
      <c r="F175" s="55"/>
      <c r="G175" s="55" t="s">
        <v>97</v>
      </c>
      <c r="H175" s="55"/>
      <c r="I175" s="55"/>
      <c r="J175" s="55" t="s">
        <v>742</v>
      </c>
      <c r="K175" s="55"/>
      <c r="L175" s="55" t="s">
        <v>687</v>
      </c>
      <c r="M175" s="55" t="s">
        <v>93</v>
      </c>
      <c r="N175" s="55" t="s">
        <v>743</v>
      </c>
      <c r="O175" s="56" t="n">
        <v>44155</v>
      </c>
      <c r="P175" s="55"/>
      <c r="Q175" s="60"/>
      <c r="R175" s="58" t="str">
        <f aca="false">IFERROR(Q175/VLOOKUP(P175,'Exchange rates to USD'!$L$2:$N$225,3,FALSE()),"")</f>
        <v/>
      </c>
    </row>
    <row r="176" customFormat="false" ht="13.25" hidden="false" customHeight="true" outlineLevel="0" collapsed="false">
      <c r="A176" s="15" t="s">
        <v>744</v>
      </c>
      <c r="B176" s="15" t="s">
        <v>745</v>
      </c>
      <c r="C176" s="15" t="s">
        <v>58</v>
      </c>
      <c r="D176" s="15" t="s">
        <v>59</v>
      </c>
      <c r="E176" s="15" t="s">
        <v>123</v>
      </c>
      <c r="F176" s="15" t="s">
        <v>746</v>
      </c>
      <c r="J176" s="15" t="s">
        <v>747</v>
      </c>
      <c r="K176" s="15" t="s">
        <v>748</v>
      </c>
      <c r="M176" s="15" t="s">
        <v>70</v>
      </c>
      <c r="P176" s="15" t="s">
        <v>749</v>
      </c>
      <c r="Q176" s="17" t="n">
        <v>3300</v>
      </c>
      <c r="R176" s="38" t="n">
        <f aca="false">IFERROR(Q176/VLOOKUP(P176,'Exchange rates to USD'!$L$2:$N$225,3,FALSE()),"")</f>
        <v>146.596912937392</v>
      </c>
    </row>
    <row r="177" customFormat="false" ht="13.25" hidden="false" customHeight="true" outlineLevel="0" collapsed="false">
      <c r="A177" s="15" t="s">
        <v>750</v>
      </c>
      <c r="B177" s="15" t="s">
        <v>745</v>
      </c>
      <c r="C177" s="15" t="s">
        <v>75</v>
      </c>
      <c r="D177" s="15" t="s">
        <v>59</v>
      </c>
      <c r="E177" s="15" t="s">
        <v>233</v>
      </c>
      <c r="G177" s="15" t="s">
        <v>62</v>
      </c>
      <c r="J177" s="15" t="s">
        <v>751</v>
      </c>
      <c r="M177" s="15" t="s">
        <v>65</v>
      </c>
    </row>
    <row r="178" customFormat="false" ht="13.25" hidden="false" customHeight="true" outlineLevel="0" collapsed="false">
      <c r="A178" s="55" t="s">
        <v>752</v>
      </c>
      <c r="B178" s="55" t="s">
        <v>745</v>
      </c>
      <c r="C178" s="55" t="s">
        <v>58</v>
      </c>
      <c r="D178" s="55" t="s">
        <v>59</v>
      </c>
      <c r="E178" s="55" t="s">
        <v>76</v>
      </c>
      <c r="F178" s="55" t="s">
        <v>753</v>
      </c>
      <c r="G178" s="55"/>
      <c r="H178" s="55"/>
      <c r="I178" s="55"/>
      <c r="J178" s="55" t="s">
        <v>754</v>
      </c>
      <c r="K178" s="55"/>
      <c r="L178" s="55"/>
      <c r="M178" s="55" t="s">
        <v>70</v>
      </c>
      <c r="N178" s="55"/>
      <c r="O178" s="56"/>
      <c r="P178" s="55" t="s">
        <v>749</v>
      </c>
      <c r="Q178" s="60" t="n">
        <v>6500</v>
      </c>
      <c r="R178" s="38" t="n">
        <f aca="false">IFERROR(Q178/VLOOKUP(P178,'Exchange rates to USD'!$L$2:$N$225,3,FALSE()),"")</f>
        <v>288.751495179711</v>
      </c>
    </row>
    <row r="179" customFormat="false" ht="13.25" hidden="false" customHeight="true" outlineLevel="0" collapsed="false">
      <c r="A179" s="15" t="s">
        <v>755</v>
      </c>
      <c r="B179" s="15" t="s">
        <v>756</v>
      </c>
      <c r="C179" s="15" t="s">
        <v>75</v>
      </c>
      <c r="D179" s="15" t="s">
        <v>59</v>
      </c>
      <c r="E179" s="15" t="s">
        <v>116</v>
      </c>
      <c r="F179" s="78" t="n">
        <v>72000000</v>
      </c>
      <c r="G179" s="15" t="s">
        <v>62</v>
      </c>
      <c r="J179" s="15" t="s">
        <v>757</v>
      </c>
      <c r="K179" s="27" t="s">
        <v>758</v>
      </c>
      <c r="M179" s="15" t="s">
        <v>93</v>
      </c>
      <c r="N179" s="15" t="s">
        <v>759</v>
      </c>
      <c r="O179" s="16" t="n">
        <v>44174</v>
      </c>
      <c r="P179" s="15" t="s">
        <v>760</v>
      </c>
      <c r="Q179" s="17" t="n">
        <v>450</v>
      </c>
      <c r="R179" s="38" t="n">
        <f aca="false">IFERROR(Q179/VLOOKUP(P179,'Exchange rates to USD'!$L$2:$N$225,3,FALSE()),"")</f>
        <v>66.3943591855653</v>
      </c>
    </row>
    <row r="180" customFormat="false" ht="13.25" hidden="false" customHeight="true" outlineLevel="0" collapsed="false">
      <c r="A180" s="15" t="s">
        <v>761</v>
      </c>
      <c r="B180" s="15" t="s">
        <v>756</v>
      </c>
      <c r="C180" s="15" t="s">
        <v>75</v>
      </c>
      <c r="D180" s="15" t="s">
        <v>59</v>
      </c>
      <c r="E180" s="15" t="s">
        <v>762</v>
      </c>
      <c r="F180" s="37" t="n">
        <v>32000000</v>
      </c>
      <c r="G180" s="15" t="s">
        <v>62</v>
      </c>
      <c r="H180" s="15" t="s">
        <v>110</v>
      </c>
      <c r="J180" s="15" t="s">
        <v>763</v>
      </c>
      <c r="K180" s="27" t="s">
        <v>758</v>
      </c>
      <c r="M180" s="15" t="s">
        <v>93</v>
      </c>
      <c r="N180" s="15" t="s">
        <v>764</v>
      </c>
      <c r="O180" s="16" t="n">
        <v>44174</v>
      </c>
      <c r="P180" s="15" t="s">
        <v>760</v>
      </c>
      <c r="Q180" s="17" t="n">
        <v>200</v>
      </c>
      <c r="R180" s="38" t="n">
        <f aca="false">IFERROR(Q180/VLOOKUP(P180,'Exchange rates to USD'!$L$2:$N$225,3,FALSE()),"")</f>
        <v>29.5086040824735</v>
      </c>
    </row>
    <row r="181" customFormat="false" ht="13.25" hidden="false" customHeight="true" outlineLevel="0" collapsed="false">
      <c r="A181" s="15" t="s">
        <v>765</v>
      </c>
      <c r="B181" s="15" t="s">
        <v>756</v>
      </c>
      <c r="C181" s="15" t="s">
        <v>75</v>
      </c>
      <c r="D181" s="15" t="s">
        <v>59</v>
      </c>
      <c r="E181" s="15" t="s">
        <v>116</v>
      </c>
      <c r="F181" s="37" t="n">
        <v>8000000</v>
      </c>
      <c r="G181" s="15" t="s">
        <v>62</v>
      </c>
      <c r="J181" s="15" t="s">
        <v>766</v>
      </c>
      <c r="K181" s="27" t="s">
        <v>758</v>
      </c>
      <c r="M181" s="15" t="s">
        <v>93</v>
      </c>
      <c r="N181" s="15" t="s">
        <v>767</v>
      </c>
      <c r="O181" s="16" t="n">
        <v>44174</v>
      </c>
      <c r="P181" s="15" t="s">
        <v>760</v>
      </c>
      <c r="Q181" s="17" t="n">
        <v>50</v>
      </c>
      <c r="R181" s="38" t="n">
        <f aca="false">IFERROR(Q181/VLOOKUP(P181,'Exchange rates to USD'!$L$2:$N$225,3,FALSE()),"")</f>
        <v>7.37715102061836</v>
      </c>
    </row>
    <row r="182" customFormat="false" ht="13.25" hidden="false" customHeight="true" outlineLevel="0" collapsed="false">
      <c r="A182" s="15" t="s">
        <v>768</v>
      </c>
      <c r="B182" s="15" t="s">
        <v>756</v>
      </c>
      <c r="C182" s="15" t="s">
        <v>249</v>
      </c>
      <c r="D182" s="15" t="s">
        <v>59</v>
      </c>
      <c r="E182" s="15" t="s">
        <v>95</v>
      </c>
      <c r="F182" s="37" t="n">
        <v>32000000</v>
      </c>
      <c r="G182" s="15" t="s">
        <v>62</v>
      </c>
      <c r="J182" s="15" t="s">
        <v>769</v>
      </c>
      <c r="K182" s="27" t="s">
        <v>758</v>
      </c>
      <c r="M182" s="15" t="s">
        <v>93</v>
      </c>
      <c r="O182" s="16" t="n">
        <v>44174</v>
      </c>
      <c r="P182" s="15" t="s">
        <v>760</v>
      </c>
      <c r="Q182" s="17" t="n">
        <v>200</v>
      </c>
      <c r="R182" s="38" t="n">
        <f aca="false">IFERROR(Q182/VLOOKUP(P182,'Exchange rates to USD'!$L$2:$N$225,3,FALSE()),"")</f>
        <v>29.5086040824735</v>
      </c>
    </row>
    <row r="183" customFormat="false" ht="13.25" hidden="false" customHeight="true" outlineLevel="0" collapsed="false">
      <c r="A183" s="15" t="s">
        <v>770</v>
      </c>
      <c r="B183" s="15" t="s">
        <v>756</v>
      </c>
      <c r="C183" s="15" t="s">
        <v>75</v>
      </c>
      <c r="D183" s="15" t="s">
        <v>80</v>
      </c>
      <c r="E183" s="15" t="s">
        <v>76</v>
      </c>
      <c r="F183" s="37" t="n">
        <v>32000000</v>
      </c>
      <c r="G183" s="15" t="s">
        <v>158</v>
      </c>
      <c r="H183" s="15" t="s">
        <v>77</v>
      </c>
      <c r="J183" s="15" t="s">
        <v>771</v>
      </c>
      <c r="K183" s="27" t="s">
        <v>758</v>
      </c>
      <c r="M183" s="15" t="s">
        <v>93</v>
      </c>
      <c r="N183" s="15" t="s">
        <v>772</v>
      </c>
      <c r="O183" s="16" t="n">
        <v>44174</v>
      </c>
      <c r="P183" s="15" t="s">
        <v>760</v>
      </c>
      <c r="Q183" s="17" t="n">
        <v>200</v>
      </c>
      <c r="R183" s="38" t="n">
        <f aca="false">IFERROR(Q183/VLOOKUP(P183,'Exchange rates to USD'!$L$2:$N$225,3,FALSE()),"")</f>
        <v>29.5086040824735</v>
      </c>
    </row>
    <row r="184" customFormat="false" ht="13.25" hidden="false" customHeight="true" outlineLevel="0" collapsed="false">
      <c r="A184" s="15" t="s">
        <v>773</v>
      </c>
      <c r="B184" s="15" t="s">
        <v>756</v>
      </c>
      <c r="C184" s="15" t="s">
        <v>75</v>
      </c>
      <c r="D184" s="15" t="s">
        <v>108</v>
      </c>
      <c r="E184" s="15" t="s">
        <v>233</v>
      </c>
      <c r="F184" s="37" t="n">
        <v>56000000</v>
      </c>
      <c r="G184" s="15" t="s">
        <v>62</v>
      </c>
      <c r="H184" s="15" t="s">
        <v>110</v>
      </c>
      <c r="J184" s="27" t="s">
        <v>774</v>
      </c>
      <c r="K184" s="27" t="s">
        <v>758</v>
      </c>
      <c r="M184" s="15" t="s">
        <v>93</v>
      </c>
      <c r="N184" s="15" t="s">
        <v>775</v>
      </c>
      <c r="O184" s="16" t="n">
        <v>44174</v>
      </c>
      <c r="P184" s="15" t="s">
        <v>760</v>
      </c>
      <c r="Q184" s="17" t="n">
        <v>350</v>
      </c>
      <c r="R184" s="38" t="n">
        <f aca="false">IFERROR(Q184/VLOOKUP(P184,'Exchange rates to USD'!$L$2:$N$225,3,FALSE()),"")</f>
        <v>51.6400571443285</v>
      </c>
    </row>
    <row r="185" customFormat="false" ht="13.25" hidden="false" customHeight="true" outlineLevel="0" collapsed="false">
      <c r="A185" s="15" t="s">
        <v>776</v>
      </c>
      <c r="B185" s="15" t="s">
        <v>756</v>
      </c>
      <c r="C185" s="15" t="s">
        <v>75</v>
      </c>
      <c r="D185" s="15" t="s">
        <v>108</v>
      </c>
      <c r="E185" s="15" t="s">
        <v>116</v>
      </c>
      <c r="F185" s="37" t="n">
        <v>48000000</v>
      </c>
      <c r="G185" s="15" t="s">
        <v>62</v>
      </c>
      <c r="J185" s="15" t="s">
        <v>777</v>
      </c>
      <c r="K185" s="27" t="s">
        <v>758</v>
      </c>
      <c r="M185" s="15" t="s">
        <v>93</v>
      </c>
      <c r="N185" s="15" t="s">
        <v>778</v>
      </c>
      <c r="O185" s="16" t="n">
        <v>44174</v>
      </c>
      <c r="P185" s="15" t="s">
        <v>760</v>
      </c>
      <c r="Q185" s="17" t="n">
        <v>300</v>
      </c>
      <c r="R185" s="38" t="n">
        <f aca="false">IFERROR(Q185/VLOOKUP(P185,'Exchange rates to USD'!$L$2:$N$225,3,FALSE()),"")</f>
        <v>44.2629061237102</v>
      </c>
    </row>
    <row r="186" customFormat="false" ht="13.25" hidden="false" customHeight="true" outlineLevel="0" collapsed="false">
      <c r="A186" s="15" t="s">
        <v>779</v>
      </c>
      <c r="B186" s="15" t="s">
        <v>756</v>
      </c>
      <c r="C186" s="15" t="s">
        <v>249</v>
      </c>
      <c r="D186" s="15" t="s">
        <v>59</v>
      </c>
      <c r="E186" s="15" t="s">
        <v>123</v>
      </c>
      <c r="F186" s="37" t="n">
        <v>32000000</v>
      </c>
      <c r="G186" s="15" t="s">
        <v>62</v>
      </c>
      <c r="J186" s="15" t="s">
        <v>780</v>
      </c>
      <c r="K186" s="27" t="s">
        <v>758</v>
      </c>
      <c r="M186" s="15" t="s">
        <v>113</v>
      </c>
      <c r="N186" s="27" t="s">
        <v>781</v>
      </c>
      <c r="O186" s="16" t="n">
        <v>44174</v>
      </c>
      <c r="P186" s="15" t="s">
        <v>760</v>
      </c>
      <c r="Q186" s="17" t="n">
        <v>200</v>
      </c>
      <c r="R186" s="38" t="n">
        <f aca="false">IFERROR(Q186/VLOOKUP(P186,'Exchange rates to USD'!$L$2:$N$225,3,FALSE()),"")</f>
        <v>29.5086040824735</v>
      </c>
    </row>
    <row r="187" customFormat="false" ht="13.25" hidden="false" customHeight="true" outlineLevel="0" collapsed="false">
      <c r="A187" s="15" t="s">
        <v>782</v>
      </c>
      <c r="B187" s="15" t="s">
        <v>756</v>
      </c>
      <c r="C187" s="15" t="s">
        <v>75</v>
      </c>
      <c r="D187" s="15" t="s">
        <v>59</v>
      </c>
      <c r="E187" s="15" t="s">
        <v>116</v>
      </c>
      <c r="F187" s="37" t="n">
        <v>52000000</v>
      </c>
      <c r="G187" s="15" t="s">
        <v>62</v>
      </c>
      <c r="J187" s="15" t="s">
        <v>783</v>
      </c>
      <c r="K187" s="27" t="s">
        <v>758</v>
      </c>
      <c r="M187" s="15" t="s">
        <v>93</v>
      </c>
      <c r="N187" s="15" t="s">
        <v>784</v>
      </c>
      <c r="O187" s="16" t="n">
        <v>44174</v>
      </c>
      <c r="P187" s="15" t="s">
        <v>760</v>
      </c>
      <c r="Q187" s="17" t="n">
        <v>325</v>
      </c>
      <c r="R187" s="38" t="n">
        <f aca="false">IFERROR(Q187/VLOOKUP(P187,'Exchange rates to USD'!$L$2:$N$225,3,FALSE()),"")</f>
        <v>47.9514816340194</v>
      </c>
    </row>
    <row r="188" customFormat="false" ht="13.25" hidden="false" customHeight="true" outlineLevel="0" collapsed="false">
      <c r="A188" s="15" t="s">
        <v>785</v>
      </c>
      <c r="B188" s="15" t="s">
        <v>756</v>
      </c>
      <c r="C188" s="15" t="s">
        <v>75</v>
      </c>
      <c r="D188" s="15" t="s">
        <v>59</v>
      </c>
      <c r="E188" s="15" t="s">
        <v>123</v>
      </c>
      <c r="F188" s="37" t="s">
        <v>786</v>
      </c>
      <c r="G188" s="15" t="s">
        <v>62</v>
      </c>
      <c r="J188" s="15" t="s">
        <v>787</v>
      </c>
      <c r="K188" s="27" t="s">
        <v>758</v>
      </c>
      <c r="M188" s="15" t="s">
        <v>93</v>
      </c>
      <c r="N188" s="15" t="s">
        <v>788</v>
      </c>
      <c r="O188" s="16" t="n">
        <v>44174</v>
      </c>
      <c r="P188" s="15" t="s">
        <v>760</v>
      </c>
      <c r="Q188" s="17" t="s">
        <v>789</v>
      </c>
      <c r="R188" s="17" t="n">
        <v>26</v>
      </c>
    </row>
    <row r="189" customFormat="false" ht="13.25" hidden="false" customHeight="true" outlineLevel="0" collapsed="false">
      <c r="A189" s="15" t="s">
        <v>790</v>
      </c>
      <c r="B189" s="15" t="s">
        <v>756</v>
      </c>
      <c r="C189" s="15" t="s">
        <v>75</v>
      </c>
      <c r="D189" s="15" t="s">
        <v>59</v>
      </c>
      <c r="E189" s="15" t="s">
        <v>95</v>
      </c>
      <c r="F189" s="37" t="n">
        <v>960000</v>
      </c>
      <c r="G189" s="15" t="s">
        <v>62</v>
      </c>
      <c r="J189" s="15" t="s">
        <v>791</v>
      </c>
      <c r="K189" s="27" t="s">
        <v>758</v>
      </c>
      <c r="M189" s="15" t="s">
        <v>93</v>
      </c>
      <c r="N189" s="15" t="s">
        <v>792</v>
      </c>
      <c r="O189" s="16" t="n">
        <v>44174</v>
      </c>
      <c r="P189" s="15" t="s">
        <v>760</v>
      </c>
      <c r="Q189" s="17" t="n">
        <v>6</v>
      </c>
      <c r="R189" s="38" t="n">
        <f aca="false">IFERROR(Q189/VLOOKUP(P189,'Exchange rates to USD'!$L$2:$N$225,3,FALSE()),"")</f>
        <v>0.885258122474204</v>
      </c>
    </row>
    <row r="190" customFormat="false" ht="13.25" hidden="false" customHeight="true" outlineLevel="0" collapsed="false">
      <c r="A190" s="15" t="s">
        <v>793</v>
      </c>
      <c r="B190" s="15" t="s">
        <v>756</v>
      </c>
      <c r="C190" s="15" t="s">
        <v>75</v>
      </c>
      <c r="D190" s="15" t="s">
        <v>108</v>
      </c>
      <c r="E190" s="15" t="s">
        <v>76</v>
      </c>
      <c r="F190" s="37" t="n">
        <v>16000000</v>
      </c>
      <c r="G190" s="15" t="s">
        <v>62</v>
      </c>
      <c r="J190" s="15" t="s">
        <v>794</v>
      </c>
      <c r="K190" s="27" t="s">
        <v>758</v>
      </c>
      <c r="M190" s="15" t="s">
        <v>113</v>
      </c>
      <c r="N190" s="15" t="s">
        <v>795</v>
      </c>
      <c r="O190" s="16" t="n">
        <v>44174</v>
      </c>
      <c r="P190" s="15" t="s">
        <v>760</v>
      </c>
      <c r="Q190" s="17" t="n">
        <v>100</v>
      </c>
      <c r="R190" s="38" t="n">
        <f aca="false">IFERROR(Q190/VLOOKUP(P190,'Exchange rates to USD'!$L$2:$N$225,3,FALSE()),"")</f>
        <v>14.7543020412367</v>
      </c>
    </row>
    <row r="191" customFormat="false" ht="13.25" hidden="false" customHeight="true" outlineLevel="0" collapsed="false">
      <c r="A191" s="15" t="s">
        <v>796</v>
      </c>
      <c r="B191" s="15" t="s">
        <v>756</v>
      </c>
      <c r="C191" s="15" t="s">
        <v>75</v>
      </c>
      <c r="D191" s="15" t="s">
        <v>80</v>
      </c>
      <c r="E191" s="15" t="s">
        <v>76</v>
      </c>
      <c r="F191" s="37" t="n">
        <v>40000000</v>
      </c>
      <c r="G191" s="15" t="s">
        <v>62</v>
      </c>
      <c r="J191" s="15" t="s">
        <v>797</v>
      </c>
      <c r="K191" s="27" t="s">
        <v>758</v>
      </c>
      <c r="M191" s="15" t="s">
        <v>113</v>
      </c>
      <c r="N191" s="15" t="s">
        <v>798</v>
      </c>
      <c r="O191" s="16" t="n">
        <v>44174</v>
      </c>
      <c r="P191" s="15" t="s">
        <v>760</v>
      </c>
      <c r="Q191" s="17" t="n">
        <v>250</v>
      </c>
      <c r="R191" s="38" t="n">
        <f aca="false">IFERROR(Q191/VLOOKUP(P191,'Exchange rates to USD'!$L$2:$N$225,3,FALSE()),"")</f>
        <v>36.8857551030918</v>
      </c>
    </row>
    <row r="192" customFormat="false" ht="13.25" hidden="false" customHeight="true" outlineLevel="0" collapsed="false">
      <c r="A192" s="15" t="s">
        <v>799</v>
      </c>
      <c r="B192" s="15" t="s">
        <v>756</v>
      </c>
      <c r="C192" s="15" t="s">
        <v>75</v>
      </c>
      <c r="D192" s="15" t="s">
        <v>59</v>
      </c>
      <c r="E192" s="15" t="s">
        <v>90</v>
      </c>
      <c r="F192" s="37" t="n">
        <v>133280000</v>
      </c>
      <c r="G192" s="15" t="s">
        <v>62</v>
      </c>
      <c r="H192" s="15" t="s">
        <v>96</v>
      </c>
      <c r="I192" s="15" t="s">
        <v>110</v>
      </c>
      <c r="J192" s="15" t="s">
        <v>800</v>
      </c>
      <c r="K192" s="27" t="s">
        <v>758</v>
      </c>
      <c r="M192" s="15" t="s">
        <v>93</v>
      </c>
      <c r="N192" s="15" t="s">
        <v>801</v>
      </c>
      <c r="O192" s="16" t="n">
        <v>44174</v>
      </c>
      <c r="P192" s="15" t="s">
        <v>760</v>
      </c>
      <c r="Q192" s="17" t="n">
        <v>833</v>
      </c>
      <c r="R192" s="38" t="n">
        <f aca="false">IFERROR(Q192/VLOOKUP(P192,'Exchange rates to USD'!$L$2:$N$225,3,FALSE()),"")</f>
        <v>122.903336003502</v>
      </c>
    </row>
    <row r="193" customFormat="false" ht="13.25" hidden="false" customHeight="true" outlineLevel="0" collapsed="false">
      <c r="A193" s="15" t="s">
        <v>802</v>
      </c>
      <c r="B193" s="15" t="s">
        <v>756</v>
      </c>
      <c r="C193" s="15" t="s">
        <v>122</v>
      </c>
      <c r="D193" s="15" t="s">
        <v>80</v>
      </c>
      <c r="E193" s="15" t="s">
        <v>76</v>
      </c>
      <c r="F193" s="37" t="n">
        <v>16320000</v>
      </c>
      <c r="G193" s="15" t="s">
        <v>62</v>
      </c>
      <c r="H193" s="15" t="s">
        <v>96</v>
      </c>
      <c r="I193" s="15" t="s">
        <v>110</v>
      </c>
      <c r="J193" s="15" t="s">
        <v>803</v>
      </c>
      <c r="K193" s="27" t="s">
        <v>758</v>
      </c>
      <c r="M193" s="15" t="s">
        <v>93</v>
      </c>
      <c r="N193" s="15" t="s">
        <v>804</v>
      </c>
      <c r="O193" s="16" t="n">
        <v>44174</v>
      </c>
      <c r="P193" s="15" t="s">
        <v>760</v>
      </c>
      <c r="Q193" s="17" t="n">
        <v>102</v>
      </c>
      <c r="R193" s="38" t="n">
        <f aca="false">IFERROR(Q193/VLOOKUP(P193,'Exchange rates to USD'!$L$2:$N$225,3,FALSE()),"")</f>
        <v>15.0493880820615</v>
      </c>
    </row>
    <row r="194" customFormat="false" ht="13.25" hidden="false" customHeight="true" outlineLevel="0" collapsed="false">
      <c r="A194" s="15" t="s">
        <v>805</v>
      </c>
      <c r="B194" s="15" t="s">
        <v>756</v>
      </c>
      <c r="C194" s="15" t="s">
        <v>75</v>
      </c>
      <c r="D194" s="15" t="s">
        <v>80</v>
      </c>
      <c r="E194" s="15" t="s">
        <v>76</v>
      </c>
      <c r="F194" s="37" t="n">
        <v>4800000</v>
      </c>
      <c r="J194" s="15" t="s">
        <v>806</v>
      </c>
      <c r="K194" s="27" t="s">
        <v>758</v>
      </c>
      <c r="M194" s="15" t="s">
        <v>70</v>
      </c>
      <c r="N194" s="15" t="s">
        <v>807</v>
      </c>
      <c r="O194" s="16" t="n">
        <v>44174</v>
      </c>
      <c r="P194" s="15" t="s">
        <v>760</v>
      </c>
      <c r="Q194" s="17" t="n">
        <v>30</v>
      </c>
      <c r="R194" s="38" t="n">
        <f aca="false">IFERROR(Q194/VLOOKUP(P194,'Exchange rates to USD'!$L$2:$N$225,3,FALSE()),"")</f>
        <v>4.42629061237102</v>
      </c>
    </row>
    <row r="195" customFormat="false" ht="13.25" hidden="false" customHeight="true" outlineLevel="0" collapsed="false">
      <c r="A195" s="15" t="s">
        <v>808</v>
      </c>
      <c r="B195" s="15" t="s">
        <v>756</v>
      </c>
      <c r="C195" s="15" t="s">
        <v>75</v>
      </c>
      <c r="D195" s="15" t="s">
        <v>80</v>
      </c>
      <c r="E195" s="15" t="s">
        <v>76</v>
      </c>
      <c r="F195" s="37" t="n">
        <v>16000000</v>
      </c>
      <c r="J195" s="15" t="s">
        <v>809</v>
      </c>
      <c r="K195" s="27" t="s">
        <v>758</v>
      </c>
      <c r="M195" s="15" t="s">
        <v>70</v>
      </c>
      <c r="N195" s="15" t="s">
        <v>810</v>
      </c>
      <c r="O195" s="16" t="n">
        <v>44174</v>
      </c>
      <c r="P195" s="15" t="s">
        <v>760</v>
      </c>
      <c r="Q195" s="17" t="n">
        <v>100</v>
      </c>
      <c r="R195" s="38" t="n">
        <f aca="false">IFERROR(Q195/VLOOKUP(P195,'Exchange rates to USD'!$L$2:$N$225,3,FALSE()),"")</f>
        <v>14.7543020412367</v>
      </c>
    </row>
    <row r="196" customFormat="false" ht="13.25" hidden="false" customHeight="true" outlineLevel="0" collapsed="false">
      <c r="A196" s="15" t="s">
        <v>811</v>
      </c>
      <c r="B196" s="15" t="s">
        <v>756</v>
      </c>
      <c r="C196" s="15" t="s">
        <v>75</v>
      </c>
      <c r="D196" s="15" t="s">
        <v>108</v>
      </c>
      <c r="E196" s="15" t="s">
        <v>76</v>
      </c>
      <c r="F196" s="37" t="n">
        <v>4000000</v>
      </c>
      <c r="G196" s="15" t="s">
        <v>62</v>
      </c>
      <c r="H196" s="15" t="s">
        <v>77</v>
      </c>
      <c r="I196" s="15" t="s">
        <v>812</v>
      </c>
      <c r="J196" s="15" t="s">
        <v>813</v>
      </c>
      <c r="K196" s="27" t="s">
        <v>758</v>
      </c>
      <c r="M196" s="15" t="s">
        <v>93</v>
      </c>
      <c r="O196" s="16" t="n">
        <v>44174</v>
      </c>
      <c r="P196" s="15" t="s">
        <v>760</v>
      </c>
      <c r="Q196" s="17" t="n">
        <v>25</v>
      </c>
      <c r="R196" s="38" t="n">
        <f aca="false">IFERROR(Q196/VLOOKUP(P196,'Exchange rates to USD'!$L$2:$N$225,3,FALSE()),"")</f>
        <v>3.68857551030918</v>
      </c>
    </row>
    <row r="197" customFormat="false" ht="13.25" hidden="false" customHeight="true" outlineLevel="0" collapsed="false">
      <c r="A197" s="15" t="s">
        <v>814</v>
      </c>
      <c r="B197" s="15" t="s">
        <v>756</v>
      </c>
      <c r="C197" s="15" t="s">
        <v>75</v>
      </c>
      <c r="D197" s="15" t="s">
        <v>108</v>
      </c>
      <c r="E197" s="15" t="s">
        <v>76</v>
      </c>
      <c r="F197" s="37" t="n">
        <v>4000000</v>
      </c>
      <c r="J197" s="15" t="s">
        <v>815</v>
      </c>
      <c r="K197" s="27" t="s">
        <v>758</v>
      </c>
      <c r="M197" s="15" t="s">
        <v>70</v>
      </c>
      <c r="N197" s="15" t="s">
        <v>816</v>
      </c>
      <c r="O197" s="16" t="n">
        <v>44174</v>
      </c>
      <c r="P197" s="15" t="s">
        <v>760</v>
      </c>
      <c r="Q197" s="17" t="n">
        <v>25</v>
      </c>
      <c r="R197" s="38" t="n">
        <f aca="false">IFERROR(Q197/VLOOKUP(P197,'Exchange rates to USD'!$L$2:$N$225,3,FALSE()),"")</f>
        <v>3.68857551030918</v>
      </c>
    </row>
    <row r="198" customFormat="false" ht="13.25" hidden="false" customHeight="true" outlineLevel="0" collapsed="false">
      <c r="A198" s="15" t="s">
        <v>817</v>
      </c>
      <c r="B198" s="15" t="s">
        <v>756</v>
      </c>
      <c r="C198" s="15" t="s">
        <v>75</v>
      </c>
      <c r="D198" s="15" t="s">
        <v>108</v>
      </c>
      <c r="E198" s="15" t="s">
        <v>76</v>
      </c>
      <c r="F198" s="37" t="n">
        <v>4000000</v>
      </c>
      <c r="J198" s="15" t="s">
        <v>818</v>
      </c>
      <c r="K198" s="27" t="s">
        <v>758</v>
      </c>
      <c r="M198" s="15" t="s">
        <v>70</v>
      </c>
      <c r="N198" s="15" t="s">
        <v>816</v>
      </c>
      <c r="O198" s="16" t="n">
        <v>44174</v>
      </c>
      <c r="P198" s="15" t="s">
        <v>760</v>
      </c>
      <c r="Q198" s="17" t="n">
        <v>25</v>
      </c>
      <c r="R198" s="38" t="n">
        <f aca="false">IFERROR(Q198/VLOOKUP(P198,'Exchange rates to USD'!$L$2:$N$225,3,FALSE()),"")</f>
        <v>3.68857551030918</v>
      </c>
    </row>
    <row r="199" customFormat="false" ht="13.25" hidden="false" customHeight="true" outlineLevel="0" collapsed="false">
      <c r="A199" s="15" t="s">
        <v>819</v>
      </c>
      <c r="B199" s="15" t="s">
        <v>756</v>
      </c>
      <c r="C199" s="15" t="s">
        <v>75</v>
      </c>
      <c r="D199" s="15" t="s">
        <v>80</v>
      </c>
      <c r="E199" s="15" t="s">
        <v>76</v>
      </c>
      <c r="F199" s="37" t="n">
        <v>32000000</v>
      </c>
      <c r="G199" s="15" t="s">
        <v>62</v>
      </c>
      <c r="H199" s="15" t="s">
        <v>77</v>
      </c>
      <c r="I199" s="15" t="s">
        <v>812</v>
      </c>
      <c r="J199" s="15" t="s">
        <v>820</v>
      </c>
      <c r="K199" s="27" t="s">
        <v>758</v>
      </c>
      <c r="M199" s="15" t="s">
        <v>93</v>
      </c>
      <c r="N199" s="15" t="s">
        <v>821</v>
      </c>
      <c r="O199" s="16" t="n">
        <v>44174</v>
      </c>
      <c r="P199" s="15" t="s">
        <v>760</v>
      </c>
      <c r="Q199" s="17" t="n">
        <v>200</v>
      </c>
      <c r="R199" s="38" t="n">
        <f aca="false">IFERROR(Q199/VLOOKUP(P199,'Exchange rates to USD'!$L$2:$N$225,3,FALSE()),"")</f>
        <v>29.5086040824735</v>
      </c>
    </row>
    <row r="200" customFormat="false" ht="13.25" hidden="false" customHeight="true" outlineLevel="0" collapsed="false">
      <c r="A200" s="15" t="s">
        <v>822</v>
      </c>
      <c r="B200" s="15" t="s">
        <v>756</v>
      </c>
      <c r="C200" s="15" t="s">
        <v>232</v>
      </c>
      <c r="D200" s="15" t="s">
        <v>80</v>
      </c>
      <c r="E200" s="15" t="s">
        <v>76</v>
      </c>
      <c r="F200" s="37" t="n">
        <v>16000000</v>
      </c>
      <c r="G200" s="15" t="s">
        <v>77</v>
      </c>
      <c r="J200" s="15" t="s">
        <v>823</v>
      </c>
      <c r="K200" s="27" t="s">
        <v>758</v>
      </c>
      <c r="M200" s="15" t="s">
        <v>93</v>
      </c>
      <c r="O200" s="16" t="n">
        <v>44174</v>
      </c>
      <c r="P200" s="15" t="s">
        <v>760</v>
      </c>
      <c r="Q200" s="17" t="n">
        <v>100</v>
      </c>
      <c r="R200" s="38" t="n">
        <f aca="false">IFERROR(Q200/VLOOKUP(P200,'Exchange rates to USD'!$L$2:$N$225,3,FALSE()),"")</f>
        <v>14.7543020412367</v>
      </c>
    </row>
    <row r="201" customFormat="false" ht="13.25" hidden="false" customHeight="true" outlineLevel="0" collapsed="false">
      <c r="A201" s="15" t="s">
        <v>824</v>
      </c>
      <c r="B201" s="15" t="s">
        <v>756</v>
      </c>
      <c r="C201" s="15" t="s">
        <v>232</v>
      </c>
      <c r="D201" s="15" t="s">
        <v>80</v>
      </c>
      <c r="E201" s="15" t="s">
        <v>76</v>
      </c>
      <c r="F201" s="37" t="n">
        <v>608000</v>
      </c>
      <c r="G201" s="15" t="s">
        <v>96</v>
      </c>
      <c r="H201" s="15" t="s">
        <v>812</v>
      </c>
      <c r="J201" s="27" t="s">
        <v>825</v>
      </c>
      <c r="K201" s="27" t="s">
        <v>758</v>
      </c>
      <c r="M201" s="15" t="s">
        <v>93</v>
      </c>
      <c r="O201" s="16" t="n">
        <v>44174</v>
      </c>
      <c r="P201" s="15" t="s">
        <v>760</v>
      </c>
      <c r="Q201" s="17" t="n">
        <v>3.8</v>
      </c>
      <c r="R201" s="38" t="n">
        <f aca="false">IFERROR(Q201/VLOOKUP(P201,'Exchange rates to USD'!$L$2:$N$225,3,FALSE()),"")</f>
        <v>0.560663477566996</v>
      </c>
    </row>
    <row r="202" customFormat="false" ht="13.25" hidden="false" customHeight="true" outlineLevel="0" collapsed="false">
      <c r="A202" s="15" t="s">
        <v>826</v>
      </c>
      <c r="B202" s="15" t="s">
        <v>756</v>
      </c>
      <c r="C202" s="15" t="s">
        <v>232</v>
      </c>
      <c r="D202" s="15" t="s">
        <v>80</v>
      </c>
      <c r="E202" s="15" t="s">
        <v>76</v>
      </c>
      <c r="F202" s="37" t="n">
        <v>24000000</v>
      </c>
      <c r="G202" s="15" t="s">
        <v>105</v>
      </c>
      <c r="H202" s="15" t="s">
        <v>97</v>
      </c>
      <c r="J202" s="15" t="s">
        <v>827</v>
      </c>
      <c r="K202" s="27" t="s">
        <v>758</v>
      </c>
      <c r="M202" s="15" t="s">
        <v>93</v>
      </c>
      <c r="N202" s="27" t="s">
        <v>828</v>
      </c>
      <c r="O202" s="16" t="n">
        <v>44174</v>
      </c>
      <c r="P202" s="15" t="s">
        <v>760</v>
      </c>
      <c r="Q202" s="17" t="n">
        <v>150</v>
      </c>
      <c r="R202" s="38" t="n">
        <f aca="false">IFERROR(Q202/VLOOKUP(P202,'Exchange rates to USD'!$L$2:$N$225,3,FALSE()),"")</f>
        <v>22.1314530618551</v>
      </c>
    </row>
    <row r="203" customFormat="false" ht="13.25" hidden="false" customHeight="true" outlineLevel="0" collapsed="false">
      <c r="A203" s="15" t="s">
        <v>829</v>
      </c>
      <c r="B203" s="15" t="s">
        <v>756</v>
      </c>
      <c r="C203" s="15" t="s">
        <v>232</v>
      </c>
      <c r="D203" s="15" t="s">
        <v>80</v>
      </c>
      <c r="E203" s="15" t="s">
        <v>76</v>
      </c>
      <c r="F203" s="37" t="n">
        <v>71040000</v>
      </c>
      <c r="G203" s="15" t="s">
        <v>77</v>
      </c>
      <c r="J203" s="27" t="s">
        <v>830</v>
      </c>
      <c r="K203" s="27" t="s">
        <v>758</v>
      </c>
      <c r="M203" s="15" t="s">
        <v>93</v>
      </c>
      <c r="N203" s="15" t="s">
        <v>831</v>
      </c>
      <c r="O203" s="16" t="n">
        <v>44174</v>
      </c>
      <c r="P203" s="15" t="s">
        <v>760</v>
      </c>
      <c r="Q203" s="17" t="n">
        <v>444</v>
      </c>
      <c r="R203" s="38" t="n">
        <f aca="false">IFERROR(Q203/VLOOKUP(P203,'Exchange rates to USD'!$L$2:$N$225,3,FALSE()),"")</f>
        <v>65.5091010630911</v>
      </c>
    </row>
    <row r="204" customFormat="false" ht="13.25" hidden="false" customHeight="true" outlineLevel="0" collapsed="false">
      <c r="A204" s="15" t="s">
        <v>832</v>
      </c>
      <c r="B204" s="15" t="s">
        <v>756</v>
      </c>
      <c r="C204" s="15" t="s">
        <v>75</v>
      </c>
      <c r="D204" s="15" t="s">
        <v>59</v>
      </c>
      <c r="E204" s="15" t="s">
        <v>123</v>
      </c>
      <c r="F204" s="37" t="n">
        <v>14400000</v>
      </c>
      <c r="G204" s="15" t="s">
        <v>77</v>
      </c>
      <c r="J204" s="27" t="s">
        <v>833</v>
      </c>
      <c r="K204" s="27" t="s">
        <v>758</v>
      </c>
      <c r="M204" s="15" t="s">
        <v>93</v>
      </c>
      <c r="N204" s="15" t="s">
        <v>834</v>
      </c>
      <c r="O204" s="16" t="n">
        <v>44174</v>
      </c>
      <c r="P204" s="15" t="s">
        <v>760</v>
      </c>
      <c r="Q204" s="17" t="n">
        <v>90</v>
      </c>
      <c r="R204" s="38" t="n">
        <f aca="false">IFERROR(Q204/VLOOKUP(P204,'Exchange rates to USD'!$L$2:$N$225,3,FALSE()),"")</f>
        <v>13.2788718371131</v>
      </c>
      <c r="S204" s="35"/>
      <c r="T204" s="35"/>
    </row>
    <row r="205" customFormat="false" ht="13.25" hidden="false" customHeight="true" outlineLevel="0" collapsed="false">
      <c r="A205" s="55" t="s">
        <v>835</v>
      </c>
      <c r="B205" s="55" t="s">
        <v>756</v>
      </c>
      <c r="C205" s="55" t="s">
        <v>75</v>
      </c>
      <c r="D205" s="55" t="s">
        <v>59</v>
      </c>
      <c r="E205" s="55" t="s">
        <v>90</v>
      </c>
      <c r="F205" s="60" t="n">
        <v>112000000</v>
      </c>
      <c r="G205" s="55" t="s">
        <v>62</v>
      </c>
      <c r="H205" s="55" t="s">
        <v>96</v>
      </c>
      <c r="I205" s="55" t="s">
        <v>110</v>
      </c>
      <c r="J205" s="55" t="s">
        <v>836</v>
      </c>
      <c r="K205" s="66" t="s">
        <v>837</v>
      </c>
      <c r="L205" s="55"/>
      <c r="M205" s="55" t="s">
        <v>93</v>
      </c>
      <c r="N205" s="55"/>
      <c r="O205" s="56" t="n">
        <v>44174</v>
      </c>
      <c r="P205" s="55" t="s">
        <v>760</v>
      </c>
      <c r="Q205" s="60" t="n">
        <v>700</v>
      </c>
      <c r="R205" s="58" t="n">
        <f aca="false">IFERROR(Q205/VLOOKUP(P205,'Exchange rates to USD'!$L$2:$N$225,3,FALSE()),"")</f>
        <v>103.280114288657</v>
      </c>
      <c r="S205" s="35"/>
      <c r="T205" s="35"/>
    </row>
    <row r="206" customFormat="false" ht="13.25" hidden="false" customHeight="true" outlineLevel="0" collapsed="false">
      <c r="A206" s="15" t="s">
        <v>838</v>
      </c>
      <c r="B206" s="15" t="s">
        <v>839</v>
      </c>
      <c r="C206" s="79" t="s">
        <v>232</v>
      </c>
      <c r="G206" s="15" t="s">
        <v>62</v>
      </c>
      <c r="H206" s="15" t="s">
        <v>105</v>
      </c>
      <c r="J206" s="15" t="s">
        <v>840</v>
      </c>
      <c r="K206" s="15" t="s">
        <v>841</v>
      </c>
      <c r="M206" s="15" t="s">
        <v>93</v>
      </c>
      <c r="N206" s="15" t="s">
        <v>842</v>
      </c>
      <c r="O206" s="16" t="n">
        <v>44141</v>
      </c>
      <c r="R206" s="80" t="str">
        <f aca="false">IFERROR(Q206/VLOOKUP(P206,'Exchange rates to USD'!$L$2:$N$225,3,FALSE()),"")</f>
        <v/>
      </c>
      <c r="S206" s="35"/>
      <c r="T206" s="35"/>
    </row>
    <row r="207" customFormat="false" ht="13.25" hidden="false" customHeight="true" outlineLevel="0" collapsed="false">
      <c r="A207" s="15" t="s">
        <v>843</v>
      </c>
      <c r="B207" s="15" t="s">
        <v>839</v>
      </c>
      <c r="C207" s="15" t="s">
        <v>176</v>
      </c>
      <c r="D207" s="15" t="s">
        <v>115</v>
      </c>
      <c r="E207" s="15" t="s">
        <v>76</v>
      </c>
      <c r="F207" s="15" t="s">
        <v>844</v>
      </c>
      <c r="G207" s="15" t="s">
        <v>105</v>
      </c>
      <c r="J207" s="15" t="s">
        <v>845</v>
      </c>
      <c r="K207" s="15" t="s">
        <v>846</v>
      </c>
      <c r="L207" s="15" t="s">
        <v>847</v>
      </c>
      <c r="M207" s="15" t="s">
        <v>93</v>
      </c>
      <c r="O207" s="16" t="n">
        <v>44141</v>
      </c>
      <c r="P207" s="15" t="s">
        <v>240</v>
      </c>
      <c r="Q207" s="81" t="n">
        <v>0.15</v>
      </c>
      <c r="R207" s="82" t="n">
        <f aca="false">IFERROR(Q207/VLOOKUP(P207,'Exchange rates to USD'!$L$2:$N$225,3,FALSE()),"")</f>
        <v>0.165400341161128</v>
      </c>
      <c r="S207" s="35"/>
      <c r="T207" s="35"/>
    </row>
    <row r="208" customFormat="false" ht="13.25" hidden="false" customHeight="true" outlineLevel="0" collapsed="false">
      <c r="A208" s="15" t="s">
        <v>848</v>
      </c>
      <c r="B208" s="15" t="s">
        <v>839</v>
      </c>
      <c r="C208" s="15" t="s">
        <v>58</v>
      </c>
      <c r="D208" s="15" t="s">
        <v>108</v>
      </c>
      <c r="E208" s="15" t="s">
        <v>149</v>
      </c>
      <c r="F208" s="15" t="s">
        <v>849</v>
      </c>
      <c r="G208" s="15" t="s">
        <v>96</v>
      </c>
      <c r="J208" s="15" t="s">
        <v>850</v>
      </c>
      <c r="K208" s="15" t="s">
        <v>851</v>
      </c>
      <c r="L208" s="15" t="s">
        <v>852</v>
      </c>
      <c r="M208" s="15" t="s">
        <v>93</v>
      </c>
      <c r="O208" s="16" t="n">
        <v>44141</v>
      </c>
      <c r="P208" s="15" t="s">
        <v>240</v>
      </c>
      <c r="Q208" s="83" t="n">
        <v>1.4</v>
      </c>
      <c r="R208" s="38" t="n">
        <f aca="false">IFERROR(Q208/VLOOKUP(P208,'Exchange rates to USD'!$L$2:$N$225,3,FALSE()),"")</f>
        <v>1.54373651750386</v>
      </c>
      <c r="S208" s="35"/>
      <c r="T208" s="35"/>
    </row>
    <row r="209" customFormat="false" ht="13.25" hidden="false" customHeight="true" outlineLevel="0" collapsed="false">
      <c r="A209" s="15" t="s">
        <v>853</v>
      </c>
      <c r="B209" s="15" t="s">
        <v>839</v>
      </c>
      <c r="C209" s="15" t="s">
        <v>58</v>
      </c>
      <c r="D209" s="15" t="s">
        <v>80</v>
      </c>
      <c r="E209" s="15" t="s">
        <v>90</v>
      </c>
      <c r="F209" s="15" t="s">
        <v>854</v>
      </c>
      <c r="G209" s="15" t="s">
        <v>105</v>
      </c>
      <c r="J209" s="15" t="s">
        <v>855</v>
      </c>
      <c r="K209" s="15" t="s">
        <v>856</v>
      </c>
      <c r="L209" s="15" t="s">
        <v>857</v>
      </c>
      <c r="M209" s="15" t="s">
        <v>93</v>
      </c>
      <c r="O209" s="16" t="n">
        <v>44141</v>
      </c>
      <c r="P209" s="15" t="s">
        <v>240</v>
      </c>
      <c r="Q209" s="83" t="n">
        <v>9.5</v>
      </c>
      <c r="R209" s="84" t="n">
        <f aca="false">IFERROR(Q209/VLOOKUP(P209,'Exchange rates to USD'!$L$2:$N$225,3,FALSE()),"")</f>
        <v>10.4753549402048</v>
      </c>
      <c r="S209" s="35"/>
      <c r="T209" s="35"/>
    </row>
    <row r="210" customFormat="false" ht="13.25" hidden="false" customHeight="true" outlineLevel="0" collapsed="false">
      <c r="A210" s="15" t="s">
        <v>858</v>
      </c>
      <c r="B210" s="15" t="s">
        <v>839</v>
      </c>
      <c r="C210" s="15" t="s">
        <v>58</v>
      </c>
      <c r="D210" s="15" t="s">
        <v>59</v>
      </c>
      <c r="E210" s="15" t="s">
        <v>123</v>
      </c>
      <c r="F210" s="15" t="s">
        <v>859</v>
      </c>
      <c r="G210" s="15" t="s">
        <v>105</v>
      </c>
      <c r="J210" s="15" t="s">
        <v>860</v>
      </c>
      <c r="K210" s="15" t="s">
        <v>861</v>
      </c>
      <c r="M210" s="15" t="s">
        <v>113</v>
      </c>
      <c r="O210" s="16" t="n">
        <v>44141</v>
      </c>
      <c r="P210" s="15" t="s">
        <v>240</v>
      </c>
      <c r="Q210" s="17" t="n">
        <v>200.5</v>
      </c>
      <c r="R210" s="38" t="n">
        <f aca="false">IFERROR(Q210/VLOOKUP(P210,'Exchange rates to USD'!$L$2:$N$225,3,FALSE()),"")</f>
        <v>221.085122685375</v>
      </c>
      <c r="S210" s="35"/>
      <c r="T210" s="35"/>
    </row>
    <row r="211" customFormat="false" ht="13.25" hidden="false" customHeight="true" outlineLevel="0" collapsed="false">
      <c r="A211" s="15" t="s">
        <v>862</v>
      </c>
      <c r="B211" s="15" t="s">
        <v>839</v>
      </c>
      <c r="C211" s="15" t="s">
        <v>58</v>
      </c>
      <c r="D211" s="15" t="s">
        <v>59</v>
      </c>
      <c r="E211" s="15" t="s">
        <v>116</v>
      </c>
      <c r="F211" s="15" t="s">
        <v>863</v>
      </c>
      <c r="G211" s="15" t="s">
        <v>62</v>
      </c>
      <c r="H211" s="15" t="s">
        <v>158</v>
      </c>
      <c r="J211" s="27" t="s">
        <v>864</v>
      </c>
      <c r="K211" s="15" t="s">
        <v>861</v>
      </c>
      <c r="L211" s="15" t="s">
        <v>865</v>
      </c>
      <c r="M211" s="15" t="s">
        <v>93</v>
      </c>
      <c r="O211" s="16" t="n">
        <v>44141</v>
      </c>
      <c r="P211" s="15" t="s">
        <v>240</v>
      </c>
      <c r="Q211" s="17" t="n">
        <v>73</v>
      </c>
      <c r="R211" s="38" t="n">
        <f aca="false">IFERROR(Q211/VLOOKUP(P211,'Exchange rates to USD'!$L$2:$N$225,3,FALSE()),"")</f>
        <v>80.4948326984158</v>
      </c>
      <c r="S211" s="35"/>
      <c r="T211" s="35"/>
    </row>
    <row r="212" customFormat="false" ht="13.25" hidden="false" customHeight="true" outlineLevel="0" collapsed="false">
      <c r="A212" s="35" t="s">
        <v>866</v>
      </c>
      <c r="B212" s="35" t="s">
        <v>839</v>
      </c>
      <c r="C212" s="35" t="s">
        <v>58</v>
      </c>
      <c r="D212" s="35" t="s">
        <v>115</v>
      </c>
      <c r="E212" s="35" t="s">
        <v>233</v>
      </c>
      <c r="F212" s="35" t="s">
        <v>867</v>
      </c>
      <c r="G212" s="35" t="s">
        <v>110</v>
      </c>
      <c r="H212" s="35" t="s">
        <v>62</v>
      </c>
      <c r="I212" s="35"/>
      <c r="J212" s="35" t="s">
        <v>868</v>
      </c>
      <c r="K212" s="35" t="s">
        <v>869</v>
      </c>
      <c r="L212" s="35" t="s">
        <v>870</v>
      </c>
      <c r="M212" s="35" t="s">
        <v>93</v>
      </c>
      <c r="N212" s="35"/>
      <c r="O212" s="36" t="n">
        <v>44141</v>
      </c>
      <c r="P212" s="35" t="s">
        <v>240</v>
      </c>
      <c r="Q212" s="85" t="n">
        <v>0.4</v>
      </c>
      <c r="R212" s="82" t="n">
        <f aca="false">IFERROR(Q212/VLOOKUP(P212,'Exchange rates to USD'!$L$2:$N$225,3,FALSE()),"")</f>
        <v>0.441067576429675</v>
      </c>
      <c r="S212" s="35"/>
      <c r="T212" s="35"/>
    </row>
    <row r="213" customFormat="false" ht="11.5" hidden="false" customHeight="false" outlineLevel="0" collapsed="false">
      <c r="A213" s="35" t="s">
        <v>871</v>
      </c>
      <c r="B213" s="35" t="s">
        <v>839</v>
      </c>
      <c r="C213" s="35" t="s">
        <v>58</v>
      </c>
      <c r="D213" s="35"/>
      <c r="E213" s="35" t="s">
        <v>233</v>
      </c>
      <c r="F213" s="35" t="s">
        <v>872</v>
      </c>
      <c r="G213" s="35" t="s">
        <v>110</v>
      </c>
      <c r="H213" s="35" t="s">
        <v>62</v>
      </c>
      <c r="I213" s="35"/>
      <c r="J213" s="35" t="s">
        <v>873</v>
      </c>
      <c r="K213" s="86" t="s">
        <v>874</v>
      </c>
      <c r="L213" s="87" t="s">
        <v>875</v>
      </c>
      <c r="M213" s="35" t="s">
        <v>93</v>
      </c>
      <c r="N213" s="35"/>
      <c r="O213" s="36" t="n">
        <v>44141</v>
      </c>
      <c r="P213" s="35" t="s">
        <v>240</v>
      </c>
      <c r="Q213" s="37" t="n">
        <v>4</v>
      </c>
      <c r="R213" s="38" t="n">
        <f aca="false">IFERROR(Q213/VLOOKUP(P213,'Exchange rates to USD'!$L$2:$N$225,3,FALSE()),"")</f>
        <v>4.41067576429675</v>
      </c>
      <c r="S213" s="35"/>
      <c r="T213" s="35"/>
    </row>
    <row r="214" customFormat="false" ht="12" hidden="false" customHeight="false" outlineLevel="0" collapsed="false">
      <c r="A214" s="55" t="s">
        <v>876</v>
      </c>
      <c r="B214" s="55" t="s">
        <v>839</v>
      </c>
      <c r="C214" s="55" t="s">
        <v>138</v>
      </c>
      <c r="D214" s="55" t="s">
        <v>59</v>
      </c>
      <c r="E214" s="55" t="s">
        <v>95</v>
      </c>
      <c r="F214" s="55"/>
      <c r="G214" s="55" t="s">
        <v>110</v>
      </c>
      <c r="H214" s="55" t="s">
        <v>62</v>
      </c>
      <c r="I214" s="55"/>
      <c r="J214" s="55" t="s">
        <v>877</v>
      </c>
      <c r="K214" s="88" t="s">
        <v>878</v>
      </c>
      <c r="L214" s="88" t="s">
        <v>879</v>
      </c>
      <c r="M214" s="55" t="s">
        <v>65</v>
      </c>
      <c r="N214" s="55"/>
      <c r="O214" s="56" t="n">
        <v>44265</v>
      </c>
      <c r="P214" s="55"/>
      <c r="Q214" s="89"/>
      <c r="R214" s="55"/>
      <c r="S214" s="35"/>
      <c r="T214" s="35"/>
    </row>
    <row r="215" customFormat="false" ht="13.25" hidden="false" customHeight="true" outlineLevel="0" collapsed="false">
      <c r="A215" s="15" t="s">
        <v>880</v>
      </c>
      <c r="B215" s="15" t="s">
        <v>240</v>
      </c>
      <c r="C215" s="15" t="s">
        <v>58</v>
      </c>
      <c r="D215" s="15" t="s">
        <v>80</v>
      </c>
      <c r="E215" s="15" t="s">
        <v>76</v>
      </c>
      <c r="F215" s="15" t="s">
        <v>881</v>
      </c>
      <c r="G215" s="15" t="s">
        <v>62</v>
      </c>
      <c r="J215" s="15" t="s">
        <v>882</v>
      </c>
      <c r="K215" s="15" t="s">
        <v>883</v>
      </c>
      <c r="M215" s="15" t="s">
        <v>884</v>
      </c>
      <c r="N215" s="15" t="s">
        <v>885</v>
      </c>
      <c r="P215" s="15" t="s">
        <v>240</v>
      </c>
      <c r="Q215" s="17" t="n">
        <v>202000</v>
      </c>
      <c r="R215" s="38" t="n">
        <f aca="false">IFERROR(Q215/VLOOKUP(P215,'Exchange rates to USD'!$L$2:$N$225,3,FALSE()),"")</f>
        <v>222739.126096986</v>
      </c>
      <c r="S215" s="35"/>
      <c r="T215" s="35"/>
    </row>
    <row r="216" customFormat="false" ht="13.25" hidden="false" customHeight="true" outlineLevel="0" collapsed="false">
      <c r="A216" s="15" t="s">
        <v>886</v>
      </c>
      <c r="B216" s="15" t="s">
        <v>240</v>
      </c>
      <c r="C216" s="15" t="s">
        <v>58</v>
      </c>
      <c r="D216" s="15" t="s">
        <v>59</v>
      </c>
      <c r="E216" s="15" t="s">
        <v>76</v>
      </c>
      <c r="F216" s="15" t="s">
        <v>887</v>
      </c>
      <c r="G216" s="15" t="s">
        <v>62</v>
      </c>
      <c r="J216" s="15" t="s">
        <v>888</v>
      </c>
      <c r="K216" s="15" t="s">
        <v>883</v>
      </c>
      <c r="M216" s="35" t="s">
        <v>884</v>
      </c>
      <c r="N216" s="15" t="s">
        <v>885</v>
      </c>
      <c r="P216" s="15" t="s">
        <v>240</v>
      </c>
      <c r="Q216" s="17" t="n">
        <v>14250</v>
      </c>
      <c r="R216" s="38" t="n">
        <f aca="false">IFERROR(Q216/VLOOKUP(P216,'Exchange rates to USD'!$L$2:$N$225,3,FALSE()),"")</f>
        <v>15713.0324103072</v>
      </c>
      <c r="S216" s="35"/>
      <c r="T216" s="35"/>
    </row>
    <row r="217" customFormat="false" ht="13.25" hidden="false" customHeight="true" outlineLevel="0" collapsed="false">
      <c r="A217" s="15" t="s">
        <v>889</v>
      </c>
      <c r="B217" s="15" t="s">
        <v>240</v>
      </c>
      <c r="C217" s="15" t="s">
        <v>58</v>
      </c>
      <c r="D217" s="15" t="s">
        <v>80</v>
      </c>
      <c r="E217" s="15" t="s">
        <v>76</v>
      </c>
      <c r="F217" s="15" t="s">
        <v>890</v>
      </c>
      <c r="J217" s="15" t="s">
        <v>891</v>
      </c>
      <c r="M217" s="35" t="s">
        <v>892</v>
      </c>
      <c r="P217" s="15" t="s">
        <v>240</v>
      </c>
      <c r="Q217" s="17" t="n">
        <v>471000</v>
      </c>
      <c r="R217" s="37" t="n">
        <f aca="false">IFERROR(Q217/VLOOKUP(P217,'Exchange rates to USD'!$L$2:$N$225,3,FALSE()),"")</f>
        <v>519357.071245943</v>
      </c>
      <c r="S217" s="35"/>
      <c r="T217" s="35"/>
    </row>
    <row r="218" customFormat="false" ht="13.25" hidden="false" customHeight="true" outlineLevel="0" collapsed="false">
      <c r="A218" s="15" t="s">
        <v>893</v>
      </c>
      <c r="B218" s="15" t="s">
        <v>240</v>
      </c>
      <c r="C218" s="15" t="s">
        <v>58</v>
      </c>
      <c r="D218" s="15" t="s">
        <v>59</v>
      </c>
      <c r="E218" s="15" t="s">
        <v>76</v>
      </c>
      <c r="F218" s="15" t="s">
        <v>894</v>
      </c>
      <c r="J218" s="15" t="s">
        <v>895</v>
      </c>
      <c r="M218" s="35" t="s">
        <v>892</v>
      </c>
      <c r="P218" s="15" t="s">
        <v>240</v>
      </c>
      <c r="Q218" s="17" t="n">
        <v>33750</v>
      </c>
      <c r="R218" s="37" t="n">
        <f aca="false">IFERROR(Q218/VLOOKUP(P218,'Exchange rates to USD'!$L$2:$N$225,3,FALSE()),"")</f>
        <v>37215.0767612539</v>
      </c>
      <c r="S218" s="35"/>
      <c r="T218" s="35"/>
    </row>
    <row r="219" customFormat="false" ht="13.25" hidden="false" customHeight="true" outlineLevel="0" collapsed="false">
      <c r="A219" s="15" t="s">
        <v>896</v>
      </c>
      <c r="B219" s="15" t="s">
        <v>240</v>
      </c>
      <c r="C219" s="15" t="s">
        <v>58</v>
      </c>
      <c r="D219" s="15" t="s">
        <v>80</v>
      </c>
      <c r="E219" s="15" t="s">
        <v>76</v>
      </c>
      <c r="F219" s="15" t="s">
        <v>897</v>
      </c>
      <c r="G219" s="15" t="s">
        <v>62</v>
      </c>
      <c r="H219" s="15" t="s">
        <v>96</v>
      </c>
      <c r="I219" s="15" t="s">
        <v>77</v>
      </c>
      <c r="J219" s="15" t="s">
        <v>898</v>
      </c>
      <c r="K219" s="15" t="s">
        <v>883</v>
      </c>
      <c r="M219" s="15" t="s">
        <v>93</v>
      </c>
      <c r="N219" s="15" t="s">
        <v>885</v>
      </c>
      <c r="P219" s="15" t="s">
        <v>240</v>
      </c>
      <c r="Q219" s="17" t="n">
        <v>5000</v>
      </c>
      <c r="R219" s="38" t="n">
        <f aca="false">IFERROR(Q219/VLOOKUP(P219,'Exchange rates to USD'!$L$2:$N$225,3,FALSE()),"")</f>
        <v>5513.34470537094</v>
      </c>
      <c r="S219" s="35"/>
      <c r="T219" s="35"/>
    </row>
    <row r="220" customFormat="false" ht="13.25" hidden="false" customHeight="true" outlineLevel="0" collapsed="false">
      <c r="A220" s="15" t="s">
        <v>899</v>
      </c>
      <c r="B220" s="15" t="s">
        <v>240</v>
      </c>
      <c r="C220" s="59" t="s">
        <v>232</v>
      </c>
      <c r="D220" s="15" t="s">
        <v>80</v>
      </c>
      <c r="E220" s="15" t="s">
        <v>76</v>
      </c>
      <c r="F220" s="15" t="s">
        <v>900</v>
      </c>
      <c r="J220" s="15" t="s">
        <v>901</v>
      </c>
      <c r="K220" s="15" t="s">
        <v>883</v>
      </c>
      <c r="M220" s="15" t="s">
        <v>93</v>
      </c>
      <c r="N220" s="15" t="s">
        <v>885</v>
      </c>
      <c r="P220" s="15" t="s">
        <v>240</v>
      </c>
      <c r="Q220" s="17" t="n">
        <v>5600</v>
      </c>
      <c r="R220" s="38" t="n">
        <f aca="false">IFERROR(Q220/VLOOKUP(P220,'Exchange rates to USD'!$L$2:$N$225,3,FALSE()),"")</f>
        <v>6174.94607001545</v>
      </c>
    </row>
    <row r="221" customFormat="false" ht="13.25" hidden="false" customHeight="true" outlineLevel="0" collapsed="false">
      <c r="A221" s="15" t="s">
        <v>902</v>
      </c>
      <c r="B221" s="15" t="s">
        <v>240</v>
      </c>
      <c r="C221" s="59" t="s">
        <v>232</v>
      </c>
      <c r="D221" s="15" t="s">
        <v>59</v>
      </c>
      <c r="E221" s="15" t="s">
        <v>123</v>
      </c>
      <c r="F221" s="15" t="s">
        <v>903</v>
      </c>
      <c r="G221" s="15" t="s">
        <v>62</v>
      </c>
      <c r="H221" s="15" t="s">
        <v>904</v>
      </c>
      <c r="I221" s="15" t="s">
        <v>97</v>
      </c>
      <c r="J221" s="15" t="s">
        <v>905</v>
      </c>
      <c r="K221" s="15" t="s">
        <v>883</v>
      </c>
      <c r="M221" s="15" t="s">
        <v>93</v>
      </c>
      <c r="N221" s="15" t="s">
        <v>885</v>
      </c>
      <c r="P221" s="15" t="s">
        <v>240</v>
      </c>
      <c r="Q221" s="17" t="n">
        <v>7500</v>
      </c>
      <c r="R221" s="38" t="n">
        <f aca="false">IFERROR(Q221/VLOOKUP(P221,'Exchange rates to USD'!$L$2:$N$225,3,FALSE()),"")</f>
        <v>8270.01705805641</v>
      </c>
    </row>
    <row r="222" customFormat="false" ht="13.25" hidden="false" customHeight="true" outlineLevel="0" collapsed="false">
      <c r="A222" s="15" t="s">
        <v>906</v>
      </c>
      <c r="B222" s="15" t="s">
        <v>240</v>
      </c>
      <c r="C222" s="15" t="s">
        <v>176</v>
      </c>
      <c r="D222" s="15" t="s">
        <v>80</v>
      </c>
      <c r="E222" s="15" t="s">
        <v>76</v>
      </c>
      <c r="F222" s="15" t="s">
        <v>907</v>
      </c>
      <c r="G222" s="15" t="s">
        <v>62</v>
      </c>
      <c r="J222" s="15" t="s">
        <v>908</v>
      </c>
      <c r="K222" s="15" t="s">
        <v>883</v>
      </c>
      <c r="M222" s="15" t="s">
        <v>93</v>
      </c>
      <c r="N222" s="15" t="s">
        <v>885</v>
      </c>
      <c r="P222" s="15" t="s">
        <v>240</v>
      </c>
      <c r="Q222" s="17" t="n">
        <v>10000</v>
      </c>
      <c r="R222" s="38" t="n">
        <f aca="false">IFERROR(Q222/VLOOKUP(P222,'Exchange rates to USD'!$L$2:$N$225,3,FALSE()),"")</f>
        <v>11026.6894107419</v>
      </c>
    </row>
    <row r="223" customFormat="false" ht="13.25" hidden="false" customHeight="true" outlineLevel="0" collapsed="false">
      <c r="A223" s="15" t="s">
        <v>909</v>
      </c>
      <c r="B223" s="15" t="s">
        <v>240</v>
      </c>
      <c r="C223" s="59" t="s">
        <v>232</v>
      </c>
      <c r="D223" s="15" t="s">
        <v>80</v>
      </c>
      <c r="E223" s="15" t="s">
        <v>76</v>
      </c>
      <c r="F223" s="15" t="s">
        <v>910</v>
      </c>
      <c r="G223" s="15" t="s">
        <v>62</v>
      </c>
      <c r="J223" s="27" t="s">
        <v>911</v>
      </c>
      <c r="K223" s="15" t="s">
        <v>883</v>
      </c>
      <c r="M223" s="15" t="s">
        <v>93</v>
      </c>
      <c r="N223" s="15" t="s">
        <v>885</v>
      </c>
      <c r="P223" s="15" t="s">
        <v>240</v>
      </c>
      <c r="Q223" s="17" t="n">
        <v>1900</v>
      </c>
      <c r="R223" s="38" t="n">
        <f aca="false">IFERROR(Q223/VLOOKUP(P223,'Exchange rates to USD'!$L$2:$N$225,3,FALSE()),"")</f>
        <v>2095.07098804096</v>
      </c>
    </row>
    <row r="224" customFormat="false" ht="13.25" hidden="false" customHeight="true" outlineLevel="0" collapsed="false">
      <c r="A224" s="15" t="s">
        <v>912</v>
      </c>
      <c r="B224" s="15" t="s">
        <v>240</v>
      </c>
      <c r="C224" s="15" t="s">
        <v>75</v>
      </c>
      <c r="D224" s="15" t="s">
        <v>80</v>
      </c>
      <c r="E224" s="15" t="s">
        <v>76</v>
      </c>
      <c r="G224" s="15" t="s">
        <v>812</v>
      </c>
      <c r="H224" s="15" t="s">
        <v>62</v>
      </c>
      <c r="J224" s="15" t="s">
        <v>913</v>
      </c>
      <c r="K224" s="15" t="s">
        <v>883</v>
      </c>
      <c r="M224" s="15" t="s">
        <v>93</v>
      </c>
      <c r="N224" s="15" t="s">
        <v>885</v>
      </c>
      <c r="P224" s="15" t="s">
        <v>240</v>
      </c>
      <c r="Q224" s="17" t="n">
        <v>0</v>
      </c>
      <c r="R224" s="38" t="n">
        <f aca="false">IFERROR(Q224/VLOOKUP(P224,'Exchange rates to USD'!$L$2:$N$225,3,FALSE()),"")</f>
        <v>0</v>
      </c>
    </row>
    <row r="225" customFormat="false" ht="13.25" hidden="false" customHeight="true" outlineLevel="0" collapsed="false">
      <c r="A225" s="15" t="s">
        <v>914</v>
      </c>
      <c r="B225" s="15" t="s">
        <v>240</v>
      </c>
      <c r="C225" s="15" t="s">
        <v>58</v>
      </c>
      <c r="D225" s="15" t="s">
        <v>80</v>
      </c>
      <c r="E225" s="15" t="s">
        <v>76</v>
      </c>
      <c r="F225" s="15" t="s">
        <v>915</v>
      </c>
      <c r="J225" s="15" t="s">
        <v>916</v>
      </c>
      <c r="K225" s="15" t="s">
        <v>917</v>
      </c>
      <c r="M225" s="15" t="s">
        <v>70</v>
      </c>
      <c r="N225" s="15" t="s">
        <v>918</v>
      </c>
      <c r="P225" s="15" t="s">
        <v>240</v>
      </c>
      <c r="Q225" s="17" t="n">
        <v>240000</v>
      </c>
      <c r="R225" s="38" t="n">
        <f aca="false">IFERROR(Q225/VLOOKUP(P225,'Exchange rates to USD'!$L$2:$N$225,3,FALSE()),"")</f>
        <v>264640.545857805</v>
      </c>
    </row>
    <row r="226" customFormat="false" ht="13.25" hidden="false" customHeight="true" outlineLevel="0" collapsed="false">
      <c r="A226" s="15" t="s">
        <v>919</v>
      </c>
      <c r="B226" s="15" t="s">
        <v>240</v>
      </c>
      <c r="C226" s="15" t="s">
        <v>58</v>
      </c>
      <c r="D226" s="15" t="s">
        <v>80</v>
      </c>
      <c r="E226" s="15" t="s">
        <v>76</v>
      </c>
      <c r="F226" s="15" t="s">
        <v>920</v>
      </c>
      <c r="J226" s="15" t="s">
        <v>921</v>
      </c>
      <c r="K226" s="15" t="s">
        <v>917</v>
      </c>
      <c r="M226" s="15" t="s">
        <v>70</v>
      </c>
      <c r="N226" s="15" t="s">
        <v>918</v>
      </c>
      <c r="P226" s="15" t="s">
        <v>240</v>
      </c>
      <c r="Q226" s="17" t="n">
        <v>200000</v>
      </c>
      <c r="R226" s="38" t="n">
        <f aca="false">IFERROR(Q226/VLOOKUP(P226,'Exchange rates to USD'!$L$2:$N$225,3,FALSE()),"")</f>
        <v>220533.788214838</v>
      </c>
    </row>
    <row r="227" customFormat="false" ht="13.25" hidden="false" customHeight="true" outlineLevel="0" collapsed="false">
      <c r="A227" s="15" t="s">
        <v>922</v>
      </c>
      <c r="B227" s="15" t="s">
        <v>240</v>
      </c>
      <c r="C227" s="15" t="s">
        <v>58</v>
      </c>
      <c r="D227" s="15" t="s">
        <v>80</v>
      </c>
      <c r="E227" s="15" t="s">
        <v>76</v>
      </c>
      <c r="F227" s="15" t="s">
        <v>915</v>
      </c>
      <c r="J227" s="15" t="s">
        <v>923</v>
      </c>
      <c r="K227" s="15" t="s">
        <v>917</v>
      </c>
      <c r="M227" s="15" t="s">
        <v>70</v>
      </c>
      <c r="N227" s="15" t="s">
        <v>918</v>
      </c>
      <c r="P227" s="15" t="s">
        <v>240</v>
      </c>
      <c r="Q227" s="17" t="n">
        <v>240000</v>
      </c>
      <c r="R227" s="38" t="n">
        <f aca="false">IFERROR(Q227/VLOOKUP(P227,'Exchange rates to USD'!$L$2:$N$225,3,FALSE()),"")</f>
        <v>264640.545857805</v>
      </c>
    </row>
    <row r="228" customFormat="false" ht="13.25" hidden="false" customHeight="true" outlineLevel="0" collapsed="false">
      <c r="A228" s="55" t="s">
        <v>924</v>
      </c>
      <c r="B228" s="55" t="s">
        <v>240</v>
      </c>
      <c r="C228" s="55" t="s">
        <v>249</v>
      </c>
      <c r="D228" s="55" t="s">
        <v>925</v>
      </c>
      <c r="E228" s="55" t="s">
        <v>76</v>
      </c>
      <c r="F228" s="55" t="s">
        <v>926</v>
      </c>
      <c r="G228" s="55" t="s">
        <v>62</v>
      </c>
      <c r="H228" s="55" t="s">
        <v>110</v>
      </c>
      <c r="I228" s="55" t="s">
        <v>96</v>
      </c>
      <c r="J228" s="55" t="s">
        <v>927</v>
      </c>
      <c r="K228" s="55" t="s">
        <v>928</v>
      </c>
      <c r="L228" s="55"/>
      <c r="M228" s="55" t="s">
        <v>93</v>
      </c>
      <c r="N228" s="55"/>
      <c r="O228" s="56"/>
      <c r="P228" s="55" t="s">
        <v>240</v>
      </c>
      <c r="Q228" s="60" t="n">
        <v>1000</v>
      </c>
      <c r="R228" s="58" t="n">
        <f aca="false">IFERROR(Q228/VLOOKUP(P228,'Exchange rates to USD'!$L$2:$N$225,3,FALSE()),"")</f>
        <v>1102.66894107419</v>
      </c>
    </row>
    <row r="229" customFormat="false" ht="13.25" hidden="false" customHeight="true" outlineLevel="0" collapsed="false">
      <c r="A229" s="15" t="s">
        <v>929</v>
      </c>
      <c r="B229" s="15" t="s">
        <v>930</v>
      </c>
      <c r="C229" s="59" t="s">
        <v>232</v>
      </c>
      <c r="D229" s="15" t="s">
        <v>80</v>
      </c>
      <c r="E229" s="15" t="s">
        <v>76</v>
      </c>
      <c r="F229" s="15" t="s">
        <v>931</v>
      </c>
      <c r="G229" s="15" t="s">
        <v>62</v>
      </c>
      <c r="H229" s="15" t="s">
        <v>77</v>
      </c>
      <c r="J229" s="27" t="s">
        <v>932</v>
      </c>
      <c r="K229" s="15" t="s">
        <v>933</v>
      </c>
      <c r="M229" s="15" t="s">
        <v>93</v>
      </c>
      <c r="P229" s="42" t="s">
        <v>240</v>
      </c>
      <c r="Q229" s="90" t="n">
        <v>5500</v>
      </c>
      <c r="R229" s="38" t="n">
        <f aca="false">IFERROR(Q229/VLOOKUP(P229,'Exchange rates to USD'!$L$2:$N$225,3,FALSE()),"")</f>
        <v>6064.67917590804</v>
      </c>
      <c r="T229" s="17"/>
    </row>
    <row r="230" customFormat="false" ht="13.25" hidden="false" customHeight="true" outlineLevel="0" collapsed="false">
      <c r="A230" s="15" t="s">
        <v>934</v>
      </c>
      <c r="B230" s="15" t="s">
        <v>930</v>
      </c>
      <c r="C230" s="15" t="s">
        <v>58</v>
      </c>
      <c r="D230" s="15" t="s">
        <v>59</v>
      </c>
      <c r="E230" s="15" t="s">
        <v>116</v>
      </c>
      <c r="F230" s="15" t="s">
        <v>935</v>
      </c>
      <c r="G230" s="15" t="s">
        <v>62</v>
      </c>
      <c r="H230" s="15" t="s">
        <v>110</v>
      </c>
      <c r="J230" s="15" t="s">
        <v>936</v>
      </c>
      <c r="M230" s="15" t="s">
        <v>93</v>
      </c>
      <c r="O230" s="16" t="n">
        <v>44203</v>
      </c>
      <c r="P230" s="42" t="s">
        <v>240</v>
      </c>
      <c r="Q230" s="90" t="n">
        <v>45</v>
      </c>
      <c r="R230" s="38" t="n">
        <f aca="false">IFERROR(Q230/VLOOKUP(P230,'Exchange rates to USD'!$L$2:$N$225,3,FALSE()),"")</f>
        <v>49.6201023483385</v>
      </c>
    </row>
    <row r="231" customFormat="false" ht="13.25" hidden="false" customHeight="true" outlineLevel="0" collapsed="false">
      <c r="A231" s="15" t="s">
        <v>937</v>
      </c>
      <c r="B231" s="15" t="s">
        <v>930</v>
      </c>
      <c r="C231" s="15" t="s">
        <v>249</v>
      </c>
      <c r="D231" s="15" t="s">
        <v>59</v>
      </c>
      <c r="E231" s="15" t="s">
        <v>95</v>
      </c>
      <c r="F231" s="15" t="s">
        <v>938</v>
      </c>
      <c r="G231" s="15" t="s">
        <v>62</v>
      </c>
      <c r="H231" s="15" t="s">
        <v>110</v>
      </c>
      <c r="J231" s="15" t="s">
        <v>939</v>
      </c>
      <c r="M231" s="15" t="s">
        <v>93</v>
      </c>
      <c r="O231" s="16" t="n">
        <v>44203</v>
      </c>
      <c r="P231" s="42" t="s">
        <v>240</v>
      </c>
      <c r="Q231" s="90" t="n">
        <f aca="false">20+20</f>
        <v>40</v>
      </c>
      <c r="R231" s="38" t="n">
        <f aca="false">IFERROR(Q231/VLOOKUP(P231,'Exchange rates to USD'!$L$2:$N$225,3,FALSE()),"")</f>
        <v>44.1067576429675</v>
      </c>
    </row>
    <row r="232" customFormat="false" ht="13.25" hidden="false" customHeight="true" outlineLevel="0" collapsed="false">
      <c r="A232" s="15" t="s">
        <v>940</v>
      </c>
      <c r="B232" s="15" t="s">
        <v>930</v>
      </c>
      <c r="C232" s="15" t="s">
        <v>58</v>
      </c>
      <c r="D232" s="15" t="s">
        <v>59</v>
      </c>
      <c r="E232" s="15" t="s">
        <v>263</v>
      </c>
      <c r="F232" s="15" t="s">
        <v>941</v>
      </c>
      <c r="G232" s="15" t="s">
        <v>77</v>
      </c>
      <c r="H232" s="15" t="s">
        <v>97</v>
      </c>
      <c r="J232" s="15" t="s">
        <v>942</v>
      </c>
      <c r="M232" s="15" t="s">
        <v>93</v>
      </c>
      <c r="O232" s="16" t="n">
        <v>44203</v>
      </c>
      <c r="P232" s="42" t="s">
        <v>240</v>
      </c>
      <c r="Q232" s="90" t="n">
        <v>33.9</v>
      </c>
      <c r="R232" s="38" t="n">
        <f aca="false">IFERROR(Q232/VLOOKUP(P232,'Exchange rates to USD'!$L$2:$N$225,3,FALSE()),"")</f>
        <v>37.380477102415</v>
      </c>
    </row>
    <row r="233" customFormat="false" ht="13.25" hidden="false" customHeight="true" outlineLevel="0" collapsed="false">
      <c r="A233" s="15" t="s">
        <v>943</v>
      </c>
      <c r="B233" s="15" t="s">
        <v>930</v>
      </c>
      <c r="C233" s="15" t="s">
        <v>232</v>
      </c>
      <c r="D233" s="15" t="s">
        <v>59</v>
      </c>
      <c r="E233" s="15" t="s">
        <v>116</v>
      </c>
      <c r="F233" s="15" t="s">
        <v>944</v>
      </c>
      <c r="G233" s="15" t="s">
        <v>62</v>
      </c>
      <c r="J233" s="15" t="s">
        <v>945</v>
      </c>
      <c r="K233" s="34" t="s">
        <v>946</v>
      </c>
      <c r="M233" s="15" t="s">
        <v>113</v>
      </c>
      <c r="O233" s="16" t="n">
        <v>44203</v>
      </c>
      <c r="P233" s="42" t="s">
        <v>240</v>
      </c>
      <c r="Q233" s="90" t="n">
        <v>5</v>
      </c>
      <c r="R233" s="38" t="n">
        <f aca="false">IFERROR(Q233/VLOOKUP(P233,'Exchange rates to USD'!$L$2:$N$225,3,FALSE()),"")</f>
        <v>5.51334470537094</v>
      </c>
    </row>
    <row r="234" customFormat="false" ht="13.25" hidden="false" customHeight="true" outlineLevel="0" collapsed="false">
      <c r="A234" s="15" t="s">
        <v>947</v>
      </c>
      <c r="B234" s="15" t="s">
        <v>930</v>
      </c>
      <c r="C234" s="15" t="s">
        <v>58</v>
      </c>
      <c r="D234" s="15" t="s">
        <v>59</v>
      </c>
      <c r="E234" s="15" t="s">
        <v>233</v>
      </c>
      <c r="F234" s="15" t="s">
        <v>948</v>
      </c>
      <c r="G234" s="15" t="s">
        <v>62</v>
      </c>
      <c r="H234" s="15" t="s">
        <v>110</v>
      </c>
      <c r="J234" s="15" t="s">
        <v>949</v>
      </c>
      <c r="M234" s="15" t="s">
        <v>93</v>
      </c>
      <c r="O234" s="16" t="n">
        <v>44203</v>
      </c>
      <c r="P234" s="42" t="s">
        <v>240</v>
      </c>
      <c r="Q234" s="90" t="n">
        <v>118</v>
      </c>
      <c r="R234" s="38" t="n">
        <f aca="false">IFERROR(Q234/VLOOKUP(P234,'Exchange rates to USD'!$L$2:$N$225,3,FALSE()),"")</f>
        <v>130.114935046754</v>
      </c>
    </row>
    <row r="235" customFormat="false" ht="13.25" hidden="false" customHeight="true" outlineLevel="0" collapsed="false">
      <c r="A235" s="15" t="s">
        <v>950</v>
      </c>
      <c r="B235" s="15" t="s">
        <v>930</v>
      </c>
      <c r="C235" s="15" t="s">
        <v>58</v>
      </c>
      <c r="D235" s="15" t="s">
        <v>59</v>
      </c>
      <c r="E235" s="15" t="s">
        <v>233</v>
      </c>
      <c r="F235" s="15" t="s">
        <v>951</v>
      </c>
      <c r="G235" s="15" t="s">
        <v>62</v>
      </c>
      <c r="H235" s="15" t="s">
        <v>110</v>
      </c>
      <c r="J235" s="27" t="s">
        <v>952</v>
      </c>
      <c r="M235" s="15" t="s">
        <v>93</v>
      </c>
      <c r="O235" s="16" t="n">
        <v>44203</v>
      </c>
      <c r="P235" s="42" t="s">
        <v>240</v>
      </c>
      <c r="Q235" s="90" t="n">
        <v>755.8</v>
      </c>
      <c r="R235" s="38" t="n">
        <f aca="false">IFERROR(Q235/VLOOKUP(P235,'Exchange rates to USD'!$L$2:$N$225,3,FALSE()),"")</f>
        <v>833.397185663872</v>
      </c>
    </row>
    <row r="236" customFormat="false" ht="13.25" hidden="false" customHeight="true" outlineLevel="0" collapsed="false">
      <c r="A236" s="15" t="s">
        <v>953</v>
      </c>
      <c r="B236" s="15" t="s">
        <v>930</v>
      </c>
      <c r="C236" s="15" t="s">
        <v>58</v>
      </c>
      <c r="D236" s="15" t="s">
        <v>59</v>
      </c>
      <c r="E236" s="15" t="s">
        <v>233</v>
      </c>
      <c r="F236" s="15" t="s">
        <v>954</v>
      </c>
      <c r="G236" s="15" t="s">
        <v>62</v>
      </c>
      <c r="H236" s="15" t="s">
        <v>110</v>
      </c>
      <c r="J236" s="15" t="s">
        <v>955</v>
      </c>
      <c r="M236" s="15" t="s">
        <v>93</v>
      </c>
      <c r="P236" s="42" t="s">
        <v>240</v>
      </c>
      <c r="Q236" s="90" t="n">
        <v>2.5</v>
      </c>
      <c r="R236" s="38" t="n">
        <f aca="false">IFERROR(Q236/VLOOKUP(P236,'Exchange rates to USD'!$L$2:$N$225,3,FALSE()),"")</f>
        <v>2.75667235268547</v>
      </c>
    </row>
    <row r="237" customFormat="false" ht="13.25" hidden="false" customHeight="true" outlineLevel="0" collapsed="false">
      <c r="A237" s="15" t="s">
        <v>956</v>
      </c>
      <c r="B237" s="15" t="s">
        <v>930</v>
      </c>
      <c r="C237" s="15" t="s">
        <v>58</v>
      </c>
      <c r="D237" s="15" t="s">
        <v>80</v>
      </c>
      <c r="F237" s="15" t="s">
        <v>957</v>
      </c>
      <c r="G237" s="15" t="s">
        <v>105</v>
      </c>
      <c r="J237" s="15" t="s">
        <v>958</v>
      </c>
      <c r="K237" s="15" t="s">
        <v>959</v>
      </c>
      <c r="M237" s="15" t="s">
        <v>113</v>
      </c>
      <c r="P237" s="42" t="s">
        <v>240</v>
      </c>
      <c r="Q237" s="90" t="n">
        <v>100</v>
      </c>
      <c r="R237" s="38" t="n">
        <f aca="false">IFERROR(Q237/VLOOKUP(P237,'Exchange rates to USD'!$L$2:$N$225,3,FALSE()),"")</f>
        <v>110.266894107419</v>
      </c>
    </row>
    <row r="238" customFormat="false" ht="13.25" hidden="false" customHeight="true" outlineLevel="0" collapsed="false">
      <c r="A238" s="15" t="s">
        <v>960</v>
      </c>
      <c r="B238" s="15" t="s">
        <v>930</v>
      </c>
      <c r="C238" s="15" t="s">
        <v>58</v>
      </c>
      <c r="D238" s="15" t="s">
        <v>59</v>
      </c>
      <c r="E238" s="15" t="s">
        <v>90</v>
      </c>
      <c r="F238" s="15" t="s">
        <v>250</v>
      </c>
      <c r="G238" s="15" t="s">
        <v>62</v>
      </c>
      <c r="J238" s="15" t="s">
        <v>961</v>
      </c>
      <c r="K238" s="15" t="s">
        <v>962</v>
      </c>
      <c r="M238" s="15" t="s">
        <v>93</v>
      </c>
      <c r="N238" s="15" t="s">
        <v>963</v>
      </c>
      <c r="P238" s="42" t="s">
        <v>240</v>
      </c>
      <c r="Q238" s="90" t="n">
        <v>300</v>
      </c>
      <c r="R238" s="38" t="n">
        <f aca="false">IFERROR(Q238/VLOOKUP(P238,'Exchange rates to USD'!$L$2:$N$225,3,FALSE()),"")</f>
        <v>330.800682322256</v>
      </c>
    </row>
    <row r="239" customFormat="false" ht="13.25" hidden="false" customHeight="true" outlineLevel="0" collapsed="false">
      <c r="A239" s="15" t="s">
        <v>964</v>
      </c>
      <c r="B239" s="15" t="s">
        <v>930</v>
      </c>
      <c r="C239" s="15" t="s">
        <v>58</v>
      </c>
      <c r="D239" s="15" t="s">
        <v>59</v>
      </c>
      <c r="F239" s="15" t="s">
        <v>965</v>
      </c>
      <c r="G239" s="15" t="s">
        <v>77</v>
      </c>
      <c r="H239" s="15" t="s">
        <v>62</v>
      </c>
      <c r="J239" s="15" t="s">
        <v>966</v>
      </c>
      <c r="K239" s="34" t="s">
        <v>967</v>
      </c>
      <c r="M239" s="15" t="s">
        <v>93</v>
      </c>
      <c r="O239" s="16" t="n">
        <v>44203</v>
      </c>
      <c r="P239" s="42" t="s">
        <v>240</v>
      </c>
      <c r="Q239" s="90" t="n">
        <v>20</v>
      </c>
      <c r="R239" s="38" t="n">
        <f aca="false">IFERROR(Q239/VLOOKUP(P239,'Exchange rates to USD'!$L$2:$N$225,3,FALSE()),"")</f>
        <v>22.0533788214838</v>
      </c>
    </row>
    <row r="240" customFormat="false" ht="13.25" hidden="false" customHeight="true" outlineLevel="0" collapsed="false">
      <c r="A240" s="15" t="s">
        <v>968</v>
      </c>
      <c r="B240" s="15" t="s">
        <v>930</v>
      </c>
      <c r="C240" s="15" t="s">
        <v>58</v>
      </c>
      <c r="D240" s="15" t="s">
        <v>80</v>
      </c>
      <c r="E240" s="15" t="s">
        <v>76</v>
      </c>
      <c r="F240" s="15" t="s">
        <v>969</v>
      </c>
      <c r="G240" s="15" t="s">
        <v>812</v>
      </c>
      <c r="H240" s="15" t="s">
        <v>812</v>
      </c>
      <c r="J240" s="15" t="s">
        <v>970</v>
      </c>
      <c r="K240" s="15" t="s">
        <v>971</v>
      </c>
      <c r="M240" s="15" t="s">
        <v>93</v>
      </c>
      <c r="O240" s="16" t="n">
        <v>44203</v>
      </c>
      <c r="P240" s="42" t="s">
        <v>240</v>
      </c>
      <c r="Q240" s="90" t="n">
        <v>1</v>
      </c>
      <c r="R240" s="38" t="n">
        <f aca="false">IFERROR(Q240/VLOOKUP(P240,'Exchange rates to USD'!$L$2:$N$225,3,FALSE()),"")</f>
        <v>1.10266894107419</v>
      </c>
    </row>
    <row r="241" customFormat="false" ht="13.25" hidden="false" customHeight="true" outlineLevel="0" collapsed="false">
      <c r="A241" s="15" t="s">
        <v>972</v>
      </c>
      <c r="B241" s="15" t="s">
        <v>930</v>
      </c>
      <c r="C241" s="15" t="s">
        <v>58</v>
      </c>
      <c r="D241" s="15" t="s">
        <v>59</v>
      </c>
      <c r="E241" s="15" t="s">
        <v>95</v>
      </c>
      <c r="F241" s="15" t="s">
        <v>973</v>
      </c>
      <c r="G241" s="15" t="s">
        <v>62</v>
      </c>
      <c r="H241" s="15" t="s">
        <v>110</v>
      </c>
      <c r="J241" s="15" t="s">
        <v>974</v>
      </c>
      <c r="K241" s="34" t="s">
        <v>975</v>
      </c>
      <c r="M241" s="15" t="s">
        <v>93</v>
      </c>
      <c r="O241" s="16" t="n">
        <v>44203</v>
      </c>
      <c r="P241" s="42" t="s">
        <v>240</v>
      </c>
      <c r="Q241" s="90" t="n">
        <v>3</v>
      </c>
      <c r="R241" s="38" t="n">
        <f aca="false">IFERROR(Q241/VLOOKUP(P241,'Exchange rates to USD'!$L$2:$N$225,3,FALSE()),"")</f>
        <v>3.30800682322256</v>
      </c>
    </row>
    <row r="242" customFormat="false" ht="13.25" hidden="false" customHeight="true" outlineLevel="0" collapsed="false">
      <c r="A242" s="15" t="s">
        <v>976</v>
      </c>
      <c r="B242" s="15" t="s">
        <v>930</v>
      </c>
      <c r="C242" s="15" t="s">
        <v>58</v>
      </c>
      <c r="D242" s="15" t="s">
        <v>59</v>
      </c>
      <c r="E242" s="15" t="s">
        <v>95</v>
      </c>
      <c r="F242" s="15" t="s">
        <v>977</v>
      </c>
      <c r="G242" s="15" t="s">
        <v>97</v>
      </c>
      <c r="J242" s="15" t="s">
        <v>978</v>
      </c>
      <c r="K242" s="34" t="s">
        <v>979</v>
      </c>
      <c r="M242" s="15" t="s">
        <v>93</v>
      </c>
      <c r="O242" s="16" t="n">
        <v>44203</v>
      </c>
      <c r="P242" s="42" t="s">
        <v>240</v>
      </c>
      <c r="Q242" s="90" t="n">
        <v>10</v>
      </c>
      <c r="R242" s="38" t="n">
        <f aca="false">IFERROR(Q242/VLOOKUP(P242,'Exchange rates to USD'!$L$2:$N$225,3,FALSE()),"")</f>
        <v>11.0266894107419</v>
      </c>
    </row>
    <row r="243" customFormat="false" ht="13.25" hidden="false" customHeight="true" outlineLevel="0" collapsed="false">
      <c r="A243" s="15" t="s">
        <v>980</v>
      </c>
      <c r="B243" s="15" t="s">
        <v>930</v>
      </c>
      <c r="C243" s="15" t="s">
        <v>138</v>
      </c>
      <c r="D243" s="15" t="s">
        <v>59</v>
      </c>
      <c r="E243" s="15" t="s">
        <v>116</v>
      </c>
      <c r="F243" s="15" t="s">
        <v>981</v>
      </c>
      <c r="G243" s="15" t="s">
        <v>105</v>
      </c>
      <c r="J243" s="15" t="s">
        <v>982</v>
      </c>
      <c r="M243" s="15" t="s">
        <v>113</v>
      </c>
      <c r="O243" s="16" t="n">
        <v>44203</v>
      </c>
      <c r="P243" s="42" t="s">
        <v>240</v>
      </c>
      <c r="Q243" s="90" t="n">
        <v>0.8</v>
      </c>
      <c r="R243" s="38" t="n">
        <f aca="false">IFERROR(Q243/VLOOKUP(P243,'Exchange rates to USD'!$L$2:$N$225,3,FALSE()),"")</f>
        <v>0.882135152859351</v>
      </c>
    </row>
    <row r="244" customFormat="false" ht="13.25" hidden="false" customHeight="true" outlineLevel="0" collapsed="false">
      <c r="A244" s="15" t="s">
        <v>983</v>
      </c>
      <c r="B244" s="15" t="s">
        <v>930</v>
      </c>
      <c r="C244" s="15" t="s">
        <v>58</v>
      </c>
      <c r="E244" s="15" t="s">
        <v>116</v>
      </c>
      <c r="F244" s="15" t="s">
        <v>984</v>
      </c>
      <c r="G244" s="15" t="s">
        <v>62</v>
      </c>
      <c r="J244" s="15" t="s">
        <v>985</v>
      </c>
      <c r="M244" s="15" t="s">
        <v>113</v>
      </c>
      <c r="O244" s="16" t="n">
        <v>44203</v>
      </c>
      <c r="P244" s="42" t="s">
        <v>240</v>
      </c>
      <c r="Q244" s="90" t="n">
        <v>340</v>
      </c>
      <c r="R244" s="38" t="n">
        <f aca="false">IFERROR(Q244/VLOOKUP(P244,'Exchange rates to USD'!$L$2:$N$225,3,FALSE()),"")</f>
        <v>374.907439965224</v>
      </c>
    </row>
    <row r="245" customFormat="false" ht="13.25" hidden="false" customHeight="true" outlineLevel="0" collapsed="false">
      <c r="A245" s="15" t="s">
        <v>986</v>
      </c>
      <c r="B245" s="15" t="s">
        <v>930</v>
      </c>
      <c r="C245" s="15" t="s">
        <v>58</v>
      </c>
      <c r="E245" s="15" t="s">
        <v>116</v>
      </c>
      <c r="F245" s="15" t="s">
        <v>987</v>
      </c>
      <c r="G245" s="15" t="s">
        <v>62</v>
      </c>
      <c r="J245" s="15" t="s">
        <v>988</v>
      </c>
      <c r="M245" s="15" t="s">
        <v>113</v>
      </c>
      <c r="O245" s="16" t="n">
        <v>44203</v>
      </c>
      <c r="P245" s="42" t="s">
        <v>240</v>
      </c>
      <c r="Q245" s="90" t="n">
        <v>2</v>
      </c>
      <c r="R245" s="38" t="n">
        <f aca="false">IFERROR(Q245/VLOOKUP(P245,'Exchange rates to USD'!$L$2:$N$225,3,FALSE()),"")</f>
        <v>2.20533788214838</v>
      </c>
    </row>
    <row r="246" customFormat="false" ht="13.25" hidden="false" customHeight="true" outlineLevel="0" collapsed="false">
      <c r="A246" s="15" t="s">
        <v>989</v>
      </c>
      <c r="B246" s="15" t="s">
        <v>930</v>
      </c>
      <c r="C246" s="15" t="s">
        <v>58</v>
      </c>
      <c r="E246" s="15" t="s">
        <v>116</v>
      </c>
      <c r="F246" s="15" t="s">
        <v>990</v>
      </c>
      <c r="G246" s="15" t="s">
        <v>62</v>
      </c>
      <c r="J246" s="15" t="s">
        <v>991</v>
      </c>
      <c r="M246" s="15" t="s">
        <v>113</v>
      </c>
      <c r="O246" s="16" t="n">
        <v>44203</v>
      </c>
      <c r="P246" s="42" t="s">
        <v>240</v>
      </c>
      <c r="Q246" s="90" t="n">
        <v>8</v>
      </c>
      <c r="R246" s="38" t="n">
        <f aca="false">IFERROR(Q246/VLOOKUP(P246,'Exchange rates to USD'!$L$2:$N$225,3,FALSE()),"")</f>
        <v>8.82135152859351</v>
      </c>
    </row>
    <row r="247" customFormat="false" ht="13.25" hidden="false" customHeight="true" outlineLevel="0" collapsed="false">
      <c r="A247" s="35" t="s">
        <v>992</v>
      </c>
      <c r="B247" s="35" t="s">
        <v>930</v>
      </c>
      <c r="C247" s="35" t="s">
        <v>58</v>
      </c>
      <c r="D247" s="35"/>
      <c r="E247" s="35" t="s">
        <v>116</v>
      </c>
      <c r="F247" s="35" t="s">
        <v>993</v>
      </c>
      <c r="G247" s="35" t="s">
        <v>62</v>
      </c>
      <c r="H247" s="35"/>
      <c r="I247" s="35"/>
      <c r="J247" s="35" t="s">
        <v>994</v>
      </c>
      <c r="K247" s="34" t="s">
        <v>995</v>
      </c>
      <c r="L247" s="35"/>
      <c r="M247" s="35" t="s">
        <v>113</v>
      </c>
      <c r="N247" s="35"/>
      <c r="O247" s="36" t="n">
        <v>44203</v>
      </c>
      <c r="P247" s="91" t="s">
        <v>240</v>
      </c>
      <c r="Q247" s="92" t="n">
        <v>12</v>
      </c>
      <c r="R247" s="38" t="n">
        <f aca="false">IFERROR(Q247/VLOOKUP(P247,'Exchange rates to USD'!$L$2:$N$225,3,FALSE()),"")</f>
        <v>13.2320272928903</v>
      </c>
    </row>
    <row r="248" s="35" customFormat="true" ht="13.25" hidden="false" customHeight="true" outlineLevel="0" collapsed="false">
      <c r="A248" s="15" t="s">
        <v>996</v>
      </c>
      <c r="B248" s="35" t="s">
        <v>930</v>
      </c>
      <c r="C248" s="35" t="s">
        <v>58</v>
      </c>
      <c r="D248" s="35" t="s">
        <v>59</v>
      </c>
      <c r="E248" s="35" t="s">
        <v>997</v>
      </c>
      <c r="F248" s="15" t="s">
        <v>998</v>
      </c>
      <c r="G248" s="35" t="s">
        <v>62</v>
      </c>
      <c r="H248" s="35" t="s">
        <v>110</v>
      </c>
      <c r="J248" s="27" t="s">
        <v>999</v>
      </c>
      <c r="K248" s="15" t="s">
        <v>1000</v>
      </c>
      <c r="L248" s="15"/>
      <c r="M248" s="35" t="s">
        <v>65</v>
      </c>
      <c r="O248" s="16" t="n">
        <v>44154</v>
      </c>
      <c r="P248" s="91" t="s">
        <v>240</v>
      </c>
      <c r="Q248" s="90" t="n">
        <v>24.8</v>
      </c>
      <c r="R248" s="38" t="n">
        <f aca="false">IFERROR(Q248/VLOOKUP(P248,'Exchange rates to USD'!$L$2:$N$225,3,FALSE()),"")</f>
        <v>27.3461897386399</v>
      </c>
      <c r="U248" s="15"/>
      <c r="V248" s="15"/>
      <c r="W248" s="15"/>
    </row>
    <row r="249" s="35" customFormat="true" ht="13.25" hidden="false" customHeight="true" outlineLevel="0" collapsed="false">
      <c r="A249" s="15" t="s">
        <v>1001</v>
      </c>
      <c r="B249" s="35" t="s">
        <v>930</v>
      </c>
      <c r="C249" s="35" t="s">
        <v>249</v>
      </c>
      <c r="D249" s="35" t="s">
        <v>59</v>
      </c>
      <c r="E249" s="35" t="s">
        <v>997</v>
      </c>
      <c r="F249" s="15" t="s">
        <v>1002</v>
      </c>
      <c r="G249" s="35" t="s">
        <v>62</v>
      </c>
      <c r="H249" s="35" t="s">
        <v>110</v>
      </c>
      <c r="J249" s="15" t="s">
        <v>1003</v>
      </c>
      <c r="K249" s="15" t="s">
        <v>1000</v>
      </c>
      <c r="L249" s="15"/>
      <c r="M249" s="35" t="s">
        <v>113</v>
      </c>
      <c r="O249" s="16" t="n">
        <v>44154</v>
      </c>
      <c r="P249" s="91" t="s">
        <v>240</v>
      </c>
      <c r="Q249" s="90" t="n">
        <v>20.75</v>
      </c>
      <c r="R249" s="38" t="n">
        <f aca="false">IFERROR(Q249/VLOOKUP(P249,'Exchange rates to USD'!$L$2:$N$225,3,FALSE()),"")</f>
        <v>22.8803805272894</v>
      </c>
      <c r="U249" s="15"/>
      <c r="V249" s="15"/>
      <c r="W249" s="15"/>
    </row>
    <row r="250" s="35" customFormat="true" ht="13.25" hidden="false" customHeight="true" outlineLevel="0" collapsed="false">
      <c r="A250" s="15" t="s">
        <v>1004</v>
      </c>
      <c r="B250" s="35" t="s">
        <v>930</v>
      </c>
      <c r="C250" s="35" t="s">
        <v>58</v>
      </c>
      <c r="D250" s="35" t="s">
        <v>59</v>
      </c>
      <c r="E250" s="35" t="s">
        <v>60</v>
      </c>
      <c r="F250" s="15" t="s">
        <v>1005</v>
      </c>
      <c r="G250" s="35" t="s">
        <v>62</v>
      </c>
      <c r="J250" s="15" t="s">
        <v>1006</v>
      </c>
      <c r="K250" s="15" t="s">
        <v>1000</v>
      </c>
      <c r="L250" s="15"/>
      <c r="M250" s="35" t="s">
        <v>65</v>
      </c>
      <c r="O250" s="16" t="n">
        <v>44154</v>
      </c>
      <c r="P250" s="91" t="s">
        <v>240</v>
      </c>
      <c r="Q250" s="90" t="n">
        <v>2.9</v>
      </c>
      <c r="R250" s="38" t="n">
        <f aca="false">IFERROR(Q250/VLOOKUP(P250,'Exchange rates to USD'!$L$2:$N$225,3,FALSE()),"")</f>
        <v>3.19773992911515</v>
      </c>
      <c r="U250" s="15"/>
      <c r="V250" s="15"/>
      <c r="W250" s="15"/>
    </row>
    <row r="251" s="35" customFormat="true" ht="13.25" hidden="false" customHeight="true" outlineLevel="0" collapsed="false">
      <c r="A251" s="35" t="s">
        <v>1007</v>
      </c>
      <c r="B251" s="35" t="s">
        <v>930</v>
      </c>
      <c r="C251" s="35" t="s">
        <v>58</v>
      </c>
      <c r="D251" s="35" t="s">
        <v>59</v>
      </c>
      <c r="E251" s="35" t="s">
        <v>90</v>
      </c>
      <c r="F251" s="15" t="s">
        <v>977</v>
      </c>
      <c r="G251" s="35" t="s">
        <v>62</v>
      </c>
      <c r="H251" s="35" t="s">
        <v>62</v>
      </c>
      <c r="J251" s="15" t="s">
        <v>1008</v>
      </c>
      <c r="K251" s="15" t="s">
        <v>1000</v>
      </c>
      <c r="L251" s="15"/>
      <c r="M251" s="35" t="s">
        <v>93</v>
      </c>
      <c r="O251" s="16" t="n">
        <v>44154</v>
      </c>
      <c r="P251" s="91" t="s">
        <v>240</v>
      </c>
      <c r="Q251" s="90" t="n">
        <v>10</v>
      </c>
      <c r="R251" s="38" t="n">
        <f aca="false">IFERROR(Q251/VLOOKUP(P251,'Exchange rates to USD'!$L$2:$N$225,3,FALSE()),"")</f>
        <v>11.0266894107419</v>
      </c>
      <c r="U251" s="15"/>
      <c r="V251" s="15"/>
      <c r="W251" s="15"/>
    </row>
    <row r="252" s="35" customFormat="true" ht="13.25" hidden="false" customHeight="true" outlineLevel="0" collapsed="false">
      <c r="A252" s="15" t="s">
        <v>1009</v>
      </c>
      <c r="B252" s="35" t="s">
        <v>930</v>
      </c>
      <c r="C252" s="35" t="s">
        <v>249</v>
      </c>
      <c r="D252" s="35" t="s">
        <v>80</v>
      </c>
      <c r="F252" s="15" t="s">
        <v>965</v>
      </c>
      <c r="G252" s="35" t="s">
        <v>62</v>
      </c>
      <c r="H252" s="35" t="s">
        <v>62</v>
      </c>
      <c r="I252" s="35" t="s">
        <v>105</v>
      </c>
      <c r="J252" s="27" t="s">
        <v>1010</v>
      </c>
      <c r="K252" s="15" t="s">
        <v>1000</v>
      </c>
      <c r="L252" s="15"/>
      <c r="M252" s="35" t="s">
        <v>93</v>
      </c>
      <c r="O252" s="16" t="n">
        <v>44154</v>
      </c>
      <c r="P252" s="91" t="s">
        <v>240</v>
      </c>
      <c r="Q252" s="90" t="n">
        <v>20</v>
      </c>
      <c r="R252" s="38" t="n">
        <f aca="false">IFERROR(Q252/VLOOKUP(P252,'Exchange rates to USD'!$L$2:$N$225,3,FALSE()),"")</f>
        <v>22.0533788214838</v>
      </c>
      <c r="U252" s="15"/>
      <c r="V252" s="15"/>
      <c r="W252" s="15"/>
    </row>
    <row r="253" s="35" customFormat="true" ht="13.25" hidden="false" customHeight="true" outlineLevel="0" collapsed="false">
      <c r="A253" s="15" t="s">
        <v>1011</v>
      </c>
      <c r="B253" s="35" t="s">
        <v>930</v>
      </c>
      <c r="C253" s="35" t="s">
        <v>58</v>
      </c>
      <c r="D253" s="35" t="s">
        <v>59</v>
      </c>
      <c r="E253" s="35" t="s">
        <v>60</v>
      </c>
      <c r="F253" s="15" t="s">
        <v>1012</v>
      </c>
      <c r="G253" s="35" t="s">
        <v>62</v>
      </c>
      <c r="J253" s="15" t="s">
        <v>1013</v>
      </c>
      <c r="K253" s="15" t="s">
        <v>1000</v>
      </c>
      <c r="L253" s="34" t="s">
        <v>1014</v>
      </c>
      <c r="M253" s="35" t="s">
        <v>65</v>
      </c>
      <c r="O253" s="16" t="n">
        <v>44154</v>
      </c>
      <c r="P253" s="91" t="s">
        <v>240</v>
      </c>
      <c r="Q253" s="90" t="n">
        <v>700</v>
      </c>
      <c r="R253" s="38" t="n">
        <f aca="false">IFERROR(Q253/VLOOKUP(P253,'Exchange rates to USD'!$L$2:$N$225,3,FALSE()),"")</f>
        <v>771.868258751932</v>
      </c>
      <c r="U253" s="15"/>
      <c r="V253" s="15"/>
      <c r="W253" s="15"/>
    </row>
    <row r="254" s="35" customFormat="true" ht="13.25" hidden="false" customHeight="true" outlineLevel="0" collapsed="false">
      <c r="A254" s="55" t="s">
        <v>1015</v>
      </c>
      <c r="B254" s="55" t="s">
        <v>930</v>
      </c>
      <c r="C254" s="55" t="s">
        <v>58</v>
      </c>
      <c r="D254" s="55" t="s">
        <v>59</v>
      </c>
      <c r="E254" s="55" t="s">
        <v>60</v>
      </c>
      <c r="F254" s="55" t="s">
        <v>1016</v>
      </c>
      <c r="G254" s="55" t="s">
        <v>62</v>
      </c>
      <c r="H254" s="55"/>
      <c r="I254" s="55"/>
      <c r="J254" s="55" t="s">
        <v>1017</v>
      </c>
      <c r="K254" s="55" t="s">
        <v>1000</v>
      </c>
      <c r="L254" s="93" t="s">
        <v>1018</v>
      </c>
      <c r="M254" s="55" t="s">
        <v>65</v>
      </c>
      <c r="N254" s="55"/>
      <c r="O254" s="56" t="n">
        <v>44154</v>
      </c>
      <c r="P254" s="94" t="s">
        <v>240</v>
      </c>
      <c r="Q254" s="95" t="n">
        <v>599.999999</v>
      </c>
      <c r="R254" s="58" t="n">
        <f aca="false">IFERROR(Q254/VLOOKUP(P254,'Exchange rates to USD'!$L$2:$N$225,3,FALSE()),"")</f>
        <v>661.601363541844</v>
      </c>
      <c r="U254" s="15"/>
      <c r="V254" s="15"/>
      <c r="W254" s="15"/>
    </row>
    <row r="255" customFormat="false" ht="13.25" hidden="false" customHeight="true" outlineLevel="0" collapsed="false">
      <c r="A255" s="96" t="s">
        <v>1019</v>
      </c>
      <c r="B255" s="15" t="s">
        <v>1020</v>
      </c>
      <c r="C255" s="15" t="s">
        <v>249</v>
      </c>
      <c r="D255" s="15" t="s">
        <v>59</v>
      </c>
      <c r="E255" s="15" t="s">
        <v>90</v>
      </c>
      <c r="F255" s="15" t="s">
        <v>1021</v>
      </c>
      <c r="G255" s="15" t="s">
        <v>62</v>
      </c>
      <c r="H255" s="15" t="s">
        <v>110</v>
      </c>
      <c r="J255" s="15" t="s">
        <v>1022</v>
      </c>
      <c r="K255" s="15" t="s">
        <v>1023</v>
      </c>
      <c r="M255" s="15" t="s">
        <v>93</v>
      </c>
      <c r="N255" s="15" t="s">
        <v>1024</v>
      </c>
      <c r="O255" s="16" t="n">
        <v>44266</v>
      </c>
      <c r="P255" s="15" t="s">
        <v>240</v>
      </c>
      <c r="Q255" s="17" t="n">
        <v>690</v>
      </c>
      <c r="R255" s="38" t="n">
        <f aca="false">IFERROR(Q255/VLOOKUP(P255,'Exchange rates to USD'!$L$2:$N$225,3,FALSE()),"")</f>
        <v>760.84156934119</v>
      </c>
      <c r="X255" s="17"/>
    </row>
    <row r="256" customFormat="false" ht="13.25" hidden="false" customHeight="true" outlineLevel="0" collapsed="false">
      <c r="A256" s="35" t="s">
        <v>1025</v>
      </c>
      <c r="B256" s="15" t="s">
        <v>1020</v>
      </c>
      <c r="C256" s="15" t="s">
        <v>249</v>
      </c>
      <c r="D256" s="15" t="s">
        <v>59</v>
      </c>
      <c r="E256" s="15" t="s">
        <v>233</v>
      </c>
      <c r="F256" s="15" t="s">
        <v>1026</v>
      </c>
      <c r="G256" s="15" t="s">
        <v>62</v>
      </c>
      <c r="H256" s="15" t="s">
        <v>110</v>
      </c>
      <c r="J256" s="15" t="s">
        <v>1027</v>
      </c>
      <c r="M256" s="15" t="s">
        <v>93</v>
      </c>
      <c r="O256" s="16" t="n">
        <v>44266</v>
      </c>
      <c r="P256" s="15" t="s">
        <v>240</v>
      </c>
      <c r="Q256" s="17" t="n">
        <v>150</v>
      </c>
      <c r="R256" s="38" t="n">
        <f aca="false">IFERROR(Q256/VLOOKUP(P256,'Exchange rates to USD'!$L$2:$N$225,3,FALSE()),"")</f>
        <v>165.400341161128</v>
      </c>
    </row>
    <row r="257" customFormat="false" ht="13.25" hidden="false" customHeight="true" outlineLevel="0" collapsed="false">
      <c r="A257" s="35" t="s">
        <v>1028</v>
      </c>
      <c r="B257" s="15" t="s">
        <v>1020</v>
      </c>
      <c r="C257" s="15" t="s">
        <v>232</v>
      </c>
      <c r="D257" s="15" t="s">
        <v>59</v>
      </c>
      <c r="E257" s="15" t="s">
        <v>233</v>
      </c>
      <c r="F257" s="15" t="s">
        <v>957</v>
      </c>
      <c r="G257" s="15" t="s">
        <v>62</v>
      </c>
      <c r="H257" s="15" t="s">
        <v>110</v>
      </c>
      <c r="J257" s="15" t="s">
        <v>1029</v>
      </c>
      <c r="M257" s="15" t="s">
        <v>93</v>
      </c>
      <c r="N257" s="15" t="s">
        <v>1030</v>
      </c>
      <c r="O257" s="16" t="n">
        <v>44266</v>
      </c>
      <c r="P257" s="15" t="s">
        <v>240</v>
      </c>
      <c r="Q257" s="17" t="n">
        <v>100</v>
      </c>
      <c r="R257" s="38" t="n">
        <f aca="false">IFERROR(Q257/VLOOKUP(P257,'Exchange rates to USD'!$L$2:$N$225,3,FALSE()),"")</f>
        <v>110.266894107419</v>
      </c>
    </row>
    <row r="258" customFormat="false" ht="13.25" hidden="false" customHeight="true" outlineLevel="0" collapsed="false">
      <c r="A258" s="35" t="s">
        <v>1031</v>
      </c>
      <c r="B258" s="15" t="s">
        <v>1020</v>
      </c>
      <c r="C258" s="15" t="s">
        <v>58</v>
      </c>
      <c r="D258" s="15" t="s">
        <v>59</v>
      </c>
      <c r="E258" s="15" t="s">
        <v>233</v>
      </c>
      <c r="F258" s="15" t="s">
        <v>1032</v>
      </c>
      <c r="G258" s="15" t="s">
        <v>62</v>
      </c>
      <c r="H258" s="15" t="s">
        <v>110</v>
      </c>
      <c r="J258" s="15" t="s">
        <v>1033</v>
      </c>
      <c r="K258" s="15" t="s">
        <v>1023</v>
      </c>
      <c r="M258" s="15" t="s">
        <v>113</v>
      </c>
      <c r="N258" s="15" t="s">
        <v>1024</v>
      </c>
      <c r="O258" s="16" t="n">
        <v>44266</v>
      </c>
      <c r="P258" s="15" t="s">
        <v>240</v>
      </c>
      <c r="Q258" s="17" t="n">
        <v>5000</v>
      </c>
      <c r="R258" s="38" t="n">
        <f aca="false">IFERROR(Q258/VLOOKUP(P258,'Exchange rates to USD'!$L$2:$N$225,3,FALSE()),"")</f>
        <v>5513.34470537094</v>
      </c>
    </row>
    <row r="259" customFormat="false" ht="13.25" hidden="false" customHeight="true" outlineLevel="0" collapsed="false">
      <c r="A259" s="35" t="s">
        <v>1034</v>
      </c>
      <c r="B259" s="15" t="s">
        <v>1020</v>
      </c>
      <c r="C259" s="15" t="s">
        <v>58</v>
      </c>
      <c r="D259" s="15" t="s">
        <v>59</v>
      </c>
      <c r="E259" s="15" t="s">
        <v>60</v>
      </c>
      <c r="F259" s="15" t="s">
        <v>1035</v>
      </c>
      <c r="G259" s="15" t="s">
        <v>62</v>
      </c>
      <c r="J259" s="15" t="s">
        <v>1036</v>
      </c>
      <c r="K259" s="15" t="s">
        <v>1037</v>
      </c>
      <c r="M259" s="15" t="s">
        <v>113</v>
      </c>
      <c r="N259" s="15" t="s">
        <v>1038</v>
      </c>
      <c r="O259" s="16" t="s">
        <v>1039</v>
      </c>
      <c r="P259" s="15" t="s">
        <v>240</v>
      </c>
      <c r="Q259" s="17" t="n">
        <v>7000</v>
      </c>
      <c r="R259" s="38" t="n">
        <f aca="false">IFERROR(Q259/VLOOKUP(P259,'Exchange rates to USD'!$L$2:$N$225,3,FALSE()),"")</f>
        <v>7718.68258751932</v>
      </c>
    </row>
    <row r="260" customFormat="false" ht="13.25" hidden="false" customHeight="true" outlineLevel="0" collapsed="false">
      <c r="A260" s="35" t="s">
        <v>1040</v>
      </c>
      <c r="B260" s="15" t="s">
        <v>1020</v>
      </c>
      <c r="C260" s="15" t="s">
        <v>58</v>
      </c>
      <c r="D260" s="15" t="s">
        <v>59</v>
      </c>
      <c r="E260" s="15" t="s">
        <v>233</v>
      </c>
      <c r="F260" s="15" t="s">
        <v>1041</v>
      </c>
      <c r="G260" s="15" t="s">
        <v>62</v>
      </c>
      <c r="H260" s="15" t="s">
        <v>110</v>
      </c>
      <c r="J260" s="15" t="s">
        <v>1042</v>
      </c>
      <c r="K260" s="15" t="s">
        <v>1043</v>
      </c>
      <c r="M260" s="15" t="s">
        <v>93</v>
      </c>
      <c r="N260" s="34" t="s">
        <v>1043</v>
      </c>
      <c r="O260" s="16" t="n">
        <v>44266</v>
      </c>
      <c r="P260" s="15" t="s">
        <v>240</v>
      </c>
      <c r="Q260" s="17" t="n">
        <v>60</v>
      </c>
      <c r="R260" s="38" t="n">
        <f aca="false">IFERROR(Q260/VLOOKUP(P260,'Exchange rates to USD'!$L$2:$N$225,3,FALSE()),"")</f>
        <v>66.1601364644513</v>
      </c>
    </row>
    <row r="261" customFormat="false" ht="13.25" hidden="false" customHeight="true" outlineLevel="0" collapsed="false">
      <c r="A261" s="35" t="s">
        <v>1044</v>
      </c>
      <c r="B261" s="15" t="s">
        <v>1020</v>
      </c>
      <c r="C261" s="15" t="s">
        <v>58</v>
      </c>
      <c r="D261" s="15" t="s">
        <v>59</v>
      </c>
      <c r="E261" s="15" t="s">
        <v>116</v>
      </c>
      <c r="F261" s="15" t="s">
        <v>1045</v>
      </c>
      <c r="G261" s="15" t="s">
        <v>62</v>
      </c>
      <c r="H261" s="15" t="s">
        <v>110</v>
      </c>
      <c r="J261" s="15" t="s">
        <v>1046</v>
      </c>
      <c r="K261" s="15" t="s">
        <v>1047</v>
      </c>
      <c r="L261" s="15" t="s">
        <v>1047</v>
      </c>
      <c r="M261" s="15" t="s">
        <v>93</v>
      </c>
      <c r="N261" s="15" t="s">
        <v>1048</v>
      </c>
      <c r="O261" s="16" t="s">
        <v>1039</v>
      </c>
      <c r="P261" s="15" t="s">
        <v>240</v>
      </c>
      <c r="Q261" s="17" t="n">
        <v>4000</v>
      </c>
      <c r="R261" s="38" t="n">
        <f aca="false">IFERROR(Q261/VLOOKUP(P261,'Exchange rates to USD'!$L$2:$N$225,3,FALSE()),"")</f>
        <v>4410.67576429675</v>
      </c>
    </row>
    <row r="262" customFormat="false" ht="13.25" hidden="false" customHeight="true" outlineLevel="0" collapsed="false">
      <c r="A262" s="35" t="s">
        <v>1049</v>
      </c>
      <c r="B262" s="15" t="s">
        <v>1020</v>
      </c>
      <c r="C262" s="15" t="s">
        <v>58</v>
      </c>
      <c r="D262" s="15" t="s">
        <v>59</v>
      </c>
      <c r="E262" s="15" t="s">
        <v>116</v>
      </c>
      <c r="F262" s="15" t="s">
        <v>1050</v>
      </c>
      <c r="G262" s="15" t="s">
        <v>62</v>
      </c>
      <c r="H262" s="15" t="s">
        <v>110</v>
      </c>
      <c r="J262" s="15" t="s">
        <v>1051</v>
      </c>
      <c r="K262" s="15" t="s">
        <v>1047</v>
      </c>
      <c r="L262" s="15" t="s">
        <v>1047</v>
      </c>
      <c r="M262" s="15" t="s">
        <v>93</v>
      </c>
      <c r="N262" s="15" t="s">
        <v>1048</v>
      </c>
      <c r="O262" s="16" t="s">
        <v>1039</v>
      </c>
      <c r="P262" s="15" t="s">
        <v>240</v>
      </c>
      <c r="Q262" s="17" t="n">
        <v>500</v>
      </c>
      <c r="R262" s="38" t="n">
        <f aca="false">IFERROR(Q262/VLOOKUP(P262,'Exchange rates to USD'!$L$2:$N$225,3,FALSE()),"")</f>
        <v>551.334470537094</v>
      </c>
    </row>
    <row r="263" customFormat="false" ht="13.25" hidden="false" customHeight="true" outlineLevel="0" collapsed="false">
      <c r="A263" s="35" t="s">
        <v>1052</v>
      </c>
      <c r="B263" s="15" t="s">
        <v>1020</v>
      </c>
      <c r="C263" s="15" t="s">
        <v>58</v>
      </c>
      <c r="D263" s="15" t="s">
        <v>59</v>
      </c>
      <c r="E263" s="15" t="s">
        <v>116</v>
      </c>
      <c r="F263" s="15" t="s">
        <v>1053</v>
      </c>
      <c r="G263" s="15" t="s">
        <v>62</v>
      </c>
      <c r="H263" s="15" t="s">
        <v>110</v>
      </c>
      <c r="J263" s="15" t="s">
        <v>1054</v>
      </c>
      <c r="K263" s="15" t="s">
        <v>1047</v>
      </c>
      <c r="L263" s="15" t="s">
        <v>1047</v>
      </c>
      <c r="M263" s="15" t="s">
        <v>93</v>
      </c>
      <c r="N263" s="15" t="s">
        <v>1048</v>
      </c>
      <c r="O263" s="16" t="s">
        <v>1039</v>
      </c>
      <c r="P263" s="15" t="s">
        <v>240</v>
      </c>
      <c r="Q263" s="17" t="n">
        <v>200</v>
      </c>
      <c r="R263" s="38" t="n">
        <f aca="false">IFERROR(Q263/VLOOKUP(P263,'Exchange rates to USD'!$L$2:$N$225,3,FALSE()),"")</f>
        <v>220.533788214838</v>
      </c>
    </row>
    <row r="264" customFormat="false" ht="13.25" hidden="false" customHeight="true" outlineLevel="0" collapsed="false">
      <c r="A264" s="35" t="s">
        <v>1055</v>
      </c>
      <c r="B264" s="15" t="s">
        <v>1020</v>
      </c>
      <c r="C264" s="15" t="s">
        <v>58</v>
      </c>
      <c r="D264" s="15" t="s">
        <v>59</v>
      </c>
      <c r="E264" s="15" t="s">
        <v>116</v>
      </c>
      <c r="F264" s="15" t="s">
        <v>1056</v>
      </c>
      <c r="G264" s="15" t="s">
        <v>62</v>
      </c>
      <c r="H264" s="15" t="s">
        <v>110</v>
      </c>
      <c r="J264" s="15" t="s">
        <v>1057</v>
      </c>
      <c r="K264" s="15" t="s">
        <v>1047</v>
      </c>
      <c r="L264" s="15" t="s">
        <v>1047</v>
      </c>
      <c r="M264" s="15" t="s">
        <v>93</v>
      </c>
      <c r="N264" s="15" t="s">
        <v>1048</v>
      </c>
      <c r="O264" s="16" t="s">
        <v>1039</v>
      </c>
      <c r="P264" s="15" t="s">
        <v>240</v>
      </c>
      <c r="Q264" s="17" t="n">
        <v>2000</v>
      </c>
      <c r="R264" s="38" t="n">
        <f aca="false">IFERROR(Q264/VLOOKUP(P264,'Exchange rates to USD'!$L$2:$N$225,3,FALSE()),"")</f>
        <v>2205.33788214838</v>
      </c>
    </row>
    <row r="265" customFormat="false" ht="13.25" hidden="false" customHeight="true" outlineLevel="0" collapsed="false">
      <c r="A265" s="35" t="s">
        <v>1058</v>
      </c>
      <c r="B265" s="15" t="s">
        <v>1020</v>
      </c>
      <c r="C265" s="15" t="s">
        <v>75</v>
      </c>
      <c r="D265" s="15" t="s">
        <v>59</v>
      </c>
      <c r="E265" s="15" t="s">
        <v>76</v>
      </c>
      <c r="F265" s="15" t="s">
        <v>1059</v>
      </c>
      <c r="G265" s="15" t="s">
        <v>77</v>
      </c>
      <c r="H265" s="15" t="s">
        <v>62</v>
      </c>
      <c r="J265" s="15" t="s">
        <v>1060</v>
      </c>
      <c r="K265" s="15" t="s">
        <v>1047</v>
      </c>
      <c r="M265" s="15" t="s">
        <v>93</v>
      </c>
      <c r="N265" s="15" t="s">
        <v>1048</v>
      </c>
      <c r="O265" s="16" t="s">
        <v>1039</v>
      </c>
      <c r="P265" s="15" t="s">
        <v>240</v>
      </c>
      <c r="Q265" s="17" t="n">
        <v>650</v>
      </c>
      <c r="R265" s="38" t="n">
        <f aca="false">IFERROR(Q265/VLOOKUP(P265,'Exchange rates to USD'!$L$2:$N$225,3,FALSE()),"")</f>
        <v>716.734811698222</v>
      </c>
    </row>
    <row r="266" customFormat="false" ht="13.25" hidden="false" customHeight="true" outlineLevel="0" collapsed="false">
      <c r="A266" s="35" t="s">
        <v>1061</v>
      </c>
      <c r="B266" s="15" t="s">
        <v>1020</v>
      </c>
      <c r="C266" s="15" t="s">
        <v>58</v>
      </c>
      <c r="D266" s="15" t="s">
        <v>59</v>
      </c>
      <c r="E266" s="15" t="s">
        <v>76</v>
      </c>
      <c r="F266" s="15" t="s">
        <v>1062</v>
      </c>
      <c r="G266" s="15" t="s">
        <v>77</v>
      </c>
      <c r="H266" s="15" t="s">
        <v>158</v>
      </c>
      <c r="J266" s="15" t="s">
        <v>1063</v>
      </c>
      <c r="K266" s="15" t="s">
        <v>1047</v>
      </c>
      <c r="M266" s="15" t="s">
        <v>93</v>
      </c>
      <c r="N266" s="15" t="s">
        <v>1048</v>
      </c>
      <c r="O266" s="16" t="n">
        <v>44266</v>
      </c>
      <c r="P266" s="15" t="s">
        <v>240</v>
      </c>
      <c r="Q266" s="17" t="n">
        <v>300</v>
      </c>
      <c r="R266" s="38" t="n">
        <f aca="false">IFERROR(Q266/VLOOKUP(P266,'Exchange rates to USD'!$L$2:$N$225,3,FALSE()),"")</f>
        <v>330.800682322256</v>
      </c>
    </row>
    <row r="267" customFormat="false" ht="13.25" hidden="false" customHeight="true" outlineLevel="0" collapsed="false">
      <c r="A267" s="35" t="s">
        <v>1064</v>
      </c>
      <c r="B267" s="15" t="s">
        <v>1020</v>
      </c>
      <c r="C267" s="15" t="s">
        <v>58</v>
      </c>
      <c r="D267" s="15" t="s">
        <v>59</v>
      </c>
      <c r="E267" s="15" t="s">
        <v>149</v>
      </c>
      <c r="F267" s="15" t="s">
        <v>1062</v>
      </c>
      <c r="G267" s="15" t="s">
        <v>97</v>
      </c>
      <c r="H267" s="15" t="s">
        <v>77</v>
      </c>
      <c r="I267" s="15" t="s">
        <v>158</v>
      </c>
      <c r="J267" s="15" t="s">
        <v>1065</v>
      </c>
      <c r="K267" s="15" t="s">
        <v>1047</v>
      </c>
      <c r="M267" s="15" t="s">
        <v>93</v>
      </c>
      <c r="N267" s="15" t="s">
        <v>1048</v>
      </c>
      <c r="O267" s="16" t="n">
        <v>44266</v>
      </c>
      <c r="P267" s="15" t="s">
        <v>240</v>
      </c>
      <c r="Q267" s="17" t="n">
        <v>300</v>
      </c>
      <c r="R267" s="38" t="n">
        <f aca="false">IFERROR(Q267/VLOOKUP(P267,'Exchange rates to USD'!$L$2:$N$225,3,FALSE()),"")</f>
        <v>330.800682322256</v>
      </c>
    </row>
    <row r="268" customFormat="false" ht="13.25" hidden="false" customHeight="true" outlineLevel="0" collapsed="false">
      <c r="A268" s="35" t="s">
        <v>1066</v>
      </c>
      <c r="B268" s="15" t="s">
        <v>1020</v>
      </c>
      <c r="C268" s="59" t="s">
        <v>58</v>
      </c>
      <c r="D268" s="15" t="s">
        <v>59</v>
      </c>
      <c r="E268" s="15" t="s">
        <v>90</v>
      </c>
      <c r="F268" s="15" t="s">
        <v>1067</v>
      </c>
      <c r="G268" s="15" t="s">
        <v>62</v>
      </c>
      <c r="J268" s="15" t="s">
        <v>1068</v>
      </c>
      <c r="K268" s="15" t="s">
        <v>1047</v>
      </c>
      <c r="M268" s="15" t="s">
        <v>93</v>
      </c>
      <c r="N268" s="15" t="s">
        <v>1048</v>
      </c>
      <c r="O268" s="16" t="n">
        <v>44266</v>
      </c>
      <c r="P268" s="15" t="s">
        <v>240</v>
      </c>
      <c r="Q268" s="17" t="n">
        <v>1200</v>
      </c>
      <c r="R268" s="38" t="n">
        <f aca="false">IFERROR(Q268/VLOOKUP(P268,'Exchange rates to USD'!$L$2:$N$225,3,FALSE()),"")</f>
        <v>1323.20272928903</v>
      </c>
    </row>
    <row r="269" customFormat="false" ht="13.25" hidden="false" customHeight="true" outlineLevel="0" collapsed="false">
      <c r="A269" s="35" t="s">
        <v>1069</v>
      </c>
      <c r="B269" s="15" t="s">
        <v>1020</v>
      </c>
      <c r="C269" s="59" t="s">
        <v>58</v>
      </c>
      <c r="D269" s="15" t="s">
        <v>59</v>
      </c>
      <c r="E269" s="15" t="s">
        <v>90</v>
      </c>
      <c r="F269" s="15" t="s">
        <v>1070</v>
      </c>
      <c r="G269" s="15" t="s">
        <v>96</v>
      </c>
      <c r="H269" s="15" t="s">
        <v>62</v>
      </c>
      <c r="I269" s="15" t="s">
        <v>105</v>
      </c>
      <c r="J269" s="15" t="s">
        <v>1071</v>
      </c>
      <c r="M269" s="15" t="s">
        <v>93</v>
      </c>
      <c r="N269" s="15" t="s">
        <v>1048</v>
      </c>
      <c r="O269" s="16" t="n">
        <v>44266</v>
      </c>
      <c r="P269" s="15" t="s">
        <v>240</v>
      </c>
      <c r="Q269" s="17" t="n">
        <v>226</v>
      </c>
      <c r="R269" s="38" t="n">
        <f aca="false">IFERROR(Q269/VLOOKUP(P269,'Exchange rates to USD'!$L$2:$N$225,3,FALSE()),"")</f>
        <v>249.203180682767</v>
      </c>
    </row>
    <row r="270" customFormat="false" ht="13.25" hidden="false" customHeight="true" outlineLevel="0" collapsed="false">
      <c r="A270" s="35" t="s">
        <v>1072</v>
      </c>
      <c r="B270" s="15" t="s">
        <v>1020</v>
      </c>
      <c r="C270" s="59" t="s">
        <v>58</v>
      </c>
      <c r="D270" s="15" t="s">
        <v>59</v>
      </c>
      <c r="E270" s="15" t="s">
        <v>90</v>
      </c>
      <c r="F270" s="15" t="s">
        <v>1073</v>
      </c>
      <c r="G270" s="15" t="s">
        <v>96</v>
      </c>
      <c r="H270" s="15" t="s">
        <v>62</v>
      </c>
      <c r="I270" s="15" t="s">
        <v>105</v>
      </c>
      <c r="J270" s="15" t="s">
        <v>1074</v>
      </c>
      <c r="K270" s="15" t="s">
        <v>1047</v>
      </c>
      <c r="M270" s="15" t="s">
        <v>93</v>
      </c>
      <c r="N270" s="15" t="s">
        <v>1048</v>
      </c>
      <c r="O270" s="16" t="n">
        <v>44266</v>
      </c>
      <c r="P270" s="15" t="s">
        <v>240</v>
      </c>
      <c r="Q270" s="17" t="n">
        <v>274</v>
      </c>
      <c r="R270" s="38" t="n">
        <f aca="false">IFERROR(Q270/VLOOKUP(P270,'Exchange rates to USD'!$L$2:$N$225,3,FALSE()),"")</f>
        <v>302.131289854328</v>
      </c>
    </row>
    <row r="271" customFormat="false" ht="13.25" hidden="false" customHeight="true" outlineLevel="0" collapsed="false">
      <c r="A271" s="35" t="s">
        <v>1075</v>
      </c>
      <c r="B271" s="15" t="s">
        <v>1020</v>
      </c>
      <c r="C271" s="59" t="s">
        <v>232</v>
      </c>
      <c r="D271" s="15" t="s">
        <v>59</v>
      </c>
      <c r="E271" s="15" t="s">
        <v>123</v>
      </c>
      <c r="F271" s="15" t="s">
        <v>1076</v>
      </c>
      <c r="G271" s="15" t="s">
        <v>77</v>
      </c>
      <c r="H271" s="15" t="s">
        <v>62</v>
      </c>
      <c r="I271" s="15" t="s">
        <v>158</v>
      </c>
      <c r="J271" s="15" t="s">
        <v>1077</v>
      </c>
      <c r="K271" s="15" t="s">
        <v>1047</v>
      </c>
      <c r="M271" s="15" t="s">
        <v>93</v>
      </c>
      <c r="N271" s="15" t="s">
        <v>1048</v>
      </c>
      <c r="O271" s="16" t="s">
        <v>1039</v>
      </c>
      <c r="P271" s="15" t="s">
        <v>240</v>
      </c>
      <c r="Q271" s="17" t="n">
        <v>400</v>
      </c>
      <c r="R271" s="38" t="n">
        <f aca="false">IFERROR(Q271/VLOOKUP(P271,'Exchange rates to USD'!$L$2:$N$225,3,FALSE()),"")</f>
        <v>441.067576429675</v>
      </c>
    </row>
    <row r="272" customFormat="false" ht="13.25" hidden="false" customHeight="true" outlineLevel="0" collapsed="false">
      <c r="A272" s="35" t="s">
        <v>1078</v>
      </c>
      <c r="B272" s="15" t="s">
        <v>1020</v>
      </c>
      <c r="C272" s="59" t="s">
        <v>58</v>
      </c>
      <c r="D272" s="15" t="s">
        <v>59</v>
      </c>
      <c r="E272" s="15" t="s">
        <v>123</v>
      </c>
      <c r="F272" s="15" t="s">
        <v>957</v>
      </c>
      <c r="G272" s="15" t="s">
        <v>62</v>
      </c>
      <c r="H272" s="15" t="s">
        <v>77</v>
      </c>
      <c r="J272" s="15" t="s">
        <v>1079</v>
      </c>
      <c r="K272" s="34" t="s">
        <v>1047</v>
      </c>
      <c r="M272" s="15" t="s">
        <v>93</v>
      </c>
      <c r="N272" s="15" t="s">
        <v>1048</v>
      </c>
      <c r="O272" s="61" t="n">
        <v>44266</v>
      </c>
      <c r="P272" s="15" t="s">
        <v>240</v>
      </c>
      <c r="Q272" s="17" t="n">
        <v>100</v>
      </c>
      <c r="R272" s="38" t="n">
        <f aca="false">IFERROR(Q272/VLOOKUP(P272,'Exchange rates to USD'!$L$2:$N$225,3,FALSE()),"")</f>
        <v>110.266894107419</v>
      </c>
    </row>
    <row r="273" customFormat="false" ht="13.25" hidden="false" customHeight="true" outlineLevel="0" collapsed="false">
      <c r="A273" s="35" t="s">
        <v>1080</v>
      </c>
      <c r="B273" s="15" t="s">
        <v>1020</v>
      </c>
      <c r="C273" s="59" t="s">
        <v>232</v>
      </c>
      <c r="D273" s="15" t="s">
        <v>59</v>
      </c>
      <c r="E273" s="15" t="s">
        <v>123</v>
      </c>
      <c r="F273" s="15" t="s">
        <v>1081</v>
      </c>
      <c r="G273" s="15" t="s">
        <v>105</v>
      </c>
      <c r="J273" s="15" t="s">
        <v>1082</v>
      </c>
      <c r="K273" s="15" t="s">
        <v>1047</v>
      </c>
      <c r="M273" s="15" t="s">
        <v>70</v>
      </c>
      <c r="N273" s="15" t="s">
        <v>1048</v>
      </c>
      <c r="O273" s="61" t="n">
        <v>44266</v>
      </c>
      <c r="P273" s="15" t="s">
        <v>240</v>
      </c>
      <c r="Q273" s="17" t="n">
        <v>250</v>
      </c>
      <c r="R273" s="38" t="n">
        <f aca="false">IFERROR(Q273/VLOOKUP(P273,'Exchange rates to USD'!$L$2:$N$225,3,FALSE()),"")</f>
        <v>275.667235268547</v>
      </c>
    </row>
    <row r="274" customFormat="false" ht="13.25" hidden="false" customHeight="true" outlineLevel="0" collapsed="false">
      <c r="A274" s="35" t="s">
        <v>1083</v>
      </c>
      <c r="B274" s="15" t="s">
        <v>1020</v>
      </c>
      <c r="C274" s="59" t="s">
        <v>58</v>
      </c>
      <c r="D274" s="15" t="s">
        <v>59</v>
      </c>
      <c r="E274" s="15" t="s">
        <v>123</v>
      </c>
      <c r="F274" s="15" t="s">
        <v>1081</v>
      </c>
      <c r="G274" s="15" t="s">
        <v>77</v>
      </c>
      <c r="H274" s="15" t="s">
        <v>158</v>
      </c>
      <c r="I274" s="15" t="s">
        <v>105</v>
      </c>
      <c r="J274" s="15" t="s">
        <v>1084</v>
      </c>
      <c r="K274" s="15" t="s">
        <v>1047</v>
      </c>
      <c r="M274" s="15" t="s">
        <v>93</v>
      </c>
      <c r="N274" s="15" t="s">
        <v>1048</v>
      </c>
      <c r="O274" s="61" t="n">
        <v>44266</v>
      </c>
      <c r="P274" s="15" t="s">
        <v>240</v>
      </c>
      <c r="Q274" s="17" t="n">
        <v>250</v>
      </c>
      <c r="R274" s="38" t="n">
        <f aca="false">IFERROR(Q274/VLOOKUP(P274,'Exchange rates to USD'!$L$2:$N$225,3,FALSE()),"")</f>
        <v>275.667235268547</v>
      </c>
    </row>
    <row r="275" customFormat="false" ht="13.25" hidden="false" customHeight="true" outlineLevel="0" collapsed="false">
      <c r="A275" s="35" t="s">
        <v>1085</v>
      </c>
      <c r="B275" s="15" t="s">
        <v>1020</v>
      </c>
      <c r="C275" s="59" t="s">
        <v>232</v>
      </c>
      <c r="D275" s="15" t="s">
        <v>59</v>
      </c>
      <c r="E275" s="15" t="s">
        <v>263</v>
      </c>
      <c r="F275" s="15" t="s">
        <v>1086</v>
      </c>
      <c r="G275" s="15" t="s">
        <v>77</v>
      </c>
      <c r="H275" s="15" t="s">
        <v>62</v>
      </c>
      <c r="I275" s="15" t="s">
        <v>158</v>
      </c>
      <c r="J275" s="15" t="s">
        <v>1087</v>
      </c>
      <c r="K275" s="15" t="s">
        <v>1047</v>
      </c>
      <c r="M275" s="15" t="s">
        <v>93</v>
      </c>
      <c r="N275" s="15" t="s">
        <v>1048</v>
      </c>
      <c r="O275" s="61" t="n">
        <v>44266</v>
      </c>
      <c r="P275" s="15" t="s">
        <v>240</v>
      </c>
      <c r="Q275" s="17" t="n">
        <v>200</v>
      </c>
      <c r="R275" s="38" t="n">
        <f aca="false">IFERROR(Q275/VLOOKUP(P275,'Exchange rates to USD'!$L$2:$N$225,3,FALSE()),"")</f>
        <v>220.533788214838</v>
      </c>
    </row>
    <row r="276" customFormat="false" ht="13.25" hidden="false" customHeight="true" outlineLevel="0" collapsed="false">
      <c r="A276" s="35" t="s">
        <v>1088</v>
      </c>
      <c r="B276" s="15" t="s">
        <v>1020</v>
      </c>
      <c r="C276" s="59" t="s">
        <v>58</v>
      </c>
      <c r="D276" s="15" t="s">
        <v>59</v>
      </c>
      <c r="E276" s="15" t="s">
        <v>997</v>
      </c>
      <c r="F276" s="15" t="s">
        <v>1089</v>
      </c>
      <c r="G276" s="15" t="s">
        <v>77</v>
      </c>
      <c r="H276" s="15" t="s">
        <v>62</v>
      </c>
      <c r="J276" s="15" t="s">
        <v>1090</v>
      </c>
      <c r="K276" s="15" t="s">
        <v>1047</v>
      </c>
      <c r="M276" s="15" t="s">
        <v>93</v>
      </c>
      <c r="N276" s="15" t="s">
        <v>1048</v>
      </c>
      <c r="O276" s="16" t="s">
        <v>1039</v>
      </c>
      <c r="P276" s="15" t="s">
        <v>240</v>
      </c>
      <c r="Q276" s="17" t="n">
        <v>50</v>
      </c>
      <c r="R276" s="38" t="n">
        <f aca="false">IFERROR(Q276/VLOOKUP(P276,'Exchange rates to USD'!$L$2:$N$225,3,FALSE()),"")</f>
        <v>55.1334470537094</v>
      </c>
    </row>
    <row r="277" customFormat="false" ht="13.25" hidden="false" customHeight="true" outlineLevel="0" collapsed="false">
      <c r="A277" s="35" t="s">
        <v>1091</v>
      </c>
      <c r="B277" s="15" t="s">
        <v>1020</v>
      </c>
      <c r="C277" s="59" t="s">
        <v>232</v>
      </c>
      <c r="D277" s="15" t="s">
        <v>59</v>
      </c>
      <c r="E277" s="15" t="s">
        <v>997</v>
      </c>
      <c r="F277" s="15" t="s">
        <v>1086</v>
      </c>
      <c r="G277" s="15" t="s">
        <v>62</v>
      </c>
      <c r="J277" s="15" t="s">
        <v>1092</v>
      </c>
      <c r="K277" s="15" t="s">
        <v>1047</v>
      </c>
      <c r="M277" s="15" t="s">
        <v>93</v>
      </c>
      <c r="N277" s="15" t="s">
        <v>1048</v>
      </c>
      <c r="O277" s="16" t="s">
        <v>1039</v>
      </c>
      <c r="P277" s="15" t="s">
        <v>240</v>
      </c>
      <c r="Q277" s="17" t="n">
        <v>200</v>
      </c>
      <c r="R277" s="38" t="n">
        <f aca="false">IFERROR(Q277/VLOOKUP(P277,'Exchange rates to USD'!$L$2:$N$225,3,FALSE()),"")</f>
        <v>220.533788214838</v>
      </c>
    </row>
    <row r="278" customFormat="false" ht="13.25" hidden="false" customHeight="true" outlineLevel="0" collapsed="false">
      <c r="A278" s="35" t="s">
        <v>1093</v>
      </c>
      <c r="B278" s="15" t="s">
        <v>1020</v>
      </c>
      <c r="C278" s="59" t="s">
        <v>232</v>
      </c>
      <c r="D278" s="15" t="s">
        <v>59</v>
      </c>
      <c r="E278" s="15" t="s">
        <v>95</v>
      </c>
      <c r="F278" s="15" t="s">
        <v>1089</v>
      </c>
      <c r="G278" s="15" t="s">
        <v>158</v>
      </c>
      <c r="J278" s="15" t="s">
        <v>1094</v>
      </c>
      <c r="K278" s="15" t="s">
        <v>1047</v>
      </c>
      <c r="M278" s="15" t="s">
        <v>93</v>
      </c>
      <c r="N278" s="15" t="s">
        <v>1048</v>
      </c>
      <c r="O278" s="16" t="s">
        <v>1039</v>
      </c>
      <c r="P278" s="15" t="s">
        <v>240</v>
      </c>
      <c r="Q278" s="17" t="n">
        <v>50</v>
      </c>
      <c r="R278" s="38" t="n">
        <f aca="false">IFERROR(Q278/VLOOKUP(P278,'Exchange rates to USD'!$L$2:$N$225,3,FALSE()),"")</f>
        <v>55.1334470537094</v>
      </c>
    </row>
    <row r="279" customFormat="false" ht="13.25" hidden="false" customHeight="true" outlineLevel="0" collapsed="false">
      <c r="A279" s="35" t="s">
        <v>1095</v>
      </c>
      <c r="B279" s="15" t="s">
        <v>1020</v>
      </c>
      <c r="C279" s="59" t="s">
        <v>232</v>
      </c>
      <c r="D279" s="15" t="s">
        <v>59</v>
      </c>
      <c r="E279" s="15" t="s">
        <v>233</v>
      </c>
      <c r="F279" s="15" t="s">
        <v>1067</v>
      </c>
      <c r="G279" s="15" t="s">
        <v>62</v>
      </c>
      <c r="H279" s="15" t="s">
        <v>110</v>
      </c>
      <c r="J279" s="15" t="s">
        <v>1096</v>
      </c>
      <c r="K279" s="15" t="s">
        <v>1047</v>
      </c>
      <c r="L279" s="15" t="s">
        <v>1097</v>
      </c>
      <c r="M279" s="15" t="s">
        <v>93</v>
      </c>
      <c r="N279" s="15" t="s">
        <v>1048</v>
      </c>
      <c r="O279" s="16" t="s">
        <v>1039</v>
      </c>
      <c r="P279" s="15" t="s">
        <v>240</v>
      </c>
      <c r="Q279" s="17" t="n">
        <v>1200</v>
      </c>
      <c r="R279" s="38" t="n">
        <f aca="false">IFERROR(Q279/VLOOKUP(P279,'Exchange rates to USD'!$L$2:$N$225,3,FALSE()),"")</f>
        <v>1323.20272928903</v>
      </c>
    </row>
    <row r="280" customFormat="false" ht="13.25" hidden="false" customHeight="true" outlineLevel="0" collapsed="false">
      <c r="A280" s="35" t="s">
        <v>1098</v>
      </c>
      <c r="B280" s="15" t="s">
        <v>1020</v>
      </c>
      <c r="C280" s="59" t="s">
        <v>58</v>
      </c>
      <c r="D280" s="15" t="s">
        <v>59</v>
      </c>
      <c r="E280" s="15" t="s">
        <v>233</v>
      </c>
      <c r="F280" s="15" t="s">
        <v>1099</v>
      </c>
      <c r="G280" s="15" t="s">
        <v>62</v>
      </c>
      <c r="H280" s="15" t="s">
        <v>110</v>
      </c>
      <c r="J280" s="15" t="s">
        <v>1100</v>
      </c>
      <c r="K280" s="15" t="s">
        <v>1047</v>
      </c>
      <c r="M280" s="15" t="s">
        <v>93</v>
      </c>
      <c r="N280" s="15" t="s">
        <v>1048</v>
      </c>
      <c r="O280" s="16" t="s">
        <v>1039</v>
      </c>
      <c r="P280" s="15" t="s">
        <v>240</v>
      </c>
      <c r="Q280" s="17" t="n">
        <v>4700</v>
      </c>
      <c r="R280" s="38" t="n">
        <f aca="false">IFERROR(Q280/VLOOKUP(P280,'Exchange rates to USD'!$L$2:$N$225,3,FALSE()),"")</f>
        <v>5182.54402304869</v>
      </c>
    </row>
    <row r="281" customFormat="false" ht="13.25" hidden="false" customHeight="true" outlineLevel="0" collapsed="false">
      <c r="A281" s="35" t="s">
        <v>1101</v>
      </c>
      <c r="B281" s="15" t="s">
        <v>1020</v>
      </c>
      <c r="C281" s="59" t="s">
        <v>58</v>
      </c>
      <c r="D281" s="15" t="s">
        <v>59</v>
      </c>
      <c r="E281" s="15" t="s">
        <v>233</v>
      </c>
      <c r="F281" s="15" t="s">
        <v>1102</v>
      </c>
      <c r="G281" s="15" t="s">
        <v>62</v>
      </c>
      <c r="H281" s="15" t="s">
        <v>110</v>
      </c>
      <c r="J281" s="15" t="s">
        <v>1103</v>
      </c>
      <c r="K281" s="15" t="s">
        <v>1047</v>
      </c>
      <c r="M281" s="15" t="s">
        <v>93</v>
      </c>
      <c r="N281" s="15" t="s">
        <v>1048</v>
      </c>
      <c r="O281" s="16" t="s">
        <v>1039</v>
      </c>
      <c r="P281" s="15" t="s">
        <v>240</v>
      </c>
      <c r="Q281" s="17" t="n">
        <v>550</v>
      </c>
      <c r="R281" s="38" t="n">
        <f aca="false">IFERROR(Q281/VLOOKUP(P281,'Exchange rates to USD'!$L$2:$N$225,3,FALSE()),"")</f>
        <v>606.467917590804</v>
      </c>
    </row>
    <row r="282" customFormat="false" ht="13.25" hidden="false" customHeight="true" outlineLevel="0" collapsed="false">
      <c r="A282" s="35" t="s">
        <v>1104</v>
      </c>
      <c r="B282" s="15" t="s">
        <v>1020</v>
      </c>
      <c r="C282" s="59" t="s">
        <v>58</v>
      </c>
      <c r="D282" s="15" t="s">
        <v>59</v>
      </c>
      <c r="E282" s="15" t="s">
        <v>233</v>
      </c>
      <c r="F282" s="15" t="s">
        <v>910</v>
      </c>
      <c r="G282" s="15" t="s">
        <v>62</v>
      </c>
      <c r="H282" s="15" t="s">
        <v>110</v>
      </c>
      <c r="J282" s="15" t="s">
        <v>1105</v>
      </c>
      <c r="K282" s="15" t="s">
        <v>1047</v>
      </c>
      <c r="M282" s="15" t="s">
        <v>93</v>
      </c>
      <c r="N282" s="15" t="s">
        <v>1106</v>
      </c>
      <c r="O282" s="16" t="s">
        <v>1039</v>
      </c>
      <c r="P282" s="15" t="s">
        <v>240</v>
      </c>
      <c r="Q282" s="17" t="n">
        <v>1900</v>
      </c>
      <c r="R282" s="38" t="n">
        <f aca="false">IFERROR(Q282/VLOOKUP(P282,'Exchange rates to USD'!$L$2:$N$225,3,FALSE()),"")</f>
        <v>2095.07098804096</v>
      </c>
    </row>
    <row r="283" customFormat="false" ht="13.25" hidden="false" customHeight="true" outlineLevel="0" collapsed="false">
      <c r="A283" s="35" t="s">
        <v>1107</v>
      </c>
      <c r="B283" s="15" t="s">
        <v>1020</v>
      </c>
      <c r="C283" s="59" t="s">
        <v>58</v>
      </c>
      <c r="D283" s="15" t="s">
        <v>59</v>
      </c>
      <c r="E283" s="15" t="s">
        <v>233</v>
      </c>
      <c r="F283" s="15" t="s">
        <v>1108</v>
      </c>
      <c r="G283" s="15" t="s">
        <v>62</v>
      </c>
      <c r="H283" s="15" t="s">
        <v>110</v>
      </c>
      <c r="J283" s="15" t="s">
        <v>1109</v>
      </c>
      <c r="K283" s="15" t="s">
        <v>1047</v>
      </c>
      <c r="M283" s="15" t="s">
        <v>93</v>
      </c>
      <c r="N283" s="15" t="s">
        <v>1048</v>
      </c>
      <c r="O283" s="16" t="s">
        <v>1039</v>
      </c>
      <c r="P283" s="15" t="s">
        <v>240</v>
      </c>
      <c r="Q283" s="17" t="n">
        <v>180</v>
      </c>
      <c r="R283" s="38" t="n">
        <f aca="false">IFERROR(Q283/VLOOKUP(P283,'Exchange rates to USD'!$L$2:$N$225,3,FALSE()),"")</f>
        <v>198.480409393354</v>
      </c>
    </row>
    <row r="284" customFormat="false" ht="13.25" hidden="false" customHeight="true" outlineLevel="0" collapsed="false">
      <c r="A284" s="35" t="s">
        <v>1110</v>
      </c>
      <c r="B284" s="15" t="s">
        <v>1020</v>
      </c>
      <c r="C284" s="59" t="s">
        <v>58</v>
      </c>
      <c r="D284" s="15" t="s">
        <v>59</v>
      </c>
      <c r="E284" s="15" t="s">
        <v>95</v>
      </c>
      <c r="F284" s="15" t="s">
        <v>1111</v>
      </c>
      <c r="G284" s="15" t="s">
        <v>62</v>
      </c>
      <c r="H284" s="15" t="s">
        <v>110</v>
      </c>
      <c r="J284" s="15" t="s">
        <v>1112</v>
      </c>
      <c r="K284" s="15" t="s">
        <v>1047</v>
      </c>
      <c r="L284" s="15" t="s">
        <v>1113</v>
      </c>
      <c r="M284" s="15" t="s">
        <v>93</v>
      </c>
      <c r="N284" s="15" t="s">
        <v>1048</v>
      </c>
      <c r="O284" s="16" t="n">
        <v>44266</v>
      </c>
      <c r="P284" s="15" t="s">
        <v>240</v>
      </c>
      <c r="Q284" s="17" t="n">
        <v>2000</v>
      </c>
      <c r="R284" s="38" t="n">
        <f aca="false">IFERROR(Q284/VLOOKUP(P284,'Exchange rates to USD'!$L$2:$N$225,3,FALSE()),"")</f>
        <v>2205.33788214838</v>
      </c>
    </row>
    <row r="285" customFormat="false" ht="13.25" hidden="false" customHeight="true" outlineLevel="0" collapsed="false">
      <c r="A285" s="35" t="s">
        <v>1114</v>
      </c>
      <c r="B285" s="15" t="s">
        <v>1020</v>
      </c>
      <c r="C285" s="59" t="s">
        <v>58</v>
      </c>
      <c r="D285" s="15" t="s">
        <v>59</v>
      </c>
      <c r="E285" s="15" t="s">
        <v>95</v>
      </c>
      <c r="F285" s="15" t="s">
        <v>1086</v>
      </c>
      <c r="G285" s="15" t="s">
        <v>62</v>
      </c>
      <c r="J285" s="15" t="s">
        <v>1115</v>
      </c>
      <c r="K285" s="15" t="s">
        <v>1047</v>
      </c>
      <c r="M285" s="15" t="s">
        <v>93</v>
      </c>
      <c r="N285" s="15" t="s">
        <v>1048</v>
      </c>
      <c r="O285" s="16" t="s">
        <v>1039</v>
      </c>
      <c r="P285" s="15" t="s">
        <v>240</v>
      </c>
      <c r="Q285" s="17" t="n">
        <v>200</v>
      </c>
      <c r="R285" s="38" t="n">
        <f aca="false">IFERROR(Q285/VLOOKUP(P285,'Exchange rates to USD'!$L$2:$N$225,3,FALSE()),"")</f>
        <v>220.533788214838</v>
      </c>
    </row>
    <row r="286" customFormat="false" ht="13.25" hidden="false" customHeight="true" outlineLevel="0" collapsed="false">
      <c r="A286" s="35" t="s">
        <v>1116</v>
      </c>
      <c r="B286" s="15" t="s">
        <v>1020</v>
      </c>
      <c r="C286" s="59" t="s">
        <v>58</v>
      </c>
      <c r="D286" s="15" t="s">
        <v>59</v>
      </c>
      <c r="E286" s="15" t="s">
        <v>60</v>
      </c>
      <c r="F286" s="15" t="s">
        <v>1117</v>
      </c>
      <c r="G286" s="15" t="s">
        <v>62</v>
      </c>
      <c r="J286" s="15" t="s">
        <v>1118</v>
      </c>
      <c r="K286" s="15" t="s">
        <v>1047</v>
      </c>
      <c r="M286" s="15" t="s">
        <v>113</v>
      </c>
      <c r="N286" s="15" t="s">
        <v>1048</v>
      </c>
      <c r="O286" s="16" t="s">
        <v>1039</v>
      </c>
      <c r="P286" s="15" t="s">
        <v>240</v>
      </c>
      <c r="Q286" s="17" t="n">
        <v>2600</v>
      </c>
      <c r="R286" s="38" t="n">
        <f aca="false">IFERROR(Q286/VLOOKUP(P286,'Exchange rates to USD'!$L$2:$N$225,3,FALSE()),"")</f>
        <v>2866.93924679289</v>
      </c>
    </row>
    <row r="287" customFormat="false" ht="13.25" hidden="false" customHeight="true" outlineLevel="0" collapsed="false">
      <c r="A287" s="35" t="s">
        <v>1119</v>
      </c>
      <c r="B287" s="15" t="s">
        <v>1020</v>
      </c>
      <c r="C287" s="59" t="s">
        <v>58</v>
      </c>
      <c r="D287" s="15" t="s">
        <v>59</v>
      </c>
      <c r="E287" s="15" t="s">
        <v>76</v>
      </c>
      <c r="F287" s="15" t="s">
        <v>1120</v>
      </c>
      <c r="G287" s="15" t="s">
        <v>62</v>
      </c>
      <c r="J287" s="15" t="s">
        <v>1121</v>
      </c>
      <c r="K287" s="34" t="s">
        <v>1122</v>
      </c>
      <c r="M287" s="15" t="s">
        <v>93</v>
      </c>
      <c r="N287" s="15" t="s">
        <v>1048</v>
      </c>
      <c r="O287" s="16" t="n">
        <v>44266</v>
      </c>
      <c r="P287" s="15" t="s">
        <v>240</v>
      </c>
      <c r="Q287" s="17" t="n">
        <v>3400</v>
      </c>
      <c r="R287" s="38" t="n">
        <f aca="false">IFERROR(Q287/VLOOKUP(P287,'Exchange rates to USD'!$L$2:$N$225,3,FALSE()),"")</f>
        <v>3749.07439965224</v>
      </c>
    </row>
    <row r="288" customFormat="false" ht="13.25" hidden="false" customHeight="true" outlineLevel="0" collapsed="false">
      <c r="A288" s="55" t="s">
        <v>1123</v>
      </c>
      <c r="B288" s="55" t="s">
        <v>1020</v>
      </c>
      <c r="C288" s="59" t="s">
        <v>58</v>
      </c>
      <c r="D288" s="55" t="s">
        <v>80</v>
      </c>
      <c r="E288" s="55" t="s">
        <v>76</v>
      </c>
      <c r="F288" s="55" t="s">
        <v>1124</v>
      </c>
      <c r="G288" s="55" t="s">
        <v>62</v>
      </c>
      <c r="H288" s="55"/>
      <c r="I288" s="55"/>
      <c r="J288" s="55" t="s">
        <v>1125</v>
      </c>
      <c r="K288" s="55" t="s">
        <v>1047</v>
      </c>
      <c r="L288" s="55"/>
      <c r="M288" s="55" t="s">
        <v>93</v>
      </c>
      <c r="N288" s="55" t="s">
        <v>1048</v>
      </c>
      <c r="O288" s="56" t="s">
        <v>1039</v>
      </c>
      <c r="P288" s="55" t="s">
        <v>240</v>
      </c>
      <c r="Q288" s="60" t="n">
        <v>2500</v>
      </c>
      <c r="R288" s="58" t="n">
        <f aca="false">IFERROR(Q288/VLOOKUP(P288,'Exchange rates to USD'!$L$2:$N$225,3,FALSE()),"")</f>
        <v>2756.67235268547</v>
      </c>
    </row>
    <row r="289" s="39" customFormat="true" ht="15" hidden="false" customHeight="true" outlineLevel="0" collapsed="false">
      <c r="A289" s="79" t="s">
        <v>1126</v>
      </c>
      <c r="B289" s="79" t="s">
        <v>1127</v>
      </c>
      <c r="C289" s="79" t="s">
        <v>122</v>
      </c>
      <c r="D289" s="79" t="s">
        <v>59</v>
      </c>
      <c r="E289" s="79" t="s">
        <v>95</v>
      </c>
      <c r="F289" s="79" t="s">
        <v>1128</v>
      </c>
      <c r="G289" s="79" t="s">
        <v>62</v>
      </c>
      <c r="H289" s="79"/>
      <c r="I289" s="79"/>
      <c r="J289" s="79" t="s">
        <v>1129</v>
      </c>
      <c r="K289" s="97" t="s">
        <v>1130</v>
      </c>
      <c r="L289" s="68"/>
      <c r="M289" s="98" t="s">
        <v>93</v>
      </c>
      <c r="N289" s="68"/>
      <c r="O289" s="68"/>
      <c r="P289" s="42" t="s">
        <v>240</v>
      </c>
      <c r="Q289" s="99"/>
      <c r="R289" s="80" t="n">
        <f aca="false">IFERROR(Q289/VLOOKUP(P289,'Exchange rates to USD'!$L$2:$N$225,3,FALSE()),"")</f>
        <v>0</v>
      </c>
      <c r="U289" s="15"/>
      <c r="V289" s="15"/>
      <c r="W289" s="15"/>
    </row>
    <row r="290" s="39" customFormat="true" ht="15" hidden="false" customHeight="true" outlineLevel="0" collapsed="false">
      <c r="A290" s="79" t="s">
        <v>1131</v>
      </c>
      <c r="B290" s="79" t="s">
        <v>1127</v>
      </c>
      <c r="C290" s="79" t="s">
        <v>58</v>
      </c>
      <c r="D290" s="79" t="s">
        <v>59</v>
      </c>
      <c r="E290" s="79" t="s">
        <v>116</v>
      </c>
      <c r="F290" s="100" t="s">
        <v>1132</v>
      </c>
      <c r="G290" s="79" t="s">
        <v>62</v>
      </c>
      <c r="H290" s="79"/>
      <c r="I290" s="68"/>
      <c r="J290" s="79" t="s">
        <v>1133</v>
      </c>
      <c r="K290" s="97" t="s">
        <v>1130</v>
      </c>
      <c r="L290" s="68"/>
      <c r="M290" s="98" t="s">
        <v>93</v>
      </c>
      <c r="N290" s="68"/>
      <c r="O290" s="68"/>
      <c r="P290" s="42" t="s">
        <v>240</v>
      </c>
      <c r="Q290" s="28" t="n">
        <v>2000</v>
      </c>
      <c r="R290" s="38" t="n">
        <f aca="false">IFERROR(Q290/VLOOKUP(P290,'Exchange rates to USD'!$L$2:$N$225,3,FALSE()),"")</f>
        <v>2205.33788214838</v>
      </c>
      <c r="T290" s="28"/>
      <c r="U290" s="15"/>
      <c r="V290" s="15"/>
      <c r="W290" s="15"/>
    </row>
    <row r="291" s="39" customFormat="true" ht="15" hidden="false" customHeight="true" outlineLevel="0" collapsed="false">
      <c r="A291" s="79" t="s">
        <v>1134</v>
      </c>
      <c r="B291" s="79" t="s">
        <v>1127</v>
      </c>
      <c r="C291" s="79" t="s">
        <v>249</v>
      </c>
      <c r="D291" s="79" t="s">
        <v>59</v>
      </c>
      <c r="E291" s="79" t="s">
        <v>60</v>
      </c>
      <c r="F291" s="100" t="s">
        <v>1135</v>
      </c>
      <c r="G291" s="79" t="s">
        <v>62</v>
      </c>
      <c r="H291" s="79"/>
      <c r="I291" s="79"/>
      <c r="J291" s="79" t="s">
        <v>1136</v>
      </c>
      <c r="K291" s="97" t="s">
        <v>1137</v>
      </c>
      <c r="L291" s="68"/>
      <c r="M291" s="98" t="s">
        <v>93</v>
      </c>
      <c r="N291" s="68"/>
      <c r="O291" s="68"/>
      <c r="P291" s="42" t="s">
        <v>240</v>
      </c>
      <c r="Q291" s="28" t="n">
        <v>1000</v>
      </c>
      <c r="R291" s="38" t="n">
        <f aca="false">IFERROR(Q291/VLOOKUP(P291,'Exchange rates to USD'!$L$2:$N$225,3,FALSE()),"")</f>
        <v>1102.66894107419</v>
      </c>
      <c r="T291" s="28"/>
      <c r="U291" s="15"/>
      <c r="V291" s="15"/>
      <c r="W291" s="15"/>
    </row>
    <row r="292" s="39" customFormat="true" ht="15" hidden="false" customHeight="true" outlineLevel="0" collapsed="false">
      <c r="A292" s="79" t="s">
        <v>1138</v>
      </c>
      <c r="B292" s="79" t="s">
        <v>1127</v>
      </c>
      <c r="C292" s="79" t="s">
        <v>232</v>
      </c>
      <c r="D292" s="79" t="s">
        <v>59</v>
      </c>
      <c r="E292" s="79" t="s">
        <v>95</v>
      </c>
      <c r="F292" s="100" t="s">
        <v>1139</v>
      </c>
      <c r="G292" s="79" t="s">
        <v>62</v>
      </c>
      <c r="H292" s="79" t="s">
        <v>110</v>
      </c>
      <c r="I292" s="79"/>
      <c r="J292" s="79" t="s">
        <v>1140</v>
      </c>
      <c r="K292" s="97" t="s">
        <v>1137</v>
      </c>
      <c r="L292" s="68"/>
      <c r="M292" s="98" t="s">
        <v>93</v>
      </c>
      <c r="N292" s="68"/>
      <c r="O292" s="68"/>
      <c r="P292" s="42" t="s">
        <v>240</v>
      </c>
      <c r="Q292" s="28" t="n">
        <v>9000</v>
      </c>
      <c r="R292" s="38" t="n">
        <f aca="false">IFERROR(Q292/VLOOKUP(P292,'Exchange rates to USD'!$L$2:$N$225,3,FALSE()),"")</f>
        <v>9924.02046966769</v>
      </c>
      <c r="T292" s="28"/>
      <c r="U292" s="15"/>
      <c r="V292" s="15"/>
      <c r="W292" s="15"/>
    </row>
    <row r="293" s="39" customFormat="true" ht="15" hidden="false" customHeight="true" outlineLevel="0" collapsed="false">
      <c r="A293" s="79" t="s">
        <v>1141</v>
      </c>
      <c r="B293" s="79" t="s">
        <v>1127</v>
      </c>
      <c r="C293" s="79" t="s">
        <v>58</v>
      </c>
      <c r="D293" s="79" t="s">
        <v>59</v>
      </c>
      <c r="E293" s="79" t="s">
        <v>123</v>
      </c>
      <c r="F293" s="101" t="s">
        <v>1142</v>
      </c>
      <c r="G293" s="79" t="s">
        <v>62</v>
      </c>
      <c r="H293" s="68" t="s">
        <v>77</v>
      </c>
      <c r="I293" s="68"/>
      <c r="J293" s="79" t="s">
        <v>1143</v>
      </c>
      <c r="K293" s="97" t="s">
        <v>1130</v>
      </c>
      <c r="L293" s="68"/>
      <c r="M293" s="98" t="s">
        <v>93</v>
      </c>
      <c r="N293" s="68"/>
      <c r="O293" s="68"/>
      <c r="P293" s="42" t="s">
        <v>240</v>
      </c>
      <c r="Q293" s="28" t="n">
        <v>700</v>
      </c>
      <c r="R293" s="38" t="n">
        <f aca="false">IFERROR(Q293/VLOOKUP(P293,'Exchange rates to USD'!$L$2:$N$225,3,FALSE()),"")</f>
        <v>771.868258751932</v>
      </c>
      <c r="T293" s="28"/>
      <c r="U293" s="15"/>
      <c r="V293" s="15"/>
      <c r="W293" s="15"/>
    </row>
    <row r="294" s="39" customFormat="true" ht="15" hidden="false" customHeight="true" outlineLevel="0" collapsed="false">
      <c r="A294" s="79" t="s">
        <v>1144</v>
      </c>
      <c r="B294" s="79" t="s">
        <v>1127</v>
      </c>
      <c r="C294" s="79" t="s">
        <v>58</v>
      </c>
      <c r="D294" s="79" t="s">
        <v>59</v>
      </c>
      <c r="E294" s="79" t="s">
        <v>233</v>
      </c>
      <c r="F294" s="100" t="s">
        <v>1145</v>
      </c>
      <c r="G294" s="79" t="s">
        <v>110</v>
      </c>
      <c r="H294" s="79" t="s">
        <v>62</v>
      </c>
      <c r="I294" s="68"/>
      <c r="J294" s="79" t="s">
        <v>1146</v>
      </c>
      <c r="K294" s="97" t="s">
        <v>1137</v>
      </c>
      <c r="L294" s="68"/>
      <c r="M294" s="98" t="s">
        <v>93</v>
      </c>
      <c r="N294" s="68"/>
      <c r="O294" s="68"/>
      <c r="P294" s="42" t="s">
        <v>240</v>
      </c>
      <c r="Q294" s="28" t="n">
        <v>5000</v>
      </c>
      <c r="R294" s="38" t="n">
        <f aca="false">IFERROR(Q294/VLOOKUP(P294,'Exchange rates to USD'!$L$2:$N$225,3,FALSE()),"")</f>
        <v>5513.34470537094</v>
      </c>
      <c r="T294" s="28"/>
      <c r="U294" s="15"/>
      <c r="V294" s="15"/>
      <c r="W294" s="15"/>
    </row>
    <row r="295" s="39" customFormat="true" ht="15" hidden="false" customHeight="true" outlineLevel="0" collapsed="false">
      <c r="A295" s="79" t="s">
        <v>1147</v>
      </c>
      <c r="B295" s="79" t="s">
        <v>1127</v>
      </c>
      <c r="C295" s="15" t="s">
        <v>75</v>
      </c>
      <c r="D295" s="79" t="s">
        <v>59</v>
      </c>
      <c r="E295" s="79" t="s">
        <v>95</v>
      </c>
      <c r="F295" s="102" t="s">
        <v>1148</v>
      </c>
      <c r="G295" s="79" t="s">
        <v>62</v>
      </c>
      <c r="H295" s="79" t="s">
        <v>110</v>
      </c>
      <c r="I295" s="68"/>
      <c r="J295" s="79" t="s">
        <v>1149</v>
      </c>
      <c r="K295" s="97" t="s">
        <v>1130</v>
      </c>
      <c r="L295" s="68"/>
      <c r="M295" s="98" t="s">
        <v>93</v>
      </c>
      <c r="N295" s="68"/>
      <c r="O295" s="68"/>
      <c r="P295" s="42" t="s">
        <v>240</v>
      </c>
      <c r="Q295" s="28" t="n">
        <v>11000</v>
      </c>
      <c r="R295" s="38" t="n">
        <f aca="false">IFERROR(Q295/VLOOKUP(P295,'Exchange rates to USD'!$L$2:$N$225,3,FALSE()),"")</f>
        <v>12129.3583518161</v>
      </c>
      <c r="T295" s="28"/>
      <c r="U295" s="15"/>
      <c r="V295" s="15"/>
      <c r="W295" s="15"/>
    </row>
    <row r="296" s="39" customFormat="true" ht="15" hidden="false" customHeight="true" outlineLevel="0" collapsed="false">
      <c r="A296" s="79" t="s">
        <v>1150</v>
      </c>
      <c r="B296" s="79" t="s">
        <v>1127</v>
      </c>
      <c r="C296" s="79" t="s">
        <v>58</v>
      </c>
      <c r="D296" s="79" t="s">
        <v>59</v>
      </c>
      <c r="E296" s="79" t="s">
        <v>233</v>
      </c>
      <c r="F296" s="103" t="s">
        <v>1151</v>
      </c>
      <c r="G296" s="79" t="s">
        <v>62</v>
      </c>
      <c r="H296" s="79" t="s">
        <v>110</v>
      </c>
      <c r="I296" s="68"/>
      <c r="J296" s="79" t="s">
        <v>1152</v>
      </c>
      <c r="K296" s="97" t="s">
        <v>1130</v>
      </c>
      <c r="L296" s="68"/>
      <c r="M296" s="98" t="s">
        <v>93</v>
      </c>
      <c r="N296" s="68"/>
      <c r="O296" s="68"/>
      <c r="P296" s="42" t="s">
        <v>240</v>
      </c>
      <c r="Q296" s="28" t="n">
        <v>1200</v>
      </c>
      <c r="R296" s="38" t="n">
        <f aca="false">IFERROR(Q296/VLOOKUP(P296,'Exchange rates to USD'!$L$2:$N$225,3,FALSE()),"")</f>
        <v>1323.20272928903</v>
      </c>
      <c r="T296" s="28"/>
      <c r="U296" s="15"/>
      <c r="V296" s="15"/>
      <c r="W296" s="15"/>
    </row>
    <row r="297" s="39" customFormat="true" ht="15" hidden="false" customHeight="true" outlineLevel="0" collapsed="false">
      <c r="A297" s="79" t="s">
        <v>1153</v>
      </c>
      <c r="B297" s="79" t="s">
        <v>1127</v>
      </c>
      <c r="C297" s="79" t="s">
        <v>249</v>
      </c>
      <c r="D297" s="79" t="s">
        <v>59</v>
      </c>
      <c r="E297" s="79" t="s">
        <v>997</v>
      </c>
      <c r="F297" s="103" t="s">
        <v>1135</v>
      </c>
      <c r="G297" s="79" t="s">
        <v>62</v>
      </c>
      <c r="H297" s="79" t="s">
        <v>110</v>
      </c>
      <c r="I297" s="68"/>
      <c r="J297" s="79" t="s">
        <v>1154</v>
      </c>
      <c r="K297" s="97" t="s">
        <v>1130</v>
      </c>
      <c r="L297" s="68"/>
      <c r="M297" s="98" t="s">
        <v>93</v>
      </c>
      <c r="N297" s="68"/>
      <c r="O297" s="68"/>
      <c r="P297" s="42" t="s">
        <v>240</v>
      </c>
      <c r="Q297" s="28" t="n">
        <v>1000</v>
      </c>
      <c r="R297" s="38" t="n">
        <f aca="false">IFERROR(Q297/VLOOKUP(P297,'Exchange rates to USD'!$L$2:$N$225,3,FALSE()),"")</f>
        <v>1102.66894107419</v>
      </c>
      <c r="T297" s="28"/>
      <c r="U297" s="15"/>
      <c r="V297" s="15"/>
      <c r="W297" s="15"/>
    </row>
    <row r="298" s="39" customFormat="true" ht="15" hidden="false" customHeight="true" outlineLevel="0" collapsed="false">
      <c r="A298" s="79" t="s">
        <v>1155</v>
      </c>
      <c r="B298" s="79" t="s">
        <v>1127</v>
      </c>
      <c r="C298" s="79" t="s">
        <v>232</v>
      </c>
      <c r="D298" s="79" t="s">
        <v>59</v>
      </c>
      <c r="E298" s="79" t="s">
        <v>233</v>
      </c>
      <c r="F298" s="103" t="s">
        <v>1156</v>
      </c>
      <c r="G298" s="79" t="s">
        <v>62</v>
      </c>
      <c r="H298" s="79" t="s">
        <v>110</v>
      </c>
      <c r="I298" s="68"/>
      <c r="J298" s="79" t="s">
        <v>1157</v>
      </c>
      <c r="K298" s="97" t="s">
        <v>1130</v>
      </c>
      <c r="L298" s="68"/>
      <c r="M298" s="98" t="s">
        <v>93</v>
      </c>
      <c r="N298" s="68"/>
      <c r="O298" s="68"/>
      <c r="P298" s="42" t="s">
        <v>240</v>
      </c>
      <c r="Q298" s="28" t="n">
        <v>2500</v>
      </c>
      <c r="R298" s="38" t="n">
        <f aca="false">IFERROR(Q298/VLOOKUP(P298,'Exchange rates to USD'!$L$2:$N$225,3,FALSE()),"")</f>
        <v>2756.67235268547</v>
      </c>
      <c r="T298" s="28"/>
      <c r="U298" s="15"/>
      <c r="V298" s="15"/>
      <c r="W298" s="15"/>
    </row>
    <row r="299" s="39" customFormat="true" ht="15" hidden="false" customHeight="true" outlineLevel="0" collapsed="false">
      <c r="A299" s="79" t="s">
        <v>1158</v>
      </c>
      <c r="B299" s="79" t="s">
        <v>1127</v>
      </c>
      <c r="C299" s="79" t="s">
        <v>58</v>
      </c>
      <c r="D299" s="79" t="s">
        <v>59</v>
      </c>
      <c r="E299" s="79" t="s">
        <v>233</v>
      </c>
      <c r="F299" s="103" t="s">
        <v>1159</v>
      </c>
      <c r="G299" s="79" t="s">
        <v>62</v>
      </c>
      <c r="H299" s="79" t="s">
        <v>110</v>
      </c>
      <c r="I299" s="68"/>
      <c r="J299" s="68" t="s">
        <v>1160</v>
      </c>
      <c r="K299" s="97" t="s">
        <v>1130</v>
      </c>
      <c r="L299" s="68"/>
      <c r="M299" s="98" t="s">
        <v>93</v>
      </c>
      <c r="N299" s="68"/>
      <c r="O299" s="68"/>
      <c r="P299" s="42" t="s">
        <v>240</v>
      </c>
      <c r="Q299" s="28" t="n">
        <v>2</v>
      </c>
      <c r="R299" s="38" t="n">
        <f aca="false">IFERROR(Q299/VLOOKUP(P299,'Exchange rates to USD'!$L$2:$N$225,3,FALSE()),"")</f>
        <v>2.20533788214838</v>
      </c>
      <c r="T299" s="28"/>
      <c r="U299" s="15"/>
      <c r="V299" s="15"/>
      <c r="W299" s="15"/>
    </row>
    <row r="300" s="39" customFormat="true" ht="15" hidden="false" customHeight="true" outlineLevel="0" collapsed="false">
      <c r="A300" s="79" t="s">
        <v>1161</v>
      </c>
      <c r="B300" s="79" t="s">
        <v>1127</v>
      </c>
      <c r="C300" s="79" t="s">
        <v>249</v>
      </c>
      <c r="D300" s="79" t="s">
        <v>59</v>
      </c>
      <c r="E300" s="79" t="s">
        <v>233</v>
      </c>
      <c r="F300" s="103" t="s">
        <v>1132</v>
      </c>
      <c r="G300" s="79" t="s">
        <v>62</v>
      </c>
      <c r="H300" s="79" t="s">
        <v>110</v>
      </c>
      <c r="I300" s="68"/>
      <c r="J300" s="79" t="s">
        <v>1162</v>
      </c>
      <c r="K300" s="97" t="s">
        <v>1130</v>
      </c>
      <c r="L300" s="68"/>
      <c r="M300" s="98" t="s">
        <v>93</v>
      </c>
      <c r="N300" s="68"/>
      <c r="O300" s="68"/>
      <c r="P300" s="42" t="s">
        <v>240</v>
      </c>
      <c r="Q300" s="28" t="n">
        <v>2000</v>
      </c>
      <c r="R300" s="38" t="n">
        <f aca="false">IFERROR(Q300/VLOOKUP(P300,'Exchange rates to USD'!$L$2:$N$225,3,FALSE()),"")</f>
        <v>2205.33788214838</v>
      </c>
      <c r="T300" s="28"/>
      <c r="U300" s="15"/>
      <c r="V300" s="15"/>
      <c r="W300" s="15"/>
    </row>
    <row r="301" s="39" customFormat="true" ht="15" hidden="false" customHeight="true" outlineLevel="0" collapsed="false">
      <c r="A301" s="79" t="s">
        <v>1163</v>
      </c>
      <c r="B301" s="79" t="s">
        <v>1127</v>
      </c>
      <c r="C301" s="15" t="s">
        <v>75</v>
      </c>
      <c r="D301" s="79" t="s">
        <v>59</v>
      </c>
      <c r="E301" s="79" t="s">
        <v>233</v>
      </c>
      <c r="F301" s="102" t="s">
        <v>1164</v>
      </c>
      <c r="G301" s="79" t="s">
        <v>110</v>
      </c>
      <c r="H301" s="79" t="s">
        <v>62</v>
      </c>
      <c r="I301" s="68"/>
      <c r="J301" s="79" t="s">
        <v>1165</v>
      </c>
      <c r="K301" s="97" t="s">
        <v>1130</v>
      </c>
      <c r="L301" s="68"/>
      <c r="M301" s="98" t="s">
        <v>93</v>
      </c>
      <c r="N301" s="68"/>
      <c r="O301" s="68"/>
      <c r="P301" s="42" t="s">
        <v>240</v>
      </c>
      <c r="Q301" s="28" t="n">
        <v>2300</v>
      </c>
      <c r="R301" s="38" t="n">
        <f aca="false">IFERROR(Q301/VLOOKUP(P301,'Exchange rates to USD'!$L$2:$N$225,3,FALSE()),"")</f>
        <v>2536.13856447063</v>
      </c>
      <c r="T301" s="28"/>
      <c r="U301" s="15"/>
      <c r="V301" s="15"/>
      <c r="W301" s="15"/>
    </row>
    <row r="302" s="39" customFormat="true" ht="15" hidden="false" customHeight="true" outlineLevel="0" collapsed="false">
      <c r="A302" s="79" t="s">
        <v>1166</v>
      </c>
      <c r="B302" s="79" t="s">
        <v>1127</v>
      </c>
      <c r="C302" s="79" t="s">
        <v>122</v>
      </c>
      <c r="D302" s="79" t="s">
        <v>59</v>
      </c>
      <c r="E302" s="79" t="s">
        <v>233</v>
      </c>
      <c r="F302" s="103" t="n">
        <v>0</v>
      </c>
      <c r="G302" s="79" t="s">
        <v>110</v>
      </c>
      <c r="H302" s="79" t="s">
        <v>62</v>
      </c>
      <c r="I302" s="68"/>
      <c r="J302" s="68" t="s">
        <v>1167</v>
      </c>
      <c r="K302" s="97" t="s">
        <v>1130</v>
      </c>
      <c r="L302" s="68"/>
      <c r="M302" s="98" t="s">
        <v>93</v>
      </c>
      <c r="N302" s="68"/>
      <c r="O302" s="68"/>
      <c r="P302" s="42" t="s">
        <v>240</v>
      </c>
      <c r="Q302" s="28" t="n">
        <v>0</v>
      </c>
      <c r="R302" s="38" t="n">
        <f aca="false">IFERROR(Q302/VLOOKUP(P302,'Exchange rates to USD'!$L$2:$N$225,3,FALSE()),"")</f>
        <v>0</v>
      </c>
      <c r="T302" s="28"/>
      <c r="U302" s="15"/>
      <c r="V302" s="15"/>
      <c r="W302" s="15"/>
    </row>
    <row r="303" s="39" customFormat="true" ht="15" hidden="false" customHeight="true" outlineLevel="0" collapsed="false">
      <c r="A303" s="79" t="s">
        <v>1168</v>
      </c>
      <c r="B303" s="79" t="s">
        <v>1127</v>
      </c>
      <c r="C303" s="79" t="s">
        <v>249</v>
      </c>
      <c r="D303" s="79" t="s">
        <v>59</v>
      </c>
      <c r="E303" s="79" t="s">
        <v>95</v>
      </c>
      <c r="F303" s="103" t="s">
        <v>1169</v>
      </c>
      <c r="G303" s="79" t="s">
        <v>62</v>
      </c>
      <c r="H303" s="68"/>
      <c r="I303" s="68"/>
      <c r="J303" s="79" t="s">
        <v>1170</v>
      </c>
      <c r="K303" s="97" t="s">
        <v>1130</v>
      </c>
      <c r="L303" s="68"/>
      <c r="M303" s="98" t="s">
        <v>93</v>
      </c>
      <c r="N303" s="68"/>
      <c r="O303" s="68"/>
      <c r="P303" s="42" t="s">
        <v>240</v>
      </c>
      <c r="Q303" s="28" t="n">
        <v>3</v>
      </c>
      <c r="R303" s="38" t="n">
        <f aca="false">IFERROR(Q303/VLOOKUP(P303,'Exchange rates to USD'!$L$2:$N$225,3,FALSE()),"")</f>
        <v>3.30800682322256</v>
      </c>
      <c r="T303" s="28"/>
      <c r="U303" s="15"/>
      <c r="V303" s="15"/>
      <c r="W303" s="15"/>
    </row>
    <row r="304" s="39" customFormat="true" ht="15" hidden="false" customHeight="true" outlineLevel="0" collapsed="false">
      <c r="A304" s="79" t="s">
        <v>1171</v>
      </c>
      <c r="B304" s="79" t="s">
        <v>1127</v>
      </c>
      <c r="C304" s="68" t="s">
        <v>232</v>
      </c>
      <c r="D304" s="79" t="s">
        <v>59</v>
      </c>
      <c r="E304" s="79" t="s">
        <v>60</v>
      </c>
      <c r="F304" s="39" t="s">
        <v>1172</v>
      </c>
      <c r="G304" s="79" t="s">
        <v>62</v>
      </c>
      <c r="H304" s="79"/>
      <c r="J304" s="68" t="s">
        <v>1173</v>
      </c>
      <c r="K304" s="39" t="s">
        <v>1174</v>
      </c>
      <c r="M304" s="39" t="s">
        <v>65</v>
      </c>
      <c r="P304" s="42" t="s">
        <v>240</v>
      </c>
      <c r="Q304" s="28" t="n">
        <v>550</v>
      </c>
      <c r="R304" s="38" t="n">
        <f aca="false">IFERROR(Q304/VLOOKUP(P304,'Exchange rates to USD'!$L$2:$N$225,3,FALSE()),"")</f>
        <v>606.467917590804</v>
      </c>
      <c r="T304" s="28"/>
      <c r="U304" s="15"/>
      <c r="V304" s="15"/>
      <c r="W304" s="15"/>
    </row>
    <row r="305" s="39" customFormat="true" ht="15" hidden="false" customHeight="true" outlineLevel="0" collapsed="false">
      <c r="A305" s="79" t="s">
        <v>1175</v>
      </c>
      <c r="B305" s="79" t="s">
        <v>1127</v>
      </c>
      <c r="C305" s="68" t="s">
        <v>58</v>
      </c>
      <c r="D305" s="79" t="s">
        <v>59</v>
      </c>
      <c r="E305" s="79" t="s">
        <v>60</v>
      </c>
      <c r="F305" s="39" t="s">
        <v>1176</v>
      </c>
      <c r="G305" s="79" t="s">
        <v>62</v>
      </c>
      <c r="H305" s="79"/>
      <c r="J305" s="68" t="s">
        <v>1177</v>
      </c>
      <c r="K305" s="39" t="s">
        <v>1178</v>
      </c>
      <c r="M305" s="39" t="s">
        <v>65</v>
      </c>
      <c r="P305" s="42" t="s">
        <v>240</v>
      </c>
      <c r="Q305" s="28" t="n">
        <v>1800</v>
      </c>
      <c r="R305" s="38" t="n">
        <f aca="false">IFERROR(Q305/VLOOKUP(P305,'Exchange rates to USD'!$L$2:$N$225,3,FALSE()),"")</f>
        <v>1984.80409393354</v>
      </c>
      <c r="T305" s="28"/>
      <c r="U305" s="15"/>
      <c r="V305" s="15"/>
      <c r="W305" s="15"/>
    </row>
    <row r="306" s="39" customFormat="true" ht="15" hidden="false" customHeight="true" outlineLevel="0" collapsed="false">
      <c r="A306" s="79" t="s">
        <v>1179</v>
      </c>
      <c r="B306" s="79" t="s">
        <v>1127</v>
      </c>
      <c r="C306" s="68" t="s">
        <v>232</v>
      </c>
      <c r="D306" s="79" t="s">
        <v>59</v>
      </c>
      <c r="E306" s="79" t="s">
        <v>60</v>
      </c>
      <c r="F306" s="39" t="s">
        <v>1139</v>
      </c>
      <c r="G306" s="79" t="s">
        <v>62</v>
      </c>
      <c r="H306" s="79"/>
      <c r="J306" s="68" t="s">
        <v>1180</v>
      </c>
      <c r="K306" s="39" t="s">
        <v>1181</v>
      </c>
      <c r="M306" s="39" t="s">
        <v>65</v>
      </c>
      <c r="P306" s="42" t="s">
        <v>240</v>
      </c>
      <c r="Q306" s="28" t="n">
        <v>9000</v>
      </c>
      <c r="R306" s="38" t="n">
        <f aca="false">IFERROR(Q306/VLOOKUP(P306,'Exchange rates to USD'!$L$2:$N$225,3,FALSE()),"")</f>
        <v>9924.02046966769</v>
      </c>
      <c r="T306" s="28"/>
      <c r="U306" s="15"/>
      <c r="V306" s="15"/>
      <c r="W306" s="15"/>
    </row>
    <row r="307" s="39" customFormat="true" ht="15" hidden="false" customHeight="true" outlineLevel="0" collapsed="false">
      <c r="A307" s="79" t="s">
        <v>1182</v>
      </c>
      <c r="B307" s="79" t="s">
        <v>1127</v>
      </c>
      <c r="C307" s="68" t="s">
        <v>58</v>
      </c>
      <c r="D307" s="39" t="s">
        <v>59</v>
      </c>
      <c r="E307" s="39" t="s">
        <v>233</v>
      </c>
      <c r="F307" s="103" t="s">
        <v>1135</v>
      </c>
      <c r="G307" s="79" t="s">
        <v>62</v>
      </c>
      <c r="H307" s="79" t="s">
        <v>110</v>
      </c>
      <c r="J307" s="68" t="s">
        <v>1183</v>
      </c>
      <c r="K307" s="39" t="s">
        <v>1184</v>
      </c>
      <c r="L307" s="86" t="s">
        <v>1184</v>
      </c>
      <c r="M307" s="98" t="s">
        <v>93</v>
      </c>
      <c r="P307" s="42" t="s">
        <v>240</v>
      </c>
      <c r="Q307" s="28" t="n">
        <v>1000</v>
      </c>
      <c r="R307" s="38" t="n">
        <f aca="false">IFERROR(Q307/VLOOKUP(P307,'Exchange rates to USD'!$L$2:$N$225,3,FALSE()),"")</f>
        <v>1102.66894107419</v>
      </c>
      <c r="T307" s="28"/>
      <c r="U307" s="15"/>
      <c r="V307" s="15"/>
      <c r="W307" s="15"/>
    </row>
    <row r="308" s="39" customFormat="true" ht="15" hidden="false" customHeight="true" outlineLevel="0" collapsed="false">
      <c r="A308" s="79" t="s">
        <v>1185</v>
      </c>
      <c r="B308" s="79" t="s">
        <v>1127</v>
      </c>
      <c r="C308" s="15" t="s">
        <v>75</v>
      </c>
      <c r="D308" s="39" t="s">
        <v>59</v>
      </c>
      <c r="E308" s="39" t="s">
        <v>233</v>
      </c>
      <c r="F308" s="103" t="s">
        <v>1135</v>
      </c>
      <c r="G308" s="79" t="s">
        <v>62</v>
      </c>
      <c r="H308" s="79" t="s">
        <v>110</v>
      </c>
      <c r="J308" s="68" t="s">
        <v>1186</v>
      </c>
      <c r="K308" s="39" t="s">
        <v>1187</v>
      </c>
      <c r="L308" s="86" t="s">
        <v>1184</v>
      </c>
      <c r="M308" s="98" t="s">
        <v>93</v>
      </c>
      <c r="P308" s="42" t="s">
        <v>240</v>
      </c>
      <c r="Q308" s="28" t="n">
        <v>1000</v>
      </c>
      <c r="R308" s="38" t="n">
        <f aca="false">IFERROR(Q308/VLOOKUP(P308,'Exchange rates to USD'!$L$2:$N$225,3,FALSE()),"")</f>
        <v>1102.66894107419</v>
      </c>
      <c r="T308" s="28"/>
      <c r="U308" s="15"/>
      <c r="V308" s="15"/>
      <c r="W308" s="15"/>
    </row>
    <row r="309" s="39" customFormat="true" ht="12.75" hidden="false" customHeight="true" outlineLevel="0" collapsed="false">
      <c r="A309" s="104" t="s">
        <v>1188</v>
      </c>
      <c r="B309" s="104" t="s">
        <v>1127</v>
      </c>
      <c r="C309" s="105" t="s">
        <v>58</v>
      </c>
      <c r="D309" s="65" t="s">
        <v>59</v>
      </c>
      <c r="E309" s="65" t="s">
        <v>233</v>
      </c>
      <c r="F309" s="106" t="s">
        <v>1135</v>
      </c>
      <c r="G309" s="104" t="s">
        <v>62</v>
      </c>
      <c r="H309" s="104" t="s">
        <v>110</v>
      </c>
      <c r="I309" s="65"/>
      <c r="J309" s="105" t="s">
        <v>1189</v>
      </c>
      <c r="K309" s="107" t="s">
        <v>1190</v>
      </c>
      <c r="L309" s="107" t="s">
        <v>1184</v>
      </c>
      <c r="M309" s="108" t="s">
        <v>93</v>
      </c>
      <c r="N309" s="65"/>
      <c r="O309" s="65"/>
      <c r="P309" s="94" t="s">
        <v>240</v>
      </c>
      <c r="Q309" s="58" t="n">
        <v>1000</v>
      </c>
      <c r="R309" s="58" t="n">
        <f aca="false">IFERROR(Q309/VLOOKUP(P309,'Exchange rates to USD'!$L$2:$N$225,3,FALSE()),"")</f>
        <v>1102.66894107419</v>
      </c>
      <c r="T309" s="28"/>
      <c r="U309" s="15"/>
      <c r="V309" s="15"/>
      <c r="W309" s="15"/>
    </row>
    <row r="310" customFormat="false" ht="13.25" hidden="false" customHeight="true" outlineLevel="0" collapsed="false">
      <c r="A310" s="15" t="s">
        <v>1191</v>
      </c>
      <c r="B310" s="15" t="s">
        <v>1192</v>
      </c>
      <c r="C310" s="15" t="s">
        <v>75</v>
      </c>
      <c r="D310" s="15" t="s">
        <v>80</v>
      </c>
      <c r="E310" s="15" t="s">
        <v>76</v>
      </c>
      <c r="G310" s="15" t="s">
        <v>62</v>
      </c>
      <c r="H310" s="15" t="s">
        <v>110</v>
      </c>
      <c r="I310" s="15" t="s">
        <v>105</v>
      </c>
      <c r="J310" s="15" t="s">
        <v>1193</v>
      </c>
      <c r="K310" s="15" t="s">
        <v>1194</v>
      </c>
      <c r="L310" s="15" t="s">
        <v>1195</v>
      </c>
      <c r="M310" s="15" t="s">
        <v>70</v>
      </c>
      <c r="O310" s="16" t="s">
        <v>1196</v>
      </c>
      <c r="R310" s="38" t="str">
        <f aca="false">IFERROR(Q310/VLOOKUP(P310,'Exchange rates to USD'!$L$2:$N$225,3,FALSE()),"")</f>
        <v/>
      </c>
    </row>
    <row r="311" customFormat="false" ht="13.25" hidden="false" customHeight="true" outlineLevel="0" collapsed="false">
      <c r="A311" s="15" t="s">
        <v>1197</v>
      </c>
      <c r="B311" s="15" t="s">
        <v>1192</v>
      </c>
      <c r="C311" s="15" t="s">
        <v>58</v>
      </c>
      <c r="D311" s="15" t="s">
        <v>80</v>
      </c>
      <c r="E311" s="15" t="s">
        <v>76</v>
      </c>
      <c r="G311" s="15" t="s">
        <v>62</v>
      </c>
      <c r="H311" s="15" t="s">
        <v>105</v>
      </c>
      <c r="J311" s="15" t="s">
        <v>1198</v>
      </c>
      <c r="K311" s="15" t="s">
        <v>1199</v>
      </c>
      <c r="M311" s="15" t="s">
        <v>70</v>
      </c>
      <c r="R311" s="38" t="str">
        <f aca="false">IFERROR(Q311/VLOOKUP(P311,'Exchange rates to USD'!$L$2:$N$225,3,FALSE()),"")</f>
        <v/>
      </c>
    </row>
    <row r="312" customFormat="false" ht="13.25" hidden="false" customHeight="true" outlineLevel="0" collapsed="false">
      <c r="A312" s="15" t="s">
        <v>1200</v>
      </c>
      <c r="B312" s="15" t="s">
        <v>1192</v>
      </c>
      <c r="C312" s="15" t="s">
        <v>58</v>
      </c>
      <c r="D312" s="15" t="s">
        <v>80</v>
      </c>
      <c r="E312" s="15" t="s">
        <v>76</v>
      </c>
      <c r="F312" s="15" t="s">
        <v>1201</v>
      </c>
      <c r="G312" s="15" t="s">
        <v>105</v>
      </c>
      <c r="J312" s="15" t="s">
        <v>1202</v>
      </c>
      <c r="K312" s="15" t="s">
        <v>1203</v>
      </c>
      <c r="L312" s="15" t="s">
        <v>1204</v>
      </c>
      <c r="M312" s="15" t="s">
        <v>70</v>
      </c>
      <c r="O312" s="16" t="s">
        <v>1196</v>
      </c>
      <c r="P312" s="15" t="s">
        <v>240</v>
      </c>
      <c r="Q312" s="17" t="n">
        <v>1500</v>
      </c>
      <c r="R312" s="38" t="n">
        <f aca="false">IFERROR(Q312/VLOOKUP(P312,'Exchange rates to USD'!$L$2:$N$225,3,FALSE()),"")</f>
        <v>1654.00341161128</v>
      </c>
    </row>
    <row r="313" customFormat="false" ht="13.25" hidden="false" customHeight="true" outlineLevel="0" collapsed="false">
      <c r="A313" s="15" t="s">
        <v>1205</v>
      </c>
      <c r="B313" s="15" t="s">
        <v>1192</v>
      </c>
      <c r="C313" s="15" t="s">
        <v>58</v>
      </c>
      <c r="D313" s="15" t="s">
        <v>80</v>
      </c>
      <c r="E313" s="15" t="s">
        <v>76</v>
      </c>
      <c r="F313" s="15" t="s">
        <v>1206</v>
      </c>
      <c r="G313" s="15" t="s">
        <v>105</v>
      </c>
      <c r="J313" s="27" t="s">
        <v>1207</v>
      </c>
      <c r="K313" s="15" t="s">
        <v>1208</v>
      </c>
      <c r="M313" s="15" t="s">
        <v>70</v>
      </c>
      <c r="P313" s="15" t="s">
        <v>240</v>
      </c>
      <c r="Q313" s="17" t="n">
        <v>100</v>
      </c>
      <c r="R313" s="38" t="n">
        <f aca="false">IFERROR(Q313/VLOOKUP(P313,'Exchange rates to USD'!$L$2:$N$225,3,FALSE()),"")</f>
        <v>110.266894107419</v>
      </c>
    </row>
    <row r="314" customFormat="false" ht="13.25" hidden="false" customHeight="true" outlineLevel="0" collapsed="false">
      <c r="A314" s="15" t="s">
        <v>1209</v>
      </c>
      <c r="B314" s="15" t="s">
        <v>1192</v>
      </c>
      <c r="C314" s="15" t="s">
        <v>58</v>
      </c>
      <c r="D314" s="15" t="s">
        <v>59</v>
      </c>
      <c r="E314" s="15" t="s">
        <v>997</v>
      </c>
      <c r="F314" s="15" t="s">
        <v>1210</v>
      </c>
      <c r="G314" s="15" t="s">
        <v>62</v>
      </c>
      <c r="H314" s="15" t="s">
        <v>77</v>
      </c>
      <c r="I314" s="15" t="s">
        <v>97</v>
      </c>
      <c r="J314" s="15" t="s">
        <v>1211</v>
      </c>
      <c r="K314" s="15" t="s">
        <v>1212</v>
      </c>
      <c r="M314" s="15" t="s">
        <v>70</v>
      </c>
      <c r="P314" s="15" t="s">
        <v>240</v>
      </c>
      <c r="Q314" s="17" t="n">
        <v>3.06</v>
      </c>
      <c r="R314" s="38" t="n">
        <f aca="false">IFERROR(Q314/VLOOKUP(P314,'Exchange rates to USD'!$L$2:$N$225,3,FALSE()),"")</f>
        <v>3.37416695968702</v>
      </c>
    </row>
    <row r="315" customFormat="false" ht="13.25" hidden="false" customHeight="true" outlineLevel="0" collapsed="false">
      <c r="A315" s="15" t="s">
        <v>1213</v>
      </c>
      <c r="B315" s="15" t="s">
        <v>1192</v>
      </c>
      <c r="C315" s="15" t="s">
        <v>58</v>
      </c>
      <c r="D315" s="15" t="s">
        <v>59</v>
      </c>
      <c r="E315" s="15" t="s">
        <v>95</v>
      </c>
      <c r="G315" s="15" t="s">
        <v>62</v>
      </c>
      <c r="J315" s="15" t="s">
        <v>1214</v>
      </c>
      <c r="K315" s="15" t="s">
        <v>1215</v>
      </c>
      <c r="M315" s="15" t="s">
        <v>113</v>
      </c>
      <c r="R315" s="38" t="str">
        <f aca="false">IFERROR(Q315/VLOOKUP(P315,'Exchange rates to USD'!$L$2:$N$225,3,FALSE()),"")</f>
        <v/>
      </c>
    </row>
    <row r="316" customFormat="false" ht="13.25" hidden="false" customHeight="true" outlineLevel="0" collapsed="false">
      <c r="A316" s="15" t="s">
        <v>1216</v>
      </c>
      <c r="B316" s="15" t="s">
        <v>1192</v>
      </c>
      <c r="C316" s="15" t="s">
        <v>122</v>
      </c>
      <c r="D316" s="15" t="s">
        <v>59</v>
      </c>
      <c r="E316" s="15" t="s">
        <v>997</v>
      </c>
      <c r="G316" s="15" t="s">
        <v>110</v>
      </c>
      <c r="H316" s="15" t="s">
        <v>97</v>
      </c>
      <c r="I316" s="15" t="s">
        <v>62</v>
      </c>
      <c r="J316" s="15" t="s">
        <v>1217</v>
      </c>
      <c r="K316" s="15" t="s">
        <v>1218</v>
      </c>
      <c r="M316" s="15" t="s">
        <v>70</v>
      </c>
      <c r="R316" s="38" t="str">
        <f aca="false">IFERROR(Q316/VLOOKUP(P316,'Exchange rates to USD'!$L$2:$N$225,3,FALSE()),"")</f>
        <v/>
      </c>
    </row>
    <row r="317" customFormat="false" ht="13.25" hidden="false" customHeight="true" outlineLevel="0" collapsed="false">
      <c r="A317" s="15" t="s">
        <v>1219</v>
      </c>
      <c r="B317" s="15" t="s">
        <v>1192</v>
      </c>
      <c r="C317" s="15" t="s">
        <v>58</v>
      </c>
      <c r="D317" s="15" t="s">
        <v>59</v>
      </c>
      <c r="E317" s="15" t="s">
        <v>123</v>
      </c>
      <c r="F317" s="15" t="s">
        <v>1220</v>
      </c>
      <c r="G317" s="15" t="s">
        <v>77</v>
      </c>
      <c r="H317" s="15" t="s">
        <v>105</v>
      </c>
      <c r="J317" s="15" t="s">
        <v>1221</v>
      </c>
      <c r="K317" s="15" t="s">
        <v>1222</v>
      </c>
      <c r="M317" s="15" t="s">
        <v>70</v>
      </c>
      <c r="P317" s="15" t="s">
        <v>240</v>
      </c>
      <c r="Q317" s="17" t="n">
        <v>10</v>
      </c>
      <c r="R317" s="38" t="n">
        <f aca="false">IFERROR(Q317/VLOOKUP(P317,'Exchange rates to USD'!$L$2:$N$225,3,FALSE()),"")</f>
        <v>11.0266894107419</v>
      </c>
    </row>
    <row r="318" customFormat="false" ht="13.25" hidden="false" customHeight="true" outlineLevel="0" collapsed="false">
      <c r="A318" s="15" t="s">
        <v>1223</v>
      </c>
      <c r="B318" s="15" t="s">
        <v>1192</v>
      </c>
      <c r="C318" s="15" t="s">
        <v>58</v>
      </c>
      <c r="D318" s="15" t="s">
        <v>59</v>
      </c>
      <c r="E318" s="15" t="s">
        <v>123</v>
      </c>
      <c r="G318" s="15" t="s">
        <v>77</v>
      </c>
      <c r="H318" s="15" t="s">
        <v>97</v>
      </c>
      <c r="J318" s="15" t="s">
        <v>1224</v>
      </c>
      <c r="K318" s="15" t="s">
        <v>1225</v>
      </c>
      <c r="M318" s="15" t="s">
        <v>70</v>
      </c>
      <c r="R318" s="38" t="str">
        <f aca="false">IFERROR(Q318/VLOOKUP(P318,'Exchange rates to USD'!$L$2:$N$225,3,FALSE()),"")</f>
        <v/>
      </c>
    </row>
    <row r="319" customFormat="false" ht="13.25" hidden="false" customHeight="true" outlineLevel="0" collapsed="false">
      <c r="A319" s="15" t="s">
        <v>1226</v>
      </c>
      <c r="B319" s="15" t="s">
        <v>1192</v>
      </c>
      <c r="C319" s="15" t="s">
        <v>75</v>
      </c>
      <c r="D319" s="15" t="s">
        <v>59</v>
      </c>
      <c r="E319" s="15" t="s">
        <v>116</v>
      </c>
      <c r="G319" s="15" t="s">
        <v>105</v>
      </c>
      <c r="J319" s="15" t="s">
        <v>1227</v>
      </c>
      <c r="K319" s="15" t="s">
        <v>1228</v>
      </c>
      <c r="M319" s="15" t="s">
        <v>70</v>
      </c>
      <c r="R319" s="38" t="str">
        <f aca="false">IFERROR(Q319/VLOOKUP(P319,'Exchange rates to USD'!$L$2:$N$225,3,FALSE()),"")</f>
        <v/>
      </c>
    </row>
    <row r="320" customFormat="false" ht="13.25" hidden="false" customHeight="true" outlineLevel="0" collapsed="false">
      <c r="A320" s="15" t="s">
        <v>1229</v>
      </c>
      <c r="B320" s="15" t="s">
        <v>1192</v>
      </c>
      <c r="C320" s="15" t="s">
        <v>58</v>
      </c>
      <c r="D320" s="15" t="s">
        <v>80</v>
      </c>
      <c r="E320" s="15" t="s">
        <v>76</v>
      </c>
      <c r="F320" s="15" t="s">
        <v>1230</v>
      </c>
      <c r="G320" s="15" t="s">
        <v>105</v>
      </c>
      <c r="J320" s="15" t="s">
        <v>1231</v>
      </c>
      <c r="K320" s="15" t="s">
        <v>1232</v>
      </c>
      <c r="M320" s="15" t="s">
        <v>70</v>
      </c>
      <c r="P320" s="15" t="s">
        <v>240</v>
      </c>
      <c r="Q320" s="17" t="n">
        <v>1250</v>
      </c>
      <c r="R320" s="38" t="n">
        <f aca="false">IFERROR(Q320/VLOOKUP(P320,'Exchange rates to USD'!$L$2:$N$225,3,FALSE()),"")</f>
        <v>1378.33617634274</v>
      </c>
    </row>
    <row r="321" customFormat="false" ht="13.25" hidden="false" customHeight="true" outlineLevel="0" collapsed="false">
      <c r="A321" s="15" t="s">
        <v>1233</v>
      </c>
      <c r="B321" s="15" t="s">
        <v>1192</v>
      </c>
      <c r="C321" s="15" t="s">
        <v>75</v>
      </c>
      <c r="D321" s="15" t="s">
        <v>59</v>
      </c>
      <c r="E321" s="15" t="s">
        <v>76</v>
      </c>
      <c r="G321" s="15" t="s">
        <v>97</v>
      </c>
      <c r="H321" s="15" t="s">
        <v>105</v>
      </c>
      <c r="J321" s="15" t="s">
        <v>1234</v>
      </c>
      <c r="K321" s="15" t="s">
        <v>1235</v>
      </c>
      <c r="M321" s="15" t="s">
        <v>65</v>
      </c>
      <c r="R321" s="38" t="str">
        <f aca="false">IFERROR(Q321/VLOOKUP(P321,'Exchange rates to USD'!$L$2:$N$225,3,FALSE()),"")</f>
        <v/>
      </c>
    </row>
    <row r="322" customFormat="false" ht="13.25" hidden="false" customHeight="true" outlineLevel="0" collapsed="false">
      <c r="A322" s="15" t="s">
        <v>1236</v>
      </c>
      <c r="B322" s="15" t="s">
        <v>1192</v>
      </c>
      <c r="C322" s="15" t="s">
        <v>75</v>
      </c>
      <c r="D322" s="15" t="s">
        <v>80</v>
      </c>
      <c r="E322" s="15" t="s">
        <v>76</v>
      </c>
      <c r="G322" s="15" t="s">
        <v>110</v>
      </c>
      <c r="H322" s="15" t="s">
        <v>62</v>
      </c>
      <c r="J322" s="15" t="s">
        <v>1237</v>
      </c>
      <c r="K322" s="15" t="s">
        <v>1238</v>
      </c>
      <c r="M322" s="15" t="s">
        <v>70</v>
      </c>
      <c r="R322" s="38" t="str">
        <f aca="false">IFERROR(Q322/VLOOKUP(P322,'Exchange rates to USD'!$L$2:$N$225,3,FALSE()),"")</f>
        <v/>
      </c>
    </row>
    <row r="323" customFormat="false" ht="13.25" hidden="false" customHeight="true" outlineLevel="0" collapsed="false">
      <c r="A323" s="15" t="s">
        <v>1239</v>
      </c>
      <c r="B323" s="15" t="s">
        <v>1192</v>
      </c>
      <c r="C323" s="15" t="s">
        <v>122</v>
      </c>
      <c r="D323" s="15" t="s">
        <v>59</v>
      </c>
      <c r="E323" s="15" t="s">
        <v>997</v>
      </c>
      <c r="F323" s="15" t="n">
        <v>0</v>
      </c>
      <c r="G323" s="15" t="s">
        <v>62</v>
      </c>
      <c r="H323" s="15" t="s">
        <v>110</v>
      </c>
      <c r="I323" s="15" t="s">
        <v>97</v>
      </c>
      <c r="J323" s="15" t="s">
        <v>1240</v>
      </c>
      <c r="K323" s="15" t="s">
        <v>1241</v>
      </c>
      <c r="M323" s="15" t="s">
        <v>70</v>
      </c>
      <c r="R323" s="38" t="str">
        <f aca="false">IFERROR(Q323/VLOOKUP(P323,'Exchange rates to USD'!$L$2:$N$225,3,FALSE()),"")</f>
        <v/>
      </c>
    </row>
    <row r="324" customFormat="false" ht="13.25" hidden="false" customHeight="true" outlineLevel="0" collapsed="false">
      <c r="A324" s="15" t="s">
        <v>1242</v>
      </c>
      <c r="B324" s="15" t="s">
        <v>1192</v>
      </c>
      <c r="C324" s="15" t="s">
        <v>122</v>
      </c>
      <c r="D324" s="15" t="s">
        <v>59</v>
      </c>
      <c r="E324" s="15" t="s">
        <v>233</v>
      </c>
      <c r="F324" s="15" t="n">
        <v>0</v>
      </c>
      <c r="G324" s="15" t="s">
        <v>62</v>
      </c>
      <c r="H324" s="15" t="s">
        <v>110</v>
      </c>
      <c r="J324" s="15" t="s">
        <v>1243</v>
      </c>
      <c r="K324" s="15" t="s">
        <v>1244</v>
      </c>
      <c r="M324" s="15" t="s">
        <v>65</v>
      </c>
      <c r="R324" s="38" t="str">
        <f aca="false">IFERROR(Q324/VLOOKUP(P324,'Exchange rates to USD'!$L$2:$N$225,3,FALSE()),"")</f>
        <v/>
      </c>
    </row>
    <row r="325" customFormat="false" ht="13.25" hidden="false" customHeight="true" outlineLevel="0" collapsed="false">
      <c r="A325" s="15" t="s">
        <v>1245</v>
      </c>
      <c r="B325" s="15" t="s">
        <v>1192</v>
      </c>
      <c r="C325" s="15" t="s">
        <v>58</v>
      </c>
      <c r="D325" s="15" t="s">
        <v>59</v>
      </c>
      <c r="E325" s="15" t="s">
        <v>123</v>
      </c>
      <c r="F325" s="15" t="s">
        <v>1246</v>
      </c>
      <c r="G325" s="15" t="s">
        <v>77</v>
      </c>
      <c r="H325" s="15" t="s">
        <v>105</v>
      </c>
      <c r="J325" s="15" t="s">
        <v>1247</v>
      </c>
      <c r="K325" s="15" t="s">
        <v>1248</v>
      </c>
      <c r="M325" s="15" t="s">
        <v>70</v>
      </c>
      <c r="P325" s="15" t="s">
        <v>240</v>
      </c>
      <c r="Q325" s="17" t="n">
        <v>2</v>
      </c>
      <c r="R325" s="38" t="n">
        <f aca="false">IFERROR(Q325/VLOOKUP(P325,'Exchange rates to USD'!$L$2:$N$225,3,FALSE()),"")</f>
        <v>2.20533788214838</v>
      </c>
    </row>
    <row r="326" customFormat="false" ht="13.25" hidden="false" customHeight="true" outlineLevel="0" collapsed="false">
      <c r="A326" s="15" t="s">
        <v>1249</v>
      </c>
      <c r="B326" s="15" t="s">
        <v>1192</v>
      </c>
      <c r="C326" s="15" t="s">
        <v>58</v>
      </c>
      <c r="D326" s="15" t="s">
        <v>80</v>
      </c>
      <c r="E326" s="15" t="s">
        <v>116</v>
      </c>
      <c r="G326" s="15" t="s">
        <v>110</v>
      </c>
      <c r="H326" s="15" t="s">
        <v>62</v>
      </c>
      <c r="I326" s="15" t="s">
        <v>105</v>
      </c>
      <c r="J326" s="15" t="s">
        <v>1250</v>
      </c>
      <c r="K326" s="15" t="s">
        <v>1251</v>
      </c>
      <c r="M326" s="15" t="s">
        <v>93</v>
      </c>
      <c r="R326" s="38" t="str">
        <f aca="false">IFERROR(Q326/VLOOKUP(P326,'Exchange rates to USD'!$L$2:$N$225,3,FALSE()),"")</f>
        <v/>
      </c>
    </row>
    <row r="327" customFormat="false" ht="13.25" hidden="false" customHeight="true" outlineLevel="0" collapsed="false">
      <c r="A327" s="15" t="s">
        <v>1252</v>
      </c>
      <c r="B327" s="15" t="s">
        <v>1192</v>
      </c>
      <c r="C327" s="15" t="s">
        <v>232</v>
      </c>
      <c r="D327" s="15" t="s">
        <v>59</v>
      </c>
      <c r="E327" s="15" t="s">
        <v>233</v>
      </c>
      <c r="G327" s="15" t="s">
        <v>110</v>
      </c>
      <c r="J327" s="15" t="s">
        <v>1253</v>
      </c>
      <c r="K327" s="15" t="s">
        <v>1254</v>
      </c>
      <c r="M327" s="15" t="s">
        <v>70</v>
      </c>
      <c r="R327" s="38" t="str">
        <f aca="false">IFERROR(Q327/VLOOKUP(P327,'Exchange rates to USD'!$L$2:$N$225,3,FALSE()),"")</f>
        <v/>
      </c>
    </row>
    <row r="328" customFormat="false" ht="13.25" hidden="false" customHeight="true" outlineLevel="0" collapsed="false">
      <c r="A328" s="15" t="s">
        <v>1255</v>
      </c>
      <c r="B328" s="15" t="s">
        <v>1192</v>
      </c>
      <c r="C328" s="15" t="s">
        <v>232</v>
      </c>
      <c r="D328" s="15" t="s">
        <v>108</v>
      </c>
      <c r="E328" s="15" t="s">
        <v>233</v>
      </c>
      <c r="G328" s="15" t="s">
        <v>110</v>
      </c>
      <c r="H328" s="15" t="s">
        <v>105</v>
      </c>
      <c r="J328" s="15" t="s">
        <v>1256</v>
      </c>
      <c r="K328" s="15" t="s">
        <v>1257</v>
      </c>
      <c r="L328" s="15" t="s">
        <v>1258</v>
      </c>
      <c r="M328" s="15" t="s">
        <v>93</v>
      </c>
      <c r="N328" s="15" t="s">
        <v>1259</v>
      </c>
      <c r="O328" s="16" t="s">
        <v>1196</v>
      </c>
      <c r="R328" s="38" t="str">
        <f aca="false">IFERROR(Q328/VLOOKUP(P328,'Exchange rates to USD'!$L$2:$N$225,3,FALSE()),"")</f>
        <v/>
      </c>
    </row>
    <row r="329" customFormat="false" ht="13.25" hidden="false" customHeight="true" outlineLevel="0" collapsed="false">
      <c r="A329" s="15" t="s">
        <v>1260</v>
      </c>
      <c r="B329" s="15" t="s">
        <v>1192</v>
      </c>
      <c r="C329" s="15" t="s">
        <v>58</v>
      </c>
      <c r="D329" s="15" t="s">
        <v>59</v>
      </c>
      <c r="E329" s="15" t="s">
        <v>116</v>
      </c>
      <c r="F329" s="15" t="s">
        <v>1261</v>
      </c>
      <c r="G329" s="15" t="s">
        <v>62</v>
      </c>
      <c r="H329" s="15" t="s">
        <v>158</v>
      </c>
      <c r="J329" s="15" t="s">
        <v>1262</v>
      </c>
      <c r="K329" s="15" t="s">
        <v>1263</v>
      </c>
      <c r="M329" s="15" t="s">
        <v>93</v>
      </c>
      <c r="N329" s="15" t="s">
        <v>1264</v>
      </c>
      <c r="O329" s="16" t="s">
        <v>1196</v>
      </c>
      <c r="P329" s="15" t="s">
        <v>240</v>
      </c>
      <c r="Q329" s="17" t="n">
        <v>850</v>
      </c>
      <c r="R329" s="38" t="n">
        <f aca="false">IFERROR(Q329/VLOOKUP(P329,'Exchange rates to USD'!$L$2:$N$225,3,FALSE()),"")</f>
        <v>937.26859991306</v>
      </c>
    </row>
    <row r="330" customFormat="false" ht="13.25" hidden="false" customHeight="true" outlineLevel="0" collapsed="false">
      <c r="A330" s="35" t="s">
        <v>1265</v>
      </c>
      <c r="B330" s="35" t="s">
        <v>1192</v>
      </c>
      <c r="C330" s="35" t="s">
        <v>75</v>
      </c>
      <c r="D330" s="35" t="s">
        <v>59</v>
      </c>
      <c r="E330" s="35" t="s">
        <v>233</v>
      </c>
      <c r="F330" s="35" t="s">
        <v>1266</v>
      </c>
      <c r="G330" s="35" t="s">
        <v>62</v>
      </c>
      <c r="H330" s="35" t="s">
        <v>158</v>
      </c>
      <c r="I330" s="35"/>
      <c r="J330" s="35" t="s">
        <v>1267</v>
      </c>
      <c r="K330" s="35" t="s">
        <v>1268</v>
      </c>
      <c r="L330" s="35"/>
      <c r="M330" s="35" t="s">
        <v>93</v>
      </c>
      <c r="N330" s="35" t="s">
        <v>1269</v>
      </c>
      <c r="O330" s="36" t="n">
        <v>44265</v>
      </c>
      <c r="P330" s="35" t="s">
        <v>240</v>
      </c>
      <c r="Q330" s="37" t="n">
        <v>63.5</v>
      </c>
      <c r="R330" s="38" t="n">
        <f aca="false">IFERROR(Q330/VLOOKUP(P330,'Exchange rates to USD'!$L$2:$N$225,3,FALSE()),"")</f>
        <v>70.019477758211</v>
      </c>
    </row>
    <row r="331" customFormat="false" ht="13.25" hidden="false" customHeight="true" outlineLevel="0" collapsed="false">
      <c r="A331" s="35" t="s">
        <v>1270</v>
      </c>
      <c r="B331" s="35" t="s">
        <v>1192</v>
      </c>
      <c r="C331" s="35" t="s">
        <v>232</v>
      </c>
      <c r="D331" s="35" t="s">
        <v>59</v>
      </c>
      <c r="E331" s="35" t="s">
        <v>263</v>
      </c>
      <c r="F331" s="35" t="s">
        <v>1271</v>
      </c>
      <c r="G331" s="35" t="s">
        <v>77</v>
      </c>
      <c r="H331" s="35" t="s">
        <v>158</v>
      </c>
      <c r="I331" s="35"/>
      <c r="J331" s="109" t="s">
        <v>1272</v>
      </c>
      <c r="K331" s="110" t="s">
        <v>1273</v>
      </c>
      <c r="L331" s="35"/>
      <c r="M331" s="35" t="s">
        <v>93</v>
      </c>
      <c r="N331" s="111" t="s">
        <v>1274</v>
      </c>
      <c r="O331" s="36" t="n">
        <v>44265</v>
      </c>
      <c r="P331" s="35" t="s">
        <v>240</v>
      </c>
      <c r="Q331" s="37" t="n">
        <v>391</v>
      </c>
      <c r="R331" s="38" t="n">
        <f aca="false">IFERROR(Q331/VLOOKUP(P331,'Exchange rates to USD'!$L$2:$N$225,3,FALSE()),"")</f>
        <v>431.143555960008</v>
      </c>
    </row>
    <row r="332" customFormat="false" ht="13.25" hidden="false" customHeight="true" outlineLevel="0" collapsed="false">
      <c r="A332" s="55" t="s">
        <v>1275</v>
      </c>
      <c r="B332" s="55" t="s">
        <v>1192</v>
      </c>
      <c r="C332" s="55" t="s">
        <v>232</v>
      </c>
      <c r="D332" s="55" t="s">
        <v>59</v>
      </c>
      <c r="E332" s="55" t="s">
        <v>95</v>
      </c>
      <c r="F332" s="55" t="s">
        <v>1276</v>
      </c>
      <c r="G332" s="55" t="s">
        <v>62</v>
      </c>
      <c r="H332" s="55" t="s">
        <v>110</v>
      </c>
      <c r="I332" s="55"/>
      <c r="J332" s="112" t="s">
        <v>1277</v>
      </c>
      <c r="K332" s="113" t="s">
        <v>1273</v>
      </c>
      <c r="L332" s="55"/>
      <c r="M332" s="55" t="s">
        <v>93</v>
      </c>
      <c r="N332" s="114" t="s">
        <v>1278</v>
      </c>
      <c r="O332" s="56" t="n">
        <v>44265</v>
      </c>
      <c r="P332" s="55" t="s">
        <v>240</v>
      </c>
      <c r="Q332" s="60" t="n">
        <v>356</v>
      </c>
      <c r="R332" s="58" t="n">
        <f aca="false">IFERROR(Q332/VLOOKUP(P332,'Exchange rates to USD'!$L$2:$N$225,3,FALSE()),"")</f>
        <v>392.550143022411</v>
      </c>
    </row>
    <row r="333" customFormat="false" ht="13.25" hidden="false" customHeight="true" outlineLevel="0" collapsed="false">
      <c r="A333" s="15" t="s">
        <v>1279</v>
      </c>
      <c r="B333" s="15" t="s">
        <v>1280</v>
      </c>
      <c r="C333" s="15" t="s">
        <v>249</v>
      </c>
      <c r="D333" s="15" t="s">
        <v>80</v>
      </c>
      <c r="E333" s="15" t="s">
        <v>76</v>
      </c>
      <c r="F333" s="15" t="s">
        <v>1281</v>
      </c>
      <c r="G333" s="15" t="s">
        <v>105</v>
      </c>
      <c r="J333" s="15" t="s">
        <v>1282</v>
      </c>
      <c r="K333" s="15" t="s">
        <v>1283</v>
      </c>
      <c r="M333" s="15" t="s">
        <v>70</v>
      </c>
      <c r="O333" s="16" t="n">
        <v>44131</v>
      </c>
      <c r="P333" s="15" t="s">
        <v>1284</v>
      </c>
      <c r="Q333" s="17" t="n">
        <v>32000</v>
      </c>
      <c r="R333" s="38" t="n">
        <f aca="false">IFERROR(Q333/VLOOKUP(P333,'Exchange rates to USD'!$L$2:$N$225,3,FALSE()),"")</f>
        <v>117.385141898107</v>
      </c>
    </row>
    <row r="334" customFormat="false" ht="13.25" hidden="false" customHeight="true" outlineLevel="0" collapsed="false">
      <c r="A334" s="15" t="s">
        <v>1285</v>
      </c>
      <c r="B334" s="15" t="s">
        <v>1280</v>
      </c>
      <c r="C334" s="15" t="s">
        <v>58</v>
      </c>
      <c r="D334" s="15" t="s">
        <v>80</v>
      </c>
      <c r="E334" s="15" t="s">
        <v>76</v>
      </c>
      <c r="F334" s="15" t="s">
        <v>1286</v>
      </c>
      <c r="G334" s="15" t="s">
        <v>812</v>
      </c>
      <c r="J334" s="15" t="s">
        <v>1287</v>
      </c>
      <c r="K334" s="15" t="s">
        <v>1288</v>
      </c>
      <c r="M334" s="15" t="s">
        <v>70</v>
      </c>
      <c r="O334" s="16" t="n">
        <v>44203</v>
      </c>
      <c r="P334" s="15" t="s">
        <v>1284</v>
      </c>
      <c r="Q334" s="17" t="n">
        <v>7000</v>
      </c>
      <c r="R334" s="38" t="n">
        <f aca="false">IFERROR(Q334/VLOOKUP(P334,'Exchange rates to USD'!$L$2:$N$225,3,FALSE()),"")</f>
        <v>25.677999790211</v>
      </c>
    </row>
    <row r="335" customFormat="false" ht="13.25" hidden="false" customHeight="true" outlineLevel="0" collapsed="false">
      <c r="A335" s="15" t="s">
        <v>1289</v>
      </c>
      <c r="B335" s="15" t="s">
        <v>1280</v>
      </c>
      <c r="C335" s="15" t="s">
        <v>58</v>
      </c>
      <c r="D335" s="15" t="s">
        <v>59</v>
      </c>
      <c r="E335" s="15" t="s">
        <v>95</v>
      </c>
      <c r="F335" s="15" t="s">
        <v>1290</v>
      </c>
      <c r="G335" s="15" t="s">
        <v>62</v>
      </c>
      <c r="J335" s="15" t="s">
        <v>1291</v>
      </c>
      <c r="K335" s="15" t="s">
        <v>1283</v>
      </c>
      <c r="M335" s="15" t="s">
        <v>93</v>
      </c>
      <c r="O335" s="16" t="n">
        <v>44131</v>
      </c>
      <c r="P335" s="15" t="s">
        <v>1284</v>
      </c>
      <c r="Q335" s="17" t="n">
        <v>7300</v>
      </c>
      <c r="R335" s="38" t="n">
        <f aca="false">IFERROR(Q335/VLOOKUP(P335,'Exchange rates to USD'!$L$2:$N$225,3,FALSE()),"")</f>
        <v>26.7784854955057</v>
      </c>
    </row>
    <row r="336" customFormat="false" ht="13.25" hidden="false" customHeight="true" outlineLevel="0" collapsed="false">
      <c r="A336" s="15" t="s">
        <v>1292</v>
      </c>
      <c r="B336" s="15" t="s">
        <v>1280</v>
      </c>
      <c r="C336" s="15" t="s">
        <v>176</v>
      </c>
      <c r="D336" s="15" t="s">
        <v>80</v>
      </c>
      <c r="E336" s="15" t="s">
        <v>76</v>
      </c>
      <c r="F336" s="15" t="s">
        <v>1286</v>
      </c>
      <c r="G336" s="15" t="s">
        <v>105</v>
      </c>
      <c r="J336" s="15" t="s">
        <v>1293</v>
      </c>
      <c r="K336" s="15" t="s">
        <v>1283</v>
      </c>
      <c r="M336" s="15" t="s">
        <v>70</v>
      </c>
      <c r="O336" s="16" t="n">
        <v>44131</v>
      </c>
      <c r="P336" s="15" t="s">
        <v>1284</v>
      </c>
      <c r="Q336" s="17" t="n">
        <v>7000</v>
      </c>
      <c r="R336" s="38" t="n">
        <f aca="false">IFERROR(Q336/VLOOKUP(P336,'Exchange rates to USD'!$L$2:$N$225,3,FALSE()),"")</f>
        <v>25.677999790211</v>
      </c>
    </row>
    <row r="337" customFormat="false" ht="13.25" hidden="false" customHeight="true" outlineLevel="0" collapsed="false">
      <c r="A337" s="15" t="s">
        <v>1294</v>
      </c>
      <c r="B337" s="15" t="s">
        <v>1280</v>
      </c>
      <c r="C337" s="15" t="s">
        <v>58</v>
      </c>
      <c r="D337" s="15" t="s">
        <v>108</v>
      </c>
      <c r="E337" s="15" t="s">
        <v>233</v>
      </c>
      <c r="F337" s="15" t="s">
        <v>1295</v>
      </c>
      <c r="G337" s="15" t="s">
        <v>62</v>
      </c>
      <c r="J337" s="15" t="s">
        <v>1296</v>
      </c>
      <c r="K337" s="15" t="s">
        <v>1297</v>
      </c>
      <c r="M337" s="15" t="s">
        <v>113</v>
      </c>
      <c r="O337" s="16" t="n">
        <v>44131</v>
      </c>
      <c r="P337" s="15" t="s">
        <v>1284</v>
      </c>
      <c r="Q337" s="17" t="n">
        <v>140000</v>
      </c>
      <c r="R337" s="38" t="n">
        <f aca="false">IFERROR(Q337/VLOOKUP(P337,'Exchange rates to USD'!$L$2:$N$225,3,FALSE()),"")</f>
        <v>513.559995804219</v>
      </c>
    </row>
    <row r="338" customFormat="false" ht="13.25" hidden="false" customHeight="true" outlineLevel="0" collapsed="false">
      <c r="A338" s="15" t="s">
        <v>1298</v>
      </c>
      <c r="B338" s="15" t="s">
        <v>1280</v>
      </c>
      <c r="C338" s="15" t="s">
        <v>58</v>
      </c>
      <c r="D338" s="15" t="s">
        <v>108</v>
      </c>
      <c r="E338" s="15" t="s">
        <v>233</v>
      </c>
      <c r="F338" s="15" t="s">
        <v>1299</v>
      </c>
      <c r="G338" s="15" t="s">
        <v>62</v>
      </c>
      <c r="J338" s="15" t="s">
        <v>1300</v>
      </c>
      <c r="K338" s="15" t="s">
        <v>1297</v>
      </c>
      <c r="M338" s="15" t="s">
        <v>113</v>
      </c>
      <c r="O338" s="16" t="n">
        <v>44131</v>
      </c>
      <c r="P338" s="15" t="s">
        <v>1284</v>
      </c>
      <c r="Q338" s="17" t="n">
        <v>24000</v>
      </c>
      <c r="R338" s="38" t="n">
        <f aca="false">IFERROR(Q338/VLOOKUP(P338,'Exchange rates to USD'!$L$2:$N$225,3,FALSE()),"")</f>
        <v>88.0388564235804</v>
      </c>
    </row>
    <row r="339" customFormat="false" ht="13.25" hidden="false" customHeight="true" outlineLevel="0" collapsed="false">
      <c r="A339" s="15" t="s">
        <v>1301</v>
      </c>
      <c r="B339" s="15" t="s">
        <v>1280</v>
      </c>
      <c r="C339" s="15" t="s">
        <v>58</v>
      </c>
      <c r="D339" s="15" t="s">
        <v>108</v>
      </c>
      <c r="E339" s="15" t="s">
        <v>233</v>
      </c>
      <c r="F339" s="15" t="s">
        <v>1302</v>
      </c>
      <c r="G339" s="15" t="s">
        <v>62</v>
      </c>
      <c r="J339" s="15" t="s">
        <v>1303</v>
      </c>
      <c r="K339" s="15" t="s">
        <v>1304</v>
      </c>
      <c r="M339" s="15" t="s">
        <v>70</v>
      </c>
      <c r="O339" s="16" t="n">
        <v>44203</v>
      </c>
      <c r="P339" s="15" t="s">
        <v>1284</v>
      </c>
      <c r="Q339" s="17" t="n">
        <v>82130</v>
      </c>
      <c r="R339" s="38" t="n">
        <f aca="false">IFERROR(Q339/VLOOKUP(P339,'Exchange rates to USD'!$L$2:$N$225,3,FALSE()),"")</f>
        <v>301.276303252861</v>
      </c>
    </row>
    <row r="340" customFormat="false" ht="13.25" hidden="false" customHeight="true" outlineLevel="0" collapsed="false">
      <c r="A340" s="15" t="s">
        <v>1305</v>
      </c>
      <c r="B340" s="15" t="s">
        <v>1280</v>
      </c>
      <c r="C340" s="15" t="s">
        <v>232</v>
      </c>
      <c r="D340" s="15" t="s">
        <v>80</v>
      </c>
      <c r="E340" s="15" t="s">
        <v>233</v>
      </c>
      <c r="F340" s="15" t="s">
        <v>1306</v>
      </c>
      <c r="G340" s="15" t="s">
        <v>62</v>
      </c>
      <c r="J340" s="15" t="s">
        <v>1307</v>
      </c>
      <c r="K340" s="15" t="s">
        <v>1308</v>
      </c>
      <c r="M340" s="15" t="s">
        <v>70</v>
      </c>
      <c r="O340" s="16" t="s">
        <v>1309</v>
      </c>
      <c r="P340" s="15" t="s">
        <v>1284</v>
      </c>
      <c r="Q340" s="17" t="n">
        <v>126721</v>
      </c>
      <c r="R340" s="38" t="n">
        <f aca="false">IFERROR(Q340/VLOOKUP(P340,'Exchange rates to USD'!$L$2:$N$225,3,FALSE()),"")</f>
        <v>464.848830202189</v>
      </c>
    </row>
    <row r="341" customFormat="false" ht="13.25" hidden="false" customHeight="true" outlineLevel="0" collapsed="false">
      <c r="A341" s="15" t="s">
        <v>1310</v>
      </c>
      <c r="B341" s="15" t="s">
        <v>1280</v>
      </c>
      <c r="C341" s="15" t="s">
        <v>232</v>
      </c>
      <c r="D341" s="15" t="s">
        <v>59</v>
      </c>
      <c r="E341" s="15" t="s">
        <v>95</v>
      </c>
      <c r="F341" s="15" t="s">
        <v>1311</v>
      </c>
      <c r="G341" s="15" t="s">
        <v>62</v>
      </c>
      <c r="J341" s="15" t="s">
        <v>1312</v>
      </c>
      <c r="K341" s="15" t="s">
        <v>1313</v>
      </c>
      <c r="M341" s="15" t="s">
        <v>65</v>
      </c>
      <c r="O341" s="16" t="n">
        <v>44131</v>
      </c>
      <c r="P341" s="15" t="s">
        <v>1284</v>
      </c>
      <c r="Q341" s="17" t="n">
        <v>24600</v>
      </c>
      <c r="R341" s="38" t="n">
        <f aca="false">IFERROR(Q341/VLOOKUP(P341,'Exchange rates to USD'!$L$2:$N$225,3,FALSE()),"")</f>
        <v>90.2398278341699</v>
      </c>
    </row>
    <row r="342" customFormat="false" ht="13.25" hidden="false" customHeight="true" outlineLevel="0" collapsed="false">
      <c r="A342" s="15" t="s">
        <v>1314</v>
      </c>
      <c r="B342" s="15" t="s">
        <v>1280</v>
      </c>
      <c r="C342" s="15" t="s">
        <v>232</v>
      </c>
      <c r="D342" s="15" t="s">
        <v>108</v>
      </c>
      <c r="E342" s="15" t="s">
        <v>233</v>
      </c>
      <c r="F342" s="15" t="s">
        <v>1315</v>
      </c>
      <c r="G342" s="15" t="s">
        <v>62</v>
      </c>
      <c r="J342" s="15" t="s">
        <v>1316</v>
      </c>
      <c r="K342" s="15" t="s">
        <v>1317</v>
      </c>
      <c r="M342" s="15" t="s">
        <v>113</v>
      </c>
      <c r="O342" s="16" t="n">
        <v>44131</v>
      </c>
      <c r="P342" s="15" t="s">
        <v>1284</v>
      </c>
      <c r="Q342" s="17" t="n">
        <v>22000</v>
      </c>
      <c r="R342" s="38" t="n">
        <f aca="false">IFERROR(Q342/VLOOKUP(P342,'Exchange rates to USD'!$L$2:$N$225,3,FALSE()),"")</f>
        <v>80.7022850549487</v>
      </c>
    </row>
    <row r="343" customFormat="false" ht="13.25" hidden="false" customHeight="true" outlineLevel="0" collapsed="false">
      <c r="A343" s="15" t="s">
        <v>1318</v>
      </c>
      <c r="B343" s="15" t="s">
        <v>1280</v>
      </c>
      <c r="C343" s="15" t="s">
        <v>232</v>
      </c>
      <c r="D343" s="15" t="s">
        <v>80</v>
      </c>
      <c r="E343" s="15" t="s">
        <v>233</v>
      </c>
      <c r="F343" s="15" t="s">
        <v>1319</v>
      </c>
      <c r="G343" s="15" t="s">
        <v>96</v>
      </c>
      <c r="J343" s="15" t="s">
        <v>1320</v>
      </c>
      <c r="K343" s="15" t="s">
        <v>1321</v>
      </c>
      <c r="M343" s="15" t="s">
        <v>93</v>
      </c>
      <c r="O343" s="16" t="n">
        <v>44209</v>
      </c>
      <c r="P343" s="15" t="s">
        <v>1284</v>
      </c>
      <c r="Q343" s="17" t="n">
        <v>46460</v>
      </c>
      <c r="R343" s="38" t="n">
        <f aca="false">IFERROR(Q343/VLOOKUP(P343,'Exchange rates to USD'!$L$2:$N$225,3,FALSE()),"")</f>
        <v>170.428552893314</v>
      </c>
    </row>
    <row r="344" customFormat="false" ht="13.25" hidden="false" customHeight="true" outlineLevel="0" collapsed="false">
      <c r="A344" s="15" t="s">
        <v>1322</v>
      </c>
      <c r="B344" s="15" t="s">
        <v>1280</v>
      </c>
      <c r="C344" s="15" t="s">
        <v>58</v>
      </c>
      <c r="D344" s="15" t="s">
        <v>59</v>
      </c>
      <c r="E344" s="15" t="s">
        <v>95</v>
      </c>
      <c r="F344" s="15" t="s">
        <v>1323</v>
      </c>
      <c r="G344" s="15" t="s">
        <v>62</v>
      </c>
      <c r="J344" s="15" t="s">
        <v>1324</v>
      </c>
      <c r="K344" s="15" t="s">
        <v>1325</v>
      </c>
      <c r="M344" s="15" t="s">
        <v>70</v>
      </c>
      <c r="O344" s="16" t="n">
        <v>44131</v>
      </c>
      <c r="P344" s="15" t="s">
        <v>1284</v>
      </c>
      <c r="Q344" s="17" t="n">
        <v>15100</v>
      </c>
      <c r="R344" s="38" t="n">
        <f aca="false">IFERROR(Q344/VLOOKUP(P344,'Exchange rates to USD'!$L$2:$N$225,3,FALSE()),"")</f>
        <v>55.3911138331694</v>
      </c>
    </row>
    <row r="345" customFormat="false" ht="13.25" hidden="false" customHeight="true" outlineLevel="0" collapsed="false">
      <c r="A345" s="15" t="s">
        <v>1326</v>
      </c>
      <c r="B345" s="15" t="s">
        <v>1280</v>
      </c>
      <c r="C345" s="15" t="s">
        <v>232</v>
      </c>
      <c r="D345" s="15" t="s">
        <v>80</v>
      </c>
      <c r="E345" s="15" t="s">
        <v>233</v>
      </c>
      <c r="F345" s="15" t="s">
        <v>1327</v>
      </c>
      <c r="G345" s="15" t="s">
        <v>62</v>
      </c>
      <c r="J345" s="15" t="s">
        <v>1328</v>
      </c>
      <c r="K345" s="15" t="s">
        <v>1329</v>
      </c>
      <c r="M345" s="15" t="s">
        <v>93</v>
      </c>
      <c r="O345" s="16" t="n">
        <v>44209</v>
      </c>
      <c r="P345" s="15" t="s">
        <v>1284</v>
      </c>
      <c r="Q345" s="17" t="n">
        <v>31045</v>
      </c>
      <c r="R345" s="38" t="n">
        <f aca="false">IFERROR(Q345/VLOOKUP(P345,'Exchange rates to USD'!$L$2:$N$225,3,FALSE()),"")</f>
        <v>113.881929069586</v>
      </c>
    </row>
    <row r="346" customFormat="false" ht="13.25" hidden="false" customHeight="true" outlineLevel="0" collapsed="false">
      <c r="A346" s="15" t="s">
        <v>1330</v>
      </c>
      <c r="B346" s="15" t="s">
        <v>1280</v>
      </c>
      <c r="C346" s="15" t="s">
        <v>232</v>
      </c>
      <c r="D346" s="15" t="s">
        <v>80</v>
      </c>
      <c r="E346" s="15" t="s">
        <v>233</v>
      </c>
      <c r="F346" s="15" t="s">
        <v>1331</v>
      </c>
      <c r="G346" s="15" t="s">
        <v>62</v>
      </c>
      <c r="J346" s="15" t="s">
        <v>1332</v>
      </c>
      <c r="K346" s="15" t="s">
        <v>1333</v>
      </c>
      <c r="M346" s="15" t="s">
        <v>93</v>
      </c>
      <c r="O346" s="16" t="n">
        <v>44209</v>
      </c>
      <c r="P346" s="15" t="s">
        <v>1284</v>
      </c>
      <c r="Q346" s="50" t="n">
        <v>231300</v>
      </c>
      <c r="R346" s="38" t="n">
        <f aca="false">IFERROR(Q346/VLOOKUP(P346,'Exchange rates to USD'!$L$2:$N$225,3,FALSE()),"")</f>
        <v>848.474478782256</v>
      </c>
    </row>
    <row r="347" customFormat="false" ht="13.25" hidden="false" customHeight="true" outlineLevel="0" collapsed="false">
      <c r="A347" s="15" t="s">
        <v>1334</v>
      </c>
      <c r="B347" s="15" t="s">
        <v>1280</v>
      </c>
      <c r="C347" s="15" t="s">
        <v>232</v>
      </c>
      <c r="D347" s="15" t="s">
        <v>80</v>
      </c>
      <c r="E347" s="15" t="s">
        <v>233</v>
      </c>
      <c r="F347" s="15" t="s">
        <v>1335</v>
      </c>
      <c r="G347" s="15" t="s">
        <v>62</v>
      </c>
      <c r="J347" s="15" t="s">
        <v>1336</v>
      </c>
      <c r="K347" s="15" t="s">
        <v>1337</v>
      </c>
      <c r="M347" s="15" t="s">
        <v>93</v>
      </c>
      <c r="O347" s="16" t="n">
        <v>44131</v>
      </c>
      <c r="P347" s="15" t="s">
        <v>1284</v>
      </c>
      <c r="Q347" s="17" t="n">
        <v>4900</v>
      </c>
      <c r="R347" s="38" t="n">
        <f aca="false">IFERROR(Q347/VLOOKUP(P347,'Exchange rates to USD'!$L$2:$N$225,3,FALSE()),"")</f>
        <v>17.9745998531477</v>
      </c>
    </row>
    <row r="348" customFormat="false" ht="13.25" hidden="false" customHeight="true" outlineLevel="0" collapsed="false">
      <c r="A348" s="15" t="s">
        <v>1338</v>
      </c>
      <c r="B348" s="15" t="s">
        <v>1280</v>
      </c>
      <c r="C348" s="15" t="s">
        <v>58</v>
      </c>
      <c r="D348" s="15" t="s">
        <v>108</v>
      </c>
      <c r="E348" s="15" t="s">
        <v>76</v>
      </c>
      <c r="F348" s="15" t="s">
        <v>1339</v>
      </c>
      <c r="G348" s="15" t="s">
        <v>97</v>
      </c>
      <c r="J348" s="15" t="s">
        <v>1340</v>
      </c>
      <c r="K348" s="15" t="s">
        <v>1341</v>
      </c>
      <c r="M348" s="15" t="s">
        <v>93</v>
      </c>
      <c r="O348" s="16" t="n">
        <v>44209</v>
      </c>
      <c r="P348" s="15" t="s">
        <v>1284</v>
      </c>
      <c r="Q348" s="17" t="n">
        <v>43632</v>
      </c>
      <c r="R348" s="38" t="n">
        <f aca="false">IFERROR(Q348/VLOOKUP(P348,'Exchange rates to USD'!$L$2:$N$225,3,FALSE()),"")</f>
        <v>160.054640978069</v>
      </c>
    </row>
    <row r="349" customFormat="false" ht="13.25" hidden="false" customHeight="true" outlineLevel="0" collapsed="false">
      <c r="A349" s="15" t="s">
        <v>1342</v>
      </c>
      <c r="B349" s="15" t="s">
        <v>1280</v>
      </c>
      <c r="C349" s="15" t="s">
        <v>58</v>
      </c>
      <c r="D349" s="15" t="s">
        <v>59</v>
      </c>
      <c r="E349" s="15" t="s">
        <v>76</v>
      </c>
      <c r="F349" s="15" t="s">
        <v>1343</v>
      </c>
      <c r="G349" s="15" t="s">
        <v>62</v>
      </c>
      <c r="J349" s="115" t="s">
        <v>1344</v>
      </c>
      <c r="K349" s="15" t="s">
        <v>1345</v>
      </c>
      <c r="M349" s="15" t="s">
        <v>70</v>
      </c>
      <c r="O349" s="16" t="n">
        <v>44209</v>
      </c>
      <c r="P349" s="15" t="s">
        <v>1284</v>
      </c>
      <c r="Q349" s="17" t="n">
        <v>136000</v>
      </c>
      <c r="R349" s="38" t="n">
        <f aca="false">IFERROR(Q349/VLOOKUP(P349,'Exchange rates to USD'!$L$2:$N$225,3,FALSE()),"")</f>
        <v>498.886853066956</v>
      </c>
    </row>
    <row r="350" customFormat="false" ht="13.25" hidden="false" customHeight="true" outlineLevel="0" collapsed="false">
      <c r="A350" s="15" t="s">
        <v>1346</v>
      </c>
      <c r="B350" s="15" t="s">
        <v>1280</v>
      </c>
      <c r="C350" s="15" t="s">
        <v>75</v>
      </c>
      <c r="D350" s="15" t="s">
        <v>80</v>
      </c>
      <c r="E350" s="15" t="s">
        <v>233</v>
      </c>
      <c r="F350" s="15" t="s">
        <v>1347</v>
      </c>
      <c r="G350" s="15" t="s">
        <v>62</v>
      </c>
      <c r="H350" s="15" t="s">
        <v>110</v>
      </c>
      <c r="J350" s="115" t="s">
        <v>1348</v>
      </c>
      <c r="K350" s="15" t="s">
        <v>1349</v>
      </c>
      <c r="M350" s="15" t="s">
        <v>93</v>
      </c>
      <c r="O350" s="16" t="n">
        <v>44209</v>
      </c>
      <c r="P350" s="15" t="s">
        <v>1284</v>
      </c>
      <c r="Q350" s="17" t="n">
        <v>5000</v>
      </c>
      <c r="R350" s="38" t="n">
        <f aca="false">IFERROR(Q350/VLOOKUP(P350,'Exchange rates to USD'!$L$2:$N$225,3,FALSE()),"")</f>
        <v>18.3414284215793</v>
      </c>
    </row>
    <row r="351" customFormat="false" ht="13.25" hidden="false" customHeight="true" outlineLevel="0" collapsed="false">
      <c r="A351" s="15" t="s">
        <v>1350</v>
      </c>
      <c r="B351" s="15" t="s">
        <v>1280</v>
      </c>
      <c r="C351" s="15" t="s">
        <v>122</v>
      </c>
      <c r="D351" s="15" t="s">
        <v>115</v>
      </c>
      <c r="E351" s="15" t="s">
        <v>233</v>
      </c>
      <c r="F351" s="15" t="s">
        <v>1351</v>
      </c>
      <c r="G351" s="15" t="s">
        <v>62</v>
      </c>
      <c r="H351" s="15" t="s">
        <v>110</v>
      </c>
      <c r="J351" s="15" t="s">
        <v>1352</v>
      </c>
      <c r="K351" s="15" t="s">
        <v>1353</v>
      </c>
      <c r="M351" s="15" t="s">
        <v>65</v>
      </c>
      <c r="O351" s="16" t="n">
        <v>44131</v>
      </c>
      <c r="Q351" s="17" t="n">
        <v>0</v>
      </c>
      <c r="R351" s="38" t="str">
        <f aca="false">IFERROR(Q351/VLOOKUP(P351,'Exchange rates to USD'!$L$2:$N$225,3,FALSE()),"")</f>
        <v/>
      </c>
    </row>
    <row r="352" customFormat="false" ht="13.25" hidden="false" customHeight="true" outlineLevel="0" collapsed="false">
      <c r="A352" s="15" t="s">
        <v>1354</v>
      </c>
      <c r="B352" s="15" t="s">
        <v>1280</v>
      </c>
      <c r="C352" s="15" t="s">
        <v>232</v>
      </c>
      <c r="D352" s="15" t="s">
        <v>80</v>
      </c>
      <c r="E352" s="15" t="s">
        <v>149</v>
      </c>
      <c r="F352" s="15" t="s">
        <v>1355</v>
      </c>
      <c r="G352" s="15" t="s">
        <v>96</v>
      </c>
      <c r="J352" s="15" t="s">
        <v>1356</v>
      </c>
      <c r="K352" s="15" t="s">
        <v>1357</v>
      </c>
      <c r="L352" s="15" t="s">
        <v>1358</v>
      </c>
      <c r="M352" s="15" t="s">
        <v>93</v>
      </c>
      <c r="O352" s="16" t="n">
        <v>44209</v>
      </c>
      <c r="P352" s="15" t="s">
        <v>1284</v>
      </c>
      <c r="Q352" s="17" t="n">
        <v>13000</v>
      </c>
      <c r="R352" s="38" t="n">
        <f aca="false">IFERROR(Q352/VLOOKUP(P352,'Exchange rates to USD'!$L$2:$N$225,3,FALSE()),"")</f>
        <v>47.6877138961061</v>
      </c>
    </row>
    <row r="353" s="35" customFormat="true" ht="13.25" hidden="false" customHeight="true" outlineLevel="0" collapsed="false">
      <c r="A353" s="35" t="s">
        <v>1359</v>
      </c>
      <c r="B353" s="35" t="s">
        <v>1280</v>
      </c>
      <c r="C353" s="35" t="s">
        <v>75</v>
      </c>
      <c r="D353" s="35" t="s">
        <v>115</v>
      </c>
      <c r="E353" s="35" t="s">
        <v>233</v>
      </c>
      <c r="F353" s="35" t="s">
        <v>1360</v>
      </c>
      <c r="G353" s="35" t="s">
        <v>62</v>
      </c>
      <c r="H353" s="35" t="s">
        <v>110</v>
      </c>
      <c r="J353" s="35" t="s">
        <v>1361</v>
      </c>
      <c r="K353" s="116" t="s">
        <v>1362</v>
      </c>
      <c r="M353" s="35" t="s">
        <v>93</v>
      </c>
      <c r="O353" s="36" t="n">
        <v>44209</v>
      </c>
      <c r="P353" s="35" t="s">
        <v>1284</v>
      </c>
      <c r="Q353" s="37" t="n">
        <v>36000</v>
      </c>
      <c r="R353" s="38" t="n">
        <f aca="false">IFERROR(Q353/VLOOKUP(P353,'Exchange rates to USD'!$L$2:$N$225,3,FALSE()),"")</f>
        <v>132.058284635371</v>
      </c>
      <c r="U353" s="15"/>
      <c r="V353" s="15"/>
      <c r="W353" s="15"/>
    </row>
    <row r="354" s="35" customFormat="true" ht="13.25" hidden="false" customHeight="true" outlineLevel="0" collapsed="false">
      <c r="A354" s="15" t="s">
        <v>1363</v>
      </c>
      <c r="B354" s="15" t="s">
        <v>1280</v>
      </c>
      <c r="C354" s="35" t="s">
        <v>122</v>
      </c>
      <c r="D354" s="35" t="s">
        <v>115</v>
      </c>
      <c r="E354" s="35" t="s">
        <v>123</v>
      </c>
      <c r="G354" s="35" t="s">
        <v>62</v>
      </c>
      <c r="J354" s="47" t="s">
        <v>1364</v>
      </c>
      <c r="K354" s="117" t="s">
        <v>1365</v>
      </c>
      <c r="L354" s="32"/>
      <c r="M354" s="35" t="s">
        <v>70</v>
      </c>
      <c r="N354" s="32" t="s">
        <v>1366</v>
      </c>
      <c r="O354" s="36"/>
      <c r="Q354" s="37"/>
      <c r="R354" s="38"/>
      <c r="U354" s="15"/>
      <c r="V354" s="15"/>
      <c r="W354" s="15"/>
    </row>
    <row r="355" s="35" customFormat="true" ht="13.25" hidden="false" customHeight="true" outlineLevel="0" collapsed="false">
      <c r="A355" s="15" t="s">
        <v>1367</v>
      </c>
      <c r="B355" s="15" t="s">
        <v>1280</v>
      </c>
      <c r="C355" s="35" t="s">
        <v>122</v>
      </c>
      <c r="D355" s="35" t="s">
        <v>115</v>
      </c>
      <c r="E355" s="35" t="s">
        <v>76</v>
      </c>
      <c r="G355" s="35" t="s">
        <v>96</v>
      </c>
      <c r="J355" s="47" t="s">
        <v>1368</v>
      </c>
      <c r="K355" s="118"/>
      <c r="L355" s="32"/>
      <c r="M355" s="35" t="s">
        <v>93</v>
      </c>
      <c r="N355" s="32" t="s">
        <v>1366</v>
      </c>
      <c r="O355" s="36"/>
      <c r="Q355" s="37"/>
      <c r="R355" s="38"/>
      <c r="U355" s="15"/>
      <c r="V355" s="15"/>
      <c r="W355" s="15"/>
    </row>
    <row r="356" s="35" customFormat="true" ht="13.25" hidden="false" customHeight="true" outlineLevel="0" collapsed="false">
      <c r="A356" s="15" t="s">
        <v>1369</v>
      </c>
      <c r="B356" s="15" t="s">
        <v>1280</v>
      </c>
      <c r="C356" s="35" t="s">
        <v>122</v>
      </c>
      <c r="D356" s="35" t="s">
        <v>115</v>
      </c>
      <c r="E356" s="35" t="s">
        <v>123</v>
      </c>
      <c r="G356" s="35" t="s">
        <v>105</v>
      </c>
      <c r="H356" s="35" t="s">
        <v>77</v>
      </c>
      <c r="J356" s="72" t="s">
        <v>1370</v>
      </c>
      <c r="K356" s="73"/>
      <c r="L356" s="32"/>
      <c r="M356" s="35" t="s">
        <v>70</v>
      </c>
      <c r="N356" s="32" t="s">
        <v>1366</v>
      </c>
      <c r="O356" s="36"/>
      <c r="Q356" s="37"/>
      <c r="R356" s="38"/>
      <c r="U356" s="15"/>
      <c r="V356" s="15"/>
      <c r="W356" s="15"/>
    </row>
    <row r="357" s="35" customFormat="true" ht="13.25" hidden="false" customHeight="true" outlineLevel="0" collapsed="false">
      <c r="A357" s="35" t="s">
        <v>1371</v>
      </c>
      <c r="B357" s="35" t="s">
        <v>1280</v>
      </c>
      <c r="C357" s="35" t="s">
        <v>122</v>
      </c>
      <c r="D357" s="35" t="s">
        <v>115</v>
      </c>
      <c r="E357" s="35" t="s">
        <v>123</v>
      </c>
      <c r="G357" s="35" t="s">
        <v>97</v>
      </c>
      <c r="J357" s="72" t="s">
        <v>1372</v>
      </c>
      <c r="K357" s="73"/>
      <c r="L357" s="32"/>
      <c r="M357" s="35" t="s">
        <v>70</v>
      </c>
      <c r="N357" s="32" t="s">
        <v>1366</v>
      </c>
      <c r="O357" s="36"/>
      <c r="Q357" s="37"/>
      <c r="R357" s="38"/>
      <c r="U357" s="15"/>
      <c r="V357" s="15"/>
      <c r="W357" s="15"/>
    </row>
    <row r="358" s="35" customFormat="true" ht="13.25" hidden="false" customHeight="true" outlineLevel="0" collapsed="false">
      <c r="A358" s="15" t="s">
        <v>1373</v>
      </c>
      <c r="B358" s="15" t="s">
        <v>1280</v>
      </c>
      <c r="C358" s="35" t="s">
        <v>122</v>
      </c>
      <c r="D358" s="35" t="s">
        <v>115</v>
      </c>
      <c r="E358" s="35" t="s">
        <v>123</v>
      </c>
      <c r="G358" s="35" t="s">
        <v>105</v>
      </c>
      <c r="J358" s="72" t="s">
        <v>1374</v>
      </c>
      <c r="K358" s="73"/>
      <c r="L358" s="32"/>
      <c r="M358" s="35" t="s">
        <v>70</v>
      </c>
      <c r="N358" s="32" t="s">
        <v>1366</v>
      </c>
      <c r="O358" s="36"/>
      <c r="Q358" s="37"/>
      <c r="R358" s="38"/>
      <c r="U358" s="15"/>
      <c r="V358" s="15"/>
      <c r="W358" s="15"/>
    </row>
    <row r="359" s="35" customFormat="true" ht="13.25" hidden="false" customHeight="true" outlineLevel="0" collapsed="false">
      <c r="A359" s="15" t="s">
        <v>1375</v>
      </c>
      <c r="B359" s="15" t="s">
        <v>1280</v>
      </c>
      <c r="C359" s="35" t="s">
        <v>122</v>
      </c>
      <c r="D359" s="35" t="s">
        <v>59</v>
      </c>
      <c r="E359" s="35" t="s">
        <v>76</v>
      </c>
      <c r="G359" s="35" t="s">
        <v>158</v>
      </c>
      <c r="J359" s="72" t="s">
        <v>1376</v>
      </c>
      <c r="K359" s="73"/>
      <c r="L359" s="32"/>
      <c r="M359" s="35" t="s">
        <v>70</v>
      </c>
      <c r="N359" s="32" t="s">
        <v>1366</v>
      </c>
      <c r="O359" s="36"/>
      <c r="Q359" s="37"/>
      <c r="R359" s="38"/>
      <c r="U359" s="15"/>
      <c r="V359" s="15"/>
      <c r="W359" s="15"/>
    </row>
    <row r="360" customFormat="false" ht="13.25" hidden="false" customHeight="true" outlineLevel="0" collapsed="false">
      <c r="A360" s="15" t="s">
        <v>1377</v>
      </c>
      <c r="B360" s="15" t="s">
        <v>1280</v>
      </c>
      <c r="C360" s="15" t="s">
        <v>58</v>
      </c>
      <c r="D360" s="35" t="s">
        <v>80</v>
      </c>
      <c r="E360" s="35" t="s">
        <v>76</v>
      </c>
      <c r="F360" s="35" t="s">
        <v>1378</v>
      </c>
      <c r="G360" s="35" t="s">
        <v>105</v>
      </c>
      <c r="H360" s="35"/>
      <c r="I360" s="35"/>
      <c r="J360" s="47" t="s">
        <v>1379</v>
      </c>
      <c r="K360" s="34" t="s">
        <v>1380</v>
      </c>
      <c r="L360" s="32"/>
      <c r="M360" s="35" t="s">
        <v>70</v>
      </c>
      <c r="N360" s="35"/>
      <c r="O360" s="36"/>
      <c r="P360" s="119" t="s">
        <v>1284</v>
      </c>
      <c r="Q360" s="28" t="n">
        <v>33300</v>
      </c>
      <c r="R360" s="38" t="n">
        <f aca="false">IFERROR(Q360/VLOOKUP(P360,'Exchange rates to USD'!$L$2:$N$225,3,FALSE()),"")</f>
        <v>122.153913287718</v>
      </c>
    </row>
    <row r="361" customFormat="false" ht="13.25" hidden="false" customHeight="true" outlineLevel="0" collapsed="false">
      <c r="A361" s="35" t="s">
        <v>1381</v>
      </c>
      <c r="B361" s="35" t="s">
        <v>1280</v>
      </c>
      <c r="C361" s="15" t="s">
        <v>58</v>
      </c>
      <c r="D361" s="35" t="s">
        <v>80</v>
      </c>
      <c r="E361" s="35" t="s">
        <v>76</v>
      </c>
      <c r="F361" s="35" t="s">
        <v>1382</v>
      </c>
      <c r="G361" s="35" t="s">
        <v>105</v>
      </c>
      <c r="H361" s="35"/>
      <c r="I361" s="35"/>
      <c r="J361" s="72" t="s">
        <v>1383</v>
      </c>
      <c r="K361" s="120" t="s">
        <v>1384</v>
      </c>
      <c r="L361" s="32"/>
      <c r="M361" s="35" t="s">
        <v>70</v>
      </c>
      <c r="N361" s="35"/>
      <c r="O361" s="36"/>
      <c r="P361" s="119" t="s">
        <v>1284</v>
      </c>
      <c r="Q361" s="28" t="n">
        <v>18800</v>
      </c>
      <c r="R361" s="38" t="n">
        <f aca="false">IFERROR(Q361/VLOOKUP(P361,'Exchange rates to USD'!$L$2:$N$225,3,FALSE()),"")</f>
        <v>68.963770865138</v>
      </c>
    </row>
    <row r="362" customFormat="false" ht="13.25" hidden="false" customHeight="true" outlineLevel="0" collapsed="false">
      <c r="A362" s="15" t="s">
        <v>1385</v>
      </c>
      <c r="B362" s="15" t="s">
        <v>1280</v>
      </c>
      <c r="C362" s="15" t="s">
        <v>58</v>
      </c>
      <c r="D362" s="35" t="s">
        <v>80</v>
      </c>
      <c r="E362" s="35" t="s">
        <v>76</v>
      </c>
      <c r="F362" s="35" t="s">
        <v>1286</v>
      </c>
      <c r="G362" s="35" t="s">
        <v>105</v>
      </c>
      <c r="H362" s="35"/>
      <c r="I362" s="35"/>
      <c r="J362" s="72" t="s">
        <v>1386</v>
      </c>
      <c r="K362" s="120" t="s">
        <v>1387</v>
      </c>
      <c r="L362" s="32"/>
      <c r="M362" s="35" t="s">
        <v>70</v>
      </c>
      <c r="N362" s="35"/>
      <c r="O362" s="36"/>
      <c r="P362" s="119" t="s">
        <v>1284</v>
      </c>
      <c r="Q362" s="28" t="n">
        <v>7000</v>
      </c>
      <c r="R362" s="38" t="n">
        <f aca="false">IFERROR(Q362/VLOOKUP(P362,'Exchange rates to USD'!$L$2:$N$225,3,FALSE()),"")</f>
        <v>25.677999790211</v>
      </c>
    </row>
    <row r="363" customFormat="false" ht="13.25" hidden="false" customHeight="true" outlineLevel="0" collapsed="false">
      <c r="A363" s="55" t="s">
        <v>1388</v>
      </c>
      <c r="B363" s="55" t="s">
        <v>1280</v>
      </c>
      <c r="C363" s="55" t="s">
        <v>58</v>
      </c>
      <c r="D363" s="55" t="s">
        <v>80</v>
      </c>
      <c r="E363" s="55" t="s">
        <v>76</v>
      </c>
      <c r="F363" s="55" t="s">
        <v>1389</v>
      </c>
      <c r="G363" s="55" t="s">
        <v>105</v>
      </c>
      <c r="H363" s="55"/>
      <c r="I363" s="55"/>
      <c r="J363" s="76" t="s">
        <v>1390</v>
      </c>
      <c r="K363" s="121" t="s">
        <v>1391</v>
      </c>
      <c r="L363" s="52"/>
      <c r="M363" s="55" t="s">
        <v>70</v>
      </c>
      <c r="N363" s="55"/>
      <c r="O363" s="56"/>
      <c r="P363" s="122" t="s">
        <v>1284</v>
      </c>
      <c r="Q363" s="58" t="n">
        <v>3000</v>
      </c>
      <c r="R363" s="58" t="n">
        <f aca="false">IFERROR(Q363/VLOOKUP(P363,'Exchange rates to USD'!$L$2:$N$225,3,FALSE()),"")</f>
        <v>11.0048570529476</v>
      </c>
    </row>
    <row r="364" customFormat="false" ht="13.25" hidden="false" customHeight="true" outlineLevel="0" collapsed="false">
      <c r="A364" s="15" t="s">
        <v>1392</v>
      </c>
      <c r="B364" s="15" t="s">
        <v>1393</v>
      </c>
      <c r="C364" s="15" t="s">
        <v>75</v>
      </c>
      <c r="D364" s="15" t="s">
        <v>59</v>
      </c>
      <c r="E364" s="15" t="s">
        <v>76</v>
      </c>
      <c r="G364" s="15" t="s">
        <v>105</v>
      </c>
      <c r="J364" s="15" t="s">
        <v>1394</v>
      </c>
      <c r="K364" s="32" t="s">
        <v>1395</v>
      </c>
      <c r="M364" s="15" t="s">
        <v>70</v>
      </c>
      <c r="O364" s="16" t="n">
        <v>44141</v>
      </c>
      <c r="Q364" s="38" t="str">
        <f aca="false">IFERROR(P364/VLOOKUP(#REF!,'Exchange rates to USD'!$L$2:$N$225,3,FALSE()),"")</f>
        <v/>
      </c>
      <c r="R364" s="38" t="str">
        <f aca="false">IFERROR(Q364/VLOOKUP(P364,'Exchange rates to USD'!$L$2:$N$225,3,FALSE()),"")</f>
        <v/>
      </c>
    </row>
    <row r="365" customFormat="false" ht="13.25" hidden="false" customHeight="true" outlineLevel="0" collapsed="false">
      <c r="A365" s="15" t="s">
        <v>1396</v>
      </c>
      <c r="B365" s="15" t="s">
        <v>1393</v>
      </c>
      <c r="C365" s="15" t="s">
        <v>249</v>
      </c>
      <c r="D365" s="15" t="s">
        <v>59</v>
      </c>
      <c r="E365" s="15" t="s">
        <v>76</v>
      </c>
      <c r="F365" s="15" t="s">
        <v>1397</v>
      </c>
      <c r="J365" s="27" t="s">
        <v>1398</v>
      </c>
      <c r="K365" s="15" t="s">
        <v>1399</v>
      </c>
      <c r="M365" s="15" t="s">
        <v>70</v>
      </c>
      <c r="O365" s="16" t="n">
        <v>44141</v>
      </c>
      <c r="P365" s="15" t="s">
        <v>1400</v>
      </c>
      <c r="Q365" s="38" t="n">
        <v>1100</v>
      </c>
      <c r="R365" s="38" t="n">
        <f aca="false">IFERROR(Q365/VLOOKUP(P365,'Exchange rates to USD'!$L$2:$N$225,3,FALSE()),"")</f>
        <v>9.99876627105739</v>
      </c>
    </row>
    <row r="366" customFormat="false" ht="13.25" hidden="false" customHeight="true" outlineLevel="0" collapsed="false">
      <c r="A366" s="15" t="s">
        <v>1401</v>
      </c>
      <c r="B366" s="15" t="s">
        <v>1393</v>
      </c>
      <c r="C366" s="15" t="s">
        <v>249</v>
      </c>
      <c r="D366" s="15" t="s">
        <v>59</v>
      </c>
      <c r="E366" s="15" t="s">
        <v>76</v>
      </c>
      <c r="F366" s="15" t="s">
        <v>1402</v>
      </c>
      <c r="J366" s="15" t="s">
        <v>1403</v>
      </c>
      <c r="K366" s="15" t="s">
        <v>1404</v>
      </c>
      <c r="M366" s="15" t="s">
        <v>70</v>
      </c>
      <c r="O366" s="16" t="n">
        <v>44141</v>
      </c>
      <c r="Q366" s="38"/>
      <c r="R366" s="38" t="str">
        <f aca="false">IFERROR(Q366/VLOOKUP(P366,'Exchange rates to USD'!$L$2:$N$225,3,FALSE()),"")</f>
        <v/>
      </c>
    </row>
    <row r="367" customFormat="false" ht="13.25" hidden="false" customHeight="true" outlineLevel="0" collapsed="false">
      <c r="A367" s="15" t="s">
        <v>1405</v>
      </c>
      <c r="B367" s="15" t="s">
        <v>1393</v>
      </c>
      <c r="C367" s="59" t="s">
        <v>232</v>
      </c>
      <c r="D367" s="15" t="s">
        <v>59</v>
      </c>
      <c r="E367" s="15" t="s">
        <v>123</v>
      </c>
      <c r="F367" s="15" t="s">
        <v>1406</v>
      </c>
      <c r="G367" s="15" t="s">
        <v>77</v>
      </c>
      <c r="H367" s="15" t="s">
        <v>62</v>
      </c>
      <c r="J367" s="15" t="s">
        <v>1407</v>
      </c>
      <c r="K367" s="15" t="s">
        <v>1408</v>
      </c>
      <c r="M367" s="15" t="s">
        <v>113</v>
      </c>
      <c r="O367" s="16" t="n">
        <v>44141</v>
      </c>
      <c r="P367" s="15" t="s">
        <v>1400</v>
      </c>
      <c r="Q367" s="17" t="n">
        <v>250</v>
      </c>
      <c r="R367" s="38" t="n">
        <f aca="false">IFERROR(Q367/VLOOKUP(P367,'Exchange rates to USD'!$L$2:$N$225,3,FALSE()),"")</f>
        <v>2.27244687978577</v>
      </c>
    </row>
    <row r="368" customFormat="false" ht="13.25" hidden="false" customHeight="true" outlineLevel="0" collapsed="false">
      <c r="A368" s="15" t="s">
        <v>1409</v>
      </c>
      <c r="B368" s="15" t="s">
        <v>1393</v>
      </c>
      <c r="C368" s="15" t="s">
        <v>232</v>
      </c>
      <c r="D368" s="15" t="s">
        <v>59</v>
      </c>
      <c r="E368" s="15" t="s">
        <v>76</v>
      </c>
      <c r="F368" s="15" t="s">
        <v>1410</v>
      </c>
      <c r="G368" s="15" t="s">
        <v>96</v>
      </c>
      <c r="H368" s="15" t="s">
        <v>812</v>
      </c>
      <c r="I368" s="15" t="s">
        <v>97</v>
      </c>
      <c r="J368" s="15" t="s">
        <v>1411</v>
      </c>
      <c r="K368" s="15" t="s">
        <v>1412</v>
      </c>
      <c r="M368" s="15" t="s">
        <v>93</v>
      </c>
      <c r="O368" s="16" t="n">
        <v>44141</v>
      </c>
      <c r="P368" s="15" t="s">
        <v>1400</v>
      </c>
      <c r="Q368" s="17" t="n">
        <v>4500</v>
      </c>
      <c r="R368" s="38" t="n">
        <f aca="false">IFERROR(Q368/VLOOKUP(P368,'Exchange rates to USD'!$L$2:$N$225,3,FALSE()),"")</f>
        <v>40.9040438361439</v>
      </c>
    </row>
    <row r="369" customFormat="false" ht="13.25" hidden="false" customHeight="true" outlineLevel="0" collapsed="false">
      <c r="A369" s="55" t="s">
        <v>1413</v>
      </c>
      <c r="B369" s="55" t="s">
        <v>1393</v>
      </c>
      <c r="C369" s="55" t="s">
        <v>232</v>
      </c>
      <c r="D369" s="55" t="s">
        <v>80</v>
      </c>
      <c r="E369" s="55" t="s">
        <v>76</v>
      </c>
      <c r="F369" s="55" t="s">
        <v>1414</v>
      </c>
      <c r="G369" s="55" t="s">
        <v>62</v>
      </c>
      <c r="H369" s="55"/>
      <c r="I369" s="55"/>
      <c r="J369" s="55" t="s">
        <v>1415</v>
      </c>
      <c r="K369" s="55" t="s">
        <v>1416</v>
      </c>
      <c r="L369" s="55"/>
      <c r="M369" s="55" t="s">
        <v>93</v>
      </c>
      <c r="N369" s="55"/>
      <c r="O369" s="56" t="n">
        <v>44141</v>
      </c>
      <c r="P369" s="55" t="s">
        <v>1400</v>
      </c>
      <c r="Q369" s="60" t="n">
        <v>3000</v>
      </c>
      <c r="R369" s="58" t="n">
        <f aca="false">IFERROR(Q369/VLOOKUP(P369,'Exchange rates to USD'!$L$2:$N$225,3,FALSE()),"")</f>
        <v>27.2693625574292</v>
      </c>
    </row>
    <row r="370" customFormat="false" ht="13.25" hidden="false" customHeight="true" outlineLevel="0" collapsed="false">
      <c r="A370" s="15" t="s">
        <v>1417</v>
      </c>
      <c r="B370" s="15" t="s">
        <v>1418</v>
      </c>
      <c r="C370" s="15" t="s">
        <v>75</v>
      </c>
      <c r="D370" s="15" t="s">
        <v>80</v>
      </c>
      <c r="E370" s="15" t="s">
        <v>76</v>
      </c>
      <c r="F370" s="15" t="s">
        <v>1419</v>
      </c>
      <c r="J370" s="27" t="s">
        <v>1420</v>
      </c>
      <c r="K370" s="15" t="s">
        <v>1421</v>
      </c>
      <c r="M370" s="15" t="s">
        <v>70</v>
      </c>
      <c r="P370" s="15" t="s">
        <v>240</v>
      </c>
      <c r="Q370" s="17" t="n">
        <v>440</v>
      </c>
      <c r="R370" s="38" t="n">
        <f aca="false">IFERROR(Q370/VLOOKUP(P370,'Exchange rates to USD'!$L$2:$N$225,3,FALSE()),"")</f>
        <v>485.174334072643</v>
      </c>
    </row>
    <row r="371" customFormat="false" ht="13.25" hidden="false" customHeight="true" outlineLevel="0" collapsed="false">
      <c r="A371" s="15" t="s">
        <v>1422</v>
      </c>
      <c r="B371" s="15" t="s">
        <v>1418</v>
      </c>
      <c r="C371" s="15" t="s">
        <v>75</v>
      </c>
      <c r="D371" s="15" t="s">
        <v>80</v>
      </c>
      <c r="E371" s="15" t="s">
        <v>233</v>
      </c>
      <c r="F371" s="15" t="s">
        <v>1423</v>
      </c>
      <c r="G371" s="15" t="s">
        <v>62</v>
      </c>
      <c r="H371" s="15" t="s">
        <v>110</v>
      </c>
      <c r="J371" s="27" t="s">
        <v>1424</v>
      </c>
      <c r="K371" s="15" t="s">
        <v>1421</v>
      </c>
      <c r="M371" s="15" t="s">
        <v>93</v>
      </c>
      <c r="P371" s="15" t="s">
        <v>240</v>
      </c>
      <c r="Q371" s="17" t="n">
        <v>42</v>
      </c>
      <c r="R371" s="38" t="n">
        <f aca="false">IFERROR(Q371/VLOOKUP(P371,'Exchange rates to USD'!$L$2:$N$225,3,FALSE()),"")</f>
        <v>46.3120955251159</v>
      </c>
    </row>
    <row r="372" customFormat="false" ht="13.25" hidden="false" customHeight="true" outlineLevel="0" collapsed="false">
      <c r="A372" s="15" t="s">
        <v>1425</v>
      </c>
      <c r="B372" s="15" t="s">
        <v>1418</v>
      </c>
      <c r="C372" s="15" t="s">
        <v>58</v>
      </c>
      <c r="D372" s="15" t="s">
        <v>80</v>
      </c>
      <c r="E372" s="15" t="s">
        <v>76</v>
      </c>
      <c r="F372" s="15" t="s">
        <v>1426</v>
      </c>
      <c r="J372" s="15" t="s">
        <v>1427</v>
      </c>
      <c r="K372" s="34" t="s">
        <v>1428</v>
      </c>
      <c r="L372" s="34" t="s">
        <v>1429</v>
      </c>
      <c r="M372" s="15" t="s">
        <v>70</v>
      </c>
      <c r="P372" s="15" t="s">
        <v>240</v>
      </c>
      <c r="Q372" s="17" t="n">
        <v>2000</v>
      </c>
      <c r="R372" s="37" t="n">
        <f aca="false">IFERROR(Q372/VLOOKUP(P372,'Exchange rates to USD'!$L$2:$N$225,3,FALSE()),"")</f>
        <v>2205.33788214838</v>
      </c>
    </row>
    <row r="373" customFormat="false" ht="13.25" hidden="false" customHeight="true" outlineLevel="0" collapsed="false">
      <c r="A373" s="15" t="s">
        <v>1430</v>
      </c>
      <c r="B373" s="15" t="s">
        <v>1418</v>
      </c>
      <c r="C373" s="15" t="s">
        <v>232</v>
      </c>
      <c r="D373" s="15" t="s">
        <v>80</v>
      </c>
      <c r="E373" s="15" t="s">
        <v>76</v>
      </c>
      <c r="F373" s="15" t="s">
        <v>1431</v>
      </c>
      <c r="J373" s="27" t="s">
        <v>1432</v>
      </c>
      <c r="K373" s="15" t="s">
        <v>1421</v>
      </c>
      <c r="M373" s="15" t="s">
        <v>70</v>
      </c>
      <c r="P373" s="15" t="s">
        <v>240</v>
      </c>
      <c r="Q373" s="17" t="n">
        <v>2350</v>
      </c>
      <c r="R373" s="38" t="n">
        <f aca="false">IFERROR(Q373/VLOOKUP(P373,'Exchange rates to USD'!$L$2:$N$225,3,FALSE()),"")</f>
        <v>2591.27201152434</v>
      </c>
    </row>
    <row r="374" customFormat="false" ht="13.25" hidden="false" customHeight="true" outlineLevel="0" collapsed="false">
      <c r="A374" s="15" t="s">
        <v>1433</v>
      </c>
      <c r="B374" s="15" t="s">
        <v>1418</v>
      </c>
      <c r="C374" s="15" t="s">
        <v>75</v>
      </c>
      <c r="D374" s="15" t="s">
        <v>59</v>
      </c>
      <c r="E374" s="15" t="s">
        <v>76</v>
      </c>
      <c r="F374" s="15" t="s">
        <v>1351</v>
      </c>
      <c r="J374" s="27" t="s">
        <v>1434</v>
      </c>
      <c r="K374" s="15" t="s">
        <v>1421</v>
      </c>
      <c r="M374" s="15" t="s">
        <v>70</v>
      </c>
      <c r="R374" s="38" t="str">
        <f aca="false">IFERROR(Q374/VLOOKUP(P374,'Exchange rates to USD'!$L$2:$N$225,3,FALSE()),"")</f>
        <v/>
      </c>
    </row>
    <row r="375" customFormat="false" ht="13.25" hidden="false" customHeight="true" outlineLevel="0" collapsed="false">
      <c r="A375" s="15" t="s">
        <v>1435</v>
      </c>
      <c r="B375" s="15" t="s">
        <v>1418</v>
      </c>
      <c r="C375" s="15" t="s">
        <v>75</v>
      </c>
      <c r="D375" s="15" t="s">
        <v>80</v>
      </c>
      <c r="E375" s="15" t="s">
        <v>76</v>
      </c>
      <c r="F375" s="15" t="s">
        <v>1351</v>
      </c>
      <c r="J375" s="15" t="s">
        <v>1436</v>
      </c>
      <c r="K375" s="15" t="s">
        <v>1421</v>
      </c>
      <c r="M375" s="15" t="s">
        <v>70</v>
      </c>
      <c r="R375" s="38" t="str">
        <f aca="false">IFERROR(Q375/VLOOKUP(P375,'Exchange rates to USD'!$L$2:$N$225,3,FALSE()),"")</f>
        <v/>
      </c>
    </row>
    <row r="376" customFormat="false" ht="13.25" hidden="false" customHeight="true" outlineLevel="0" collapsed="false">
      <c r="A376" s="15" t="s">
        <v>1437</v>
      </c>
      <c r="B376" s="15" t="s">
        <v>1418</v>
      </c>
      <c r="C376" s="15" t="s">
        <v>75</v>
      </c>
      <c r="D376" s="15" t="s">
        <v>80</v>
      </c>
      <c r="E376" s="15" t="s">
        <v>76</v>
      </c>
      <c r="F376" s="15" t="s">
        <v>1438</v>
      </c>
      <c r="J376" s="27" t="s">
        <v>1439</v>
      </c>
      <c r="K376" s="15" t="s">
        <v>1421</v>
      </c>
      <c r="M376" s="15" t="s">
        <v>70</v>
      </c>
      <c r="P376" s="15" t="s">
        <v>240</v>
      </c>
      <c r="Q376" s="17" t="n">
        <v>150</v>
      </c>
      <c r="R376" s="38" t="n">
        <f aca="false">IFERROR(Q376/VLOOKUP(P376,'Exchange rates to USD'!$L$2:$N$225,3,FALSE()),"")</f>
        <v>165.400341161128</v>
      </c>
    </row>
    <row r="377" customFormat="false" ht="13.25" hidden="false" customHeight="true" outlineLevel="0" collapsed="false">
      <c r="A377" s="15" t="s">
        <v>1440</v>
      </c>
      <c r="B377" s="15" t="s">
        <v>1418</v>
      </c>
      <c r="C377" s="15" t="s">
        <v>58</v>
      </c>
      <c r="D377" s="15" t="s">
        <v>80</v>
      </c>
      <c r="E377" s="15" t="s">
        <v>116</v>
      </c>
      <c r="F377" s="15" t="s">
        <v>1441</v>
      </c>
      <c r="J377" s="27" t="s">
        <v>1442</v>
      </c>
      <c r="K377" s="15" t="s">
        <v>1421</v>
      </c>
      <c r="M377" s="15" t="s">
        <v>70</v>
      </c>
      <c r="P377" s="15" t="s">
        <v>240</v>
      </c>
      <c r="Q377" s="17" t="n">
        <v>18</v>
      </c>
      <c r="R377" s="38" t="n">
        <f aca="false">IFERROR(Q377/VLOOKUP(P377,'Exchange rates to USD'!$L$2:$N$225,3,FALSE()),"")</f>
        <v>19.8480409393354</v>
      </c>
    </row>
    <row r="378" customFormat="false" ht="13.25" hidden="false" customHeight="true" outlineLevel="0" collapsed="false">
      <c r="A378" s="15" t="s">
        <v>1443</v>
      </c>
      <c r="B378" s="15" t="s">
        <v>1418</v>
      </c>
      <c r="C378" s="15" t="s">
        <v>75</v>
      </c>
      <c r="D378" s="15" t="s">
        <v>80</v>
      </c>
      <c r="E378" s="15" t="s">
        <v>76</v>
      </c>
      <c r="F378" s="15" t="s">
        <v>1351</v>
      </c>
      <c r="J378" s="27" t="s">
        <v>1444</v>
      </c>
      <c r="K378" s="15" t="s">
        <v>1421</v>
      </c>
      <c r="M378" s="15" t="s">
        <v>70</v>
      </c>
      <c r="R378" s="38" t="str">
        <f aca="false">IFERROR(Q378/VLOOKUP(P378,'Exchange rates to USD'!$L$2:$N$225,3,FALSE()),"")</f>
        <v/>
      </c>
    </row>
    <row r="379" customFormat="false" ht="13.25" hidden="false" customHeight="true" outlineLevel="0" collapsed="false">
      <c r="A379" s="15" t="s">
        <v>1445</v>
      </c>
      <c r="B379" s="15" t="s">
        <v>1418</v>
      </c>
      <c r="C379" s="15" t="s">
        <v>75</v>
      </c>
      <c r="D379" s="15" t="s">
        <v>80</v>
      </c>
      <c r="E379" s="15" t="s">
        <v>76</v>
      </c>
      <c r="F379" s="15" t="s">
        <v>1351</v>
      </c>
      <c r="J379" s="27" t="s">
        <v>1446</v>
      </c>
      <c r="K379" s="15" t="s">
        <v>1447</v>
      </c>
      <c r="M379" s="15" t="s">
        <v>70</v>
      </c>
      <c r="R379" s="38" t="str">
        <f aca="false">IFERROR(Q379/VLOOKUP(P379,'Exchange rates to USD'!$L$2:$N$225,3,FALSE()),"")</f>
        <v/>
      </c>
    </row>
    <row r="380" customFormat="false" ht="13.25" hidden="false" customHeight="true" outlineLevel="0" collapsed="false">
      <c r="A380" s="15" t="s">
        <v>1448</v>
      </c>
      <c r="B380" s="15" t="s">
        <v>1418</v>
      </c>
      <c r="C380" s="15" t="s">
        <v>58</v>
      </c>
      <c r="D380" s="15" t="s">
        <v>115</v>
      </c>
      <c r="E380" s="15" t="s">
        <v>76</v>
      </c>
      <c r="F380" s="15" t="s">
        <v>1449</v>
      </c>
      <c r="J380" s="15" t="s">
        <v>1450</v>
      </c>
      <c r="K380" s="15" t="s">
        <v>1451</v>
      </c>
      <c r="M380" s="15" t="s">
        <v>70</v>
      </c>
      <c r="O380" s="16" t="n">
        <v>44142</v>
      </c>
      <c r="P380" s="15" t="s">
        <v>240</v>
      </c>
      <c r="Q380" s="17" t="n">
        <v>25</v>
      </c>
      <c r="R380" s="38" t="n">
        <f aca="false">IFERROR(Q380/VLOOKUP(P380,'Exchange rates to USD'!$L$2:$N$225,3,FALSE()),"")</f>
        <v>27.5667235268547</v>
      </c>
    </row>
    <row r="381" customFormat="false" ht="13.25" hidden="false" customHeight="true" outlineLevel="0" collapsed="false">
      <c r="A381" s="15" t="s">
        <v>1452</v>
      </c>
      <c r="B381" s="15" t="s">
        <v>1418</v>
      </c>
      <c r="C381" s="15" t="s">
        <v>176</v>
      </c>
      <c r="D381" s="15" t="s">
        <v>59</v>
      </c>
      <c r="E381" s="15" t="s">
        <v>76</v>
      </c>
      <c r="F381" s="15" t="s">
        <v>1351</v>
      </c>
      <c r="J381" s="15" t="s">
        <v>1453</v>
      </c>
      <c r="K381" s="15" t="s">
        <v>1451</v>
      </c>
      <c r="M381" s="15" t="s">
        <v>70</v>
      </c>
      <c r="N381" s="15" t="s">
        <v>1454</v>
      </c>
      <c r="O381" s="16" t="n">
        <v>44142</v>
      </c>
      <c r="R381" s="38" t="str">
        <f aca="false">IFERROR(Q381/VLOOKUP(P381,'Exchange rates to USD'!$L$2:$N$225,3,FALSE()),"")</f>
        <v/>
      </c>
    </row>
    <row r="382" customFormat="false" ht="13.25" hidden="false" customHeight="true" outlineLevel="0" collapsed="false">
      <c r="A382" s="15" t="s">
        <v>1455</v>
      </c>
      <c r="B382" s="15" t="s">
        <v>1418</v>
      </c>
      <c r="C382" s="15" t="s">
        <v>58</v>
      </c>
      <c r="D382" s="15" t="s">
        <v>80</v>
      </c>
      <c r="E382" s="15" t="s">
        <v>76</v>
      </c>
      <c r="F382" s="15" t="s">
        <v>1456</v>
      </c>
      <c r="G382" s="15" t="s">
        <v>96</v>
      </c>
      <c r="H382" s="15" t="s">
        <v>812</v>
      </c>
      <c r="I382" s="15" t="s">
        <v>105</v>
      </c>
      <c r="J382" s="15" t="s">
        <v>1457</v>
      </c>
      <c r="K382" s="15" t="s">
        <v>1458</v>
      </c>
      <c r="M382" s="15" t="s">
        <v>93</v>
      </c>
      <c r="O382" s="16" t="n">
        <v>44142</v>
      </c>
      <c r="P382" s="15" t="s">
        <v>240</v>
      </c>
      <c r="Q382" s="17" t="n">
        <v>10</v>
      </c>
      <c r="R382" s="38" t="n">
        <f aca="false">IFERROR(Q382/VLOOKUP(P382,'Exchange rates to USD'!$L$2:$N$225,3,FALSE()),"")</f>
        <v>11.0266894107419</v>
      </c>
    </row>
    <row r="383" customFormat="false" ht="13.25" hidden="false" customHeight="true" outlineLevel="0" collapsed="false">
      <c r="A383" s="15" t="s">
        <v>1459</v>
      </c>
      <c r="B383" s="15" t="s">
        <v>1418</v>
      </c>
      <c r="C383" s="15" t="s">
        <v>232</v>
      </c>
      <c r="D383" s="15" t="s">
        <v>80</v>
      </c>
      <c r="E383" s="15" t="s">
        <v>76</v>
      </c>
      <c r="F383" s="15" t="s">
        <v>1460</v>
      </c>
      <c r="J383" s="15" t="s">
        <v>1461</v>
      </c>
      <c r="K383" s="15" t="s">
        <v>1462</v>
      </c>
      <c r="M383" s="15" t="s">
        <v>70</v>
      </c>
      <c r="O383" s="16" t="n">
        <v>44142</v>
      </c>
      <c r="P383" s="15" t="s">
        <v>240</v>
      </c>
      <c r="Q383" s="17" t="n">
        <v>10</v>
      </c>
      <c r="R383" s="38" t="n">
        <f aca="false">IFERROR(Q383/VLOOKUP(P383,'Exchange rates to USD'!$L$2:$N$225,3,FALSE()),"")</f>
        <v>11.0266894107419</v>
      </c>
    </row>
    <row r="384" customFormat="false" ht="13.25" hidden="false" customHeight="true" outlineLevel="0" collapsed="false">
      <c r="A384" s="15" t="s">
        <v>1463</v>
      </c>
      <c r="B384" s="15" t="s">
        <v>1418</v>
      </c>
      <c r="C384" s="15" t="s">
        <v>58</v>
      </c>
      <c r="D384" s="15" t="s">
        <v>80</v>
      </c>
      <c r="E384" s="15" t="s">
        <v>95</v>
      </c>
      <c r="F384" s="15" t="s">
        <v>1464</v>
      </c>
      <c r="G384" s="15" t="s">
        <v>62</v>
      </c>
      <c r="H384" s="15" t="s">
        <v>110</v>
      </c>
      <c r="J384" s="15" t="s">
        <v>1465</v>
      </c>
      <c r="K384" s="15" t="s">
        <v>1466</v>
      </c>
      <c r="L384" s="15" t="s">
        <v>1467</v>
      </c>
      <c r="M384" s="15" t="s">
        <v>93</v>
      </c>
      <c r="N384" s="15" t="s">
        <v>1468</v>
      </c>
      <c r="O384" s="16" t="n">
        <v>44155</v>
      </c>
      <c r="P384" s="15" t="s">
        <v>240</v>
      </c>
      <c r="Q384" s="17" t="n">
        <v>100</v>
      </c>
      <c r="R384" s="38" t="n">
        <f aca="false">IFERROR(Q384/VLOOKUP(P384,'Exchange rates to USD'!$L$2:$N$225,3,FALSE()),"")</f>
        <v>110.266894107419</v>
      </c>
    </row>
    <row r="385" customFormat="false" ht="13.25" hidden="false" customHeight="true" outlineLevel="0" collapsed="false">
      <c r="A385" s="15" t="s">
        <v>1469</v>
      </c>
      <c r="B385" s="15" t="s">
        <v>1418</v>
      </c>
      <c r="C385" s="15" t="s">
        <v>232</v>
      </c>
      <c r="D385" s="15" t="s">
        <v>115</v>
      </c>
      <c r="E385" s="15" t="s">
        <v>233</v>
      </c>
      <c r="F385" s="15" t="s">
        <v>1470</v>
      </c>
      <c r="G385" s="15" t="s">
        <v>110</v>
      </c>
      <c r="H385" s="15" t="s">
        <v>62</v>
      </c>
      <c r="J385" s="15" t="s">
        <v>1471</v>
      </c>
      <c r="K385" s="15" t="s">
        <v>1472</v>
      </c>
      <c r="M385" s="15" t="s">
        <v>93</v>
      </c>
      <c r="O385" s="16" t="n">
        <v>44142</v>
      </c>
      <c r="P385" s="15" t="s">
        <v>240</v>
      </c>
      <c r="Q385" s="17" t="n">
        <v>40</v>
      </c>
      <c r="R385" s="38" t="n">
        <f aca="false">IFERROR(Q385/VLOOKUP(P385,'Exchange rates to USD'!$L$2:$N$225,3,FALSE()),"")</f>
        <v>44.1067576429675</v>
      </c>
    </row>
    <row r="386" customFormat="false" ht="13.25" hidden="false" customHeight="true" outlineLevel="0" collapsed="false">
      <c r="A386" s="15" t="s">
        <v>1473</v>
      </c>
      <c r="B386" s="15" t="s">
        <v>1418</v>
      </c>
      <c r="C386" s="15" t="s">
        <v>232</v>
      </c>
      <c r="D386" s="15" t="s">
        <v>115</v>
      </c>
      <c r="E386" s="15" t="s">
        <v>233</v>
      </c>
      <c r="F386" s="15" t="s">
        <v>1474</v>
      </c>
      <c r="G386" s="15" t="s">
        <v>110</v>
      </c>
      <c r="H386" s="15" t="s">
        <v>62</v>
      </c>
      <c r="J386" s="15" t="s">
        <v>1475</v>
      </c>
      <c r="K386" s="15" t="s">
        <v>1472</v>
      </c>
      <c r="M386" s="15" t="s">
        <v>113</v>
      </c>
      <c r="O386" s="16" t="n">
        <v>44142</v>
      </c>
      <c r="P386" s="15" t="s">
        <v>240</v>
      </c>
      <c r="Q386" s="17" t="n">
        <v>2</v>
      </c>
      <c r="R386" s="38" t="n">
        <f aca="false">IFERROR(Q386/VLOOKUP(P386,'Exchange rates to USD'!$L$2:$N$225,3,FALSE()),"")</f>
        <v>2.20533788214838</v>
      </c>
    </row>
    <row r="387" customFormat="false" ht="13.25" hidden="false" customHeight="true" outlineLevel="0" collapsed="false">
      <c r="A387" s="15" t="s">
        <v>1476</v>
      </c>
      <c r="B387" s="15" t="s">
        <v>1418</v>
      </c>
      <c r="C387" s="15" t="s">
        <v>232</v>
      </c>
      <c r="D387" s="15" t="s">
        <v>115</v>
      </c>
      <c r="E387" s="15" t="s">
        <v>233</v>
      </c>
      <c r="F387" s="15" t="s">
        <v>1477</v>
      </c>
      <c r="G387" s="15" t="s">
        <v>110</v>
      </c>
      <c r="H387" s="15" t="s">
        <v>62</v>
      </c>
      <c r="J387" s="15" t="s">
        <v>1478</v>
      </c>
      <c r="K387" s="15" t="s">
        <v>1472</v>
      </c>
      <c r="M387" s="15" t="s">
        <v>113</v>
      </c>
      <c r="O387" s="16" t="n">
        <v>44142</v>
      </c>
      <c r="P387" s="15" t="s">
        <v>240</v>
      </c>
      <c r="Q387" s="17" t="n">
        <v>21</v>
      </c>
      <c r="R387" s="38" t="n">
        <f aca="false">IFERROR(Q387/VLOOKUP(P387,'Exchange rates to USD'!$L$2:$N$225,3,FALSE()),"")</f>
        <v>23.156047762558</v>
      </c>
    </row>
    <row r="388" customFormat="false" ht="13.25" hidden="false" customHeight="true" outlineLevel="0" collapsed="false">
      <c r="A388" s="15" t="s">
        <v>1479</v>
      </c>
      <c r="B388" s="15" t="s">
        <v>1418</v>
      </c>
      <c r="C388" s="15" t="s">
        <v>58</v>
      </c>
      <c r="D388" s="15" t="s">
        <v>115</v>
      </c>
      <c r="E388" s="15" t="s">
        <v>233</v>
      </c>
      <c r="F388" s="15" t="s">
        <v>1480</v>
      </c>
      <c r="G388" s="15" t="s">
        <v>110</v>
      </c>
      <c r="H388" s="15" t="s">
        <v>62</v>
      </c>
      <c r="J388" s="15" t="s">
        <v>1481</v>
      </c>
      <c r="K388" s="15" t="s">
        <v>1472</v>
      </c>
      <c r="M388" s="15" t="s">
        <v>93</v>
      </c>
      <c r="O388" s="16" t="n">
        <v>44142</v>
      </c>
      <c r="P388" s="15" t="s">
        <v>240</v>
      </c>
      <c r="Q388" s="17" t="n">
        <v>0.25</v>
      </c>
      <c r="R388" s="38" t="n">
        <f aca="false">IFERROR(Q388/VLOOKUP(P388,'Exchange rates to USD'!$L$2:$N$225,3,FALSE()),"")</f>
        <v>0.275667235268547</v>
      </c>
    </row>
    <row r="389" customFormat="false" ht="13.25" hidden="false" customHeight="true" outlineLevel="0" collapsed="false">
      <c r="A389" s="15" t="s">
        <v>1482</v>
      </c>
      <c r="B389" s="15" t="s">
        <v>1418</v>
      </c>
      <c r="C389" s="15" t="s">
        <v>232</v>
      </c>
      <c r="D389" s="15" t="s">
        <v>80</v>
      </c>
      <c r="E389" s="15" t="s">
        <v>123</v>
      </c>
      <c r="F389" s="15" t="s">
        <v>1483</v>
      </c>
      <c r="G389" s="15" t="s">
        <v>77</v>
      </c>
      <c r="H389" s="15" t="s">
        <v>62</v>
      </c>
      <c r="J389" s="15" t="s">
        <v>1484</v>
      </c>
      <c r="K389" s="15" t="s">
        <v>1472</v>
      </c>
      <c r="L389" s="15" t="s">
        <v>1485</v>
      </c>
      <c r="M389" s="15" t="s">
        <v>93</v>
      </c>
      <c r="O389" s="16" t="n">
        <v>44142</v>
      </c>
      <c r="P389" s="15" t="s">
        <v>240</v>
      </c>
      <c r="Q389" s="17" t="n">
        <v>15</v>
      </c>
      <c r="R389" s="38" t="n">
        <f aca="false">IFERROR(Q389/VLOOKUP(P389,'Exchange rates to USD'!$L$2:$N$225,3,FALSE()),"")</f>
        <v>16.5400341161128</v>
      </c>
    </row>
    <row r="390" customFormat="false" ht="13.25" hidden="false" customHeight="true" outlineLevel="0" collapsed="false">
      <c r="A390" s="15" t="s">
        <v>1486</v>
      </c>
      <c r="B390" s="15" t="s">
        <v>1418</v>
      </c>
      <c r="C390" s="15" t="s">
        <v>176</v>
      </c>
      <c r="D390" s="15" t="s">
        <v>80</v>
      </c>
      <c r="E390" s="15" t="s">
        <v>76</v>
      </c>
      <c r="F390" s="15" t="s">
        <v>1487</v>
      </c>
      <c r="G390" s="15" t="s">
        <v>105</v>
      </c>
      <c r="J390" s="15" t="s">
        <v>1488</v>
      </c>
      <c r="K390" s="15" t="s">
        <v>1489</v>
      </c>
      <c r="M390" s="15" t="s">
        <v>93</v>
      </c>
      <c r="O390" s="16" t="n">
        <v>44142</v>
      </c>
      <c r="P390" s="15" t="s">
        <v>240</v>
      </c>
      <c r="Q390" s="17" t="n">
        <v>11</v>
      </c>
      <c r="R390" s="38" t="n">
        <f aca="false">IFERROR(Q390/VLOOKUP(P390,'Exchange rates to USD'!$L$2:$N$225,3,FALSE()),"")</f>
        <v>12.1293583518161</v>
      </c>
    </row>
    <row r="391" customFormat="false" ht="13.25" hidden="false" customHeight="true" outlineLevel="0" collapsed="false">
      <c r="A391" s="15" t="s">
        <v>1490</v>
      </c>
      <c r="B391" s="15" t="s">
        <v>1418</v>
      </c>
      <c r="C391" s="15" t="s">
        <v>232</v>
      </c>
      <c r="D391" s="15" t="s">
        <v>80</v>
      </c>
      <c r="E391" s="15" t="s">
        <v>233</v>
      </c>
      <c r="F391" s="15" t="s">
        <v>1491</v>
      </c>
      <c r="G391" s="15" t="s">
        <v>158</v>
      </c>
      <c r="J391" s="15" t="s">
        <v>1492</v>
      </c>
      <c r="K391" s="15" t="s">
        <v>1493</v>
      </c>
      <c r="M391" s="15" t="s">
        <v>113</v>
      </c>
      <c r="O391" s="16" t="n">
        <v>44143</v>
      </c>
      <c r="P391" s="15" t="s">
        <v>240</v>
      </c>
      <c r="Q391" s="17" t="n">
        <v>10</v>
      </c>
      <c r="R391" s="38" t="n">
        <f aca="false">IFERROR(Q391/VLOOKUP(P391,'Exchange rates to USD'!$L$2:$N$225,3,FALSE()),"")</f>
        <v>11.0266894107419</v>
      </c>
    </row>
    <row r="392" customFormat="false" ht="13.25" hidden="false" customHeight="true" outlineLevel="0" collapsed="false">
      <c r="A392" s="15" t="s">
        <v>1494</v>
      </c>
      <c r="B392" s="15" t="s">
        <v>1418</v>
      </c>
      <c r="C392" s="15" t="s">
        <v>232</v>
      </c>
      <c r="D392" s="15" t="s">
        <v>115</v>
      </c>
      <c r="E392" s="15" t="s">
        <v>123</v>
      </c>
      <c r="F392" s="15" t="s">
        <v>1456</v>
      </c>
      <c r="H392" s="15" t="s">
        <v>77</v>
      </c>
      <c r="J392" s="15" t="s">
        <v>1495</v>
      </c>
      <c r="K392" s="15" t="s">
        <v>1467</v>
      </c>
      <c r="M392" s="15" t="s">
        <v>113</v>
      </c>
      <c r="N392" s="15" t="s">
        <v>1468</v>
      </c>
      <c r="O392" s="16" t="n">
        <v>44155</v>
      </c>
      <c r="P392" s="15" t="s">
        <v>240</v>
      </c>
      <c r="Q392" s="17" t="n">
        <v>10</v>
      </c>
      <c r="R392" s="38" t="n">
        <f aca="false">IFERROR(Q392/VLOOKUP(P392,'Exchange rates to USD'!$L$2:$N$225,3,FALSE()),"")</f>
        <v>11.0266894107419</v>
      </c>
    </row>
    <row r="393" customFormat="false" ht="13.25" hidden="false" customHeight="true" outlineLevel="0" collapsed="false">
      <c r="A393" s="15" t="s">
        <v>1496</v>
      </c>
      <c r="B393" s="15" t="s">
        <v>1418</v>
      </c>
      <c r="C393" s="15" t="s">
        <v>75</v>
      </c>
      <c r="D393" s="15" t="s">
        <v>80</v>
      </c>
      <c r="E393" s="15" t="s">
        <v>90</v>
      </c>
      <c r="F393" s="15" t="s">
        <v>1456</v>
      </c>
      <c r="G393" s="15" t="s">
        <v>105</v>
      </c>
      <c r="J393" s="15" t="s">
        <v>1497</v>
      </c>
      <c r="K393" s="15" t="s">
        <v>1467</v>
      </c>
      <c r="M393" s="15" t="s">
        <v>113</v>
      </c>
      <c r="N393" s="15" t="s">
        <v>1468</v>
      </c>
      <c r="O393" s="16" t="n">
        <v>44155</v>
      </c>
      <c r="P393" s="15" t="s">
        <v>240</v>
      </c>
      <c r="Q393" s="17" t="n">
        <v>10</v>
      </c>
      <c r="R393" s="38" t="n">
        <f aca="false">IFERROR(Q393/VLOOKUP(P393,'Exchange rates to USD'!$L$2:$N$225,3,FALSE()),"")</f>
        <v>11.0266894107419</v>
      </c>
    </row>
    <row r="394" customFormat="false" ht="13.25" hidden="false" customHeight="true" outlineLevel="0" collapsed="false">
      <c r="A394" s="55" t="s">
        <v>1498</v>
      </c>
      <c r="B394" s="55" t="s">
        <v>1418</v>
      </c>
      <c r="C394" s="55" t="s">
        <v>232</v>
      </c>
      <c r="D394" s="55" t="s">
        <v>115</v>
      </c>
      <c r="E394" s="55"/>
      <c r="F394" s="55" t="s">
        <v>1499</v>
      </c>
      <c r="G394" s="55" t="s">
        <v>97</v>
      </c>
      <c r="H394" s="55"/>
      <c r="I394" s="55"/>
      <c r="J394" s="55" t="s">
        <v>1500</v>
      </c>
      <c r="K394" s="55" t="s">
        <v>1467</v>
      </c>
      <c r="L394" s="55"/>
      <c r="M394" s="55" t="s">
        <v>93</v>
      </c>
      <c r="N394" s="55" t="s">
        <v>1468</v>
      </c>
      <c r="O394" s="56" t="n">
        <v>44156</v>
      </c>
      <c r="P394" s="55" t="s">
        <v>240</v>
      </c>
      <c r="Q394" s="60" t="n">
        <v>30</v>
      </c>
      <c r="R394" s="58" t="n">
        <f aca="false">IFERROR(Q394/VLOOKUP(P394,'Exchange rates to USD'!$L$2:$N$225,3,FALSE()),"")</f>
        <v>33.0800682322256</v>
      </c>
    </row>
    <row r="395" customFormat="false" ht="13.25" hidden="false" customHeight="true" outlineLevel="0" collapsed="false">
      <c r="A395" s="15" t="s">
        <v>1501</v>
      </c>
      <c r="B395" s="15" t="s">
        <v>1502</v>
      </c>
      <c r="C395" s="15" t="s">
        <v>58</v>
      </c>
      <c r="D395" s="15" t="s">
        <v>115</v>
      </c>
      <c r="E395" s="15" t="s">
        <v>95</v>
      </c>
      <c r="F395" s="15" t="s">
        <v>1503</v>
      </c>
      <c r="G395" s="15" t="s">
        <v>62</v>
      </c>
      <c r="J395" s="15" t="s">
        <v>1504</v>
      </c>
      <c r="K395" s="27" t="s">
        <v>1505</v>
      </c>
      <c r="M395" s="15" t="s">
        <v>93</v>
      </c>
      <c r="O395" s="16" t="n">
        <v>44158</v>
      </c>
      <c r="P395" s="15" t="s">
        <v>1506</v>
      </c>
      <c r="Q395" s="17" t="n">
        <v>6500</v>
      </c>
      <c r="R395" s="38" t="n">
        <f aca="false">IFERROR(Q395/VLOOKUP(P395,'Exchange rates to USD'!$L$2:$N$225,3,FALSE()),"")</f>
        <v>1770.44083970259</v>
      </c>
    </row>
    <row r="396" customFormat="false" ht="15" hidden="false" customHeight="true" outlineLevel="0" collapsed="false">
      <c r="A396" s="15" t="s">
        <v>1507</v>
      </c>
      <c r="B396" s="15" t="s">
        <v>1502</v>
      </c>
      <c r="C396" s="15" t="s">
        <v>58</v>
      </c>
      <c r="D396" s="15" t="s">
        <v>115</v>
      </c>
      <c r="E396" s="15" t="s">
        <v>95</v>
      </c>
      <c r="F396" s="15" t="s">
        <v>1508</v>
      </c>
      <c r="G396" s="15" t="s">
        <v>62</v>
      </c>
      <c r="J396" s="15" t="s">
        <v>1509</v>
      </c>
      <c r="K396" s="27" t="s">
        <v>1505</v>
      </c>
      <c r="M396" s="15" t="s">
        <v>93</v>
      </c>
      <c r="O396" s="16" t="n">
        <v>44158</v>
      </c>
      <c r="P396" s="15" t="s">
        <v>1506</v>
      </c>
      <c r="Q396" s="17" t="n">
        <v>500</v>
      </c>
      <c r="R396" s="38" t="n">
        <f aca="false">IFERROR(Q396/VLOOKUP(P396,'Exchange rates to USD'!$L$2:$N$225,3,FALSE()),"")</f>
        <v>136.187756900199</v>
      </c>
    </row>
    <row r="397" customFormat="false" ht="13.25" hidden="false" customHeight="true" outlineLevel="0" collapsed="false">
      <c r="A397" s="15" t="s">
        <v>1510</v>
      </c>
      <c r="B397" s="15" t="s">
        <v>1502</v>
      </c>
      <c r="C397" s="15" t="s">
        <v>122</v>
      </c>
      <c r="D397" s="15" t="s">
        <v>115</v>
      </c>
      <c r="E397" s="15" t="s">
        <v>95</v>
      </c>
      <c r="F397" s="15" t="s">
        <v>1511</v>
      </c>
      <c r="G397" s="15" t="s">
        <v>62</v>
      </c>
      <c r="J397" s="15" t="s">
        <v>1512</v>
      </c>
      <c r="K397" s="27" t="s">
        <v>1505</v>
      </c>
      <c r="M397" s="15" t="s">
        <v>93</v>
      </c>
      <c r="O397" s="16" t="n">
        <v>44158</v>
      </c>
      <c r="R397" s="38" t="str">
        <f aca="false">IFERROR(Q397/VLOOKUP(P397,'Exchange rates to USD'!$L$2:$N$225,3,FALSE()),"")</f>
        <v/>
      </c>
    </row>
    <row r="398" customFormat="false" ht="13.25" hidden="false" customHeight="true" outlineLevel="0" collapsed="false">
      <c r="A398" s="15" t="s">
        <v>1513</v>
      </c>
      <c r="B398" s="15" t="s">
        <v>1502</v>
      </c>
      <c r="C398" s="15" t="s">
        <v>122</v>
      </c>
      <c r="D398" s="15" t="s">
        <v>115</v>
      </c>
      <c r="E398" s="15" t="s">
        <v>95</v>
      </c>
      <c r="F398" s="15" t="s">
        <v>1511</v>
      </c>
      <c r="G398" s="15" t="s">
        <v>62</v>
      </c>
      <c r="J398" s="15" t="s">
        <v>1514</v>
      </c>
      <c r="K398" s="27" t="s">
        <v>1505</v>
      </c>
      <c r="M398" s="15" t="s">
        <v>93</v>
      </c>
      <c r="O398" s="16" t="n">
        <v>44159</v>
      </c>
      <c r="R398" s="38" t="str">
        <f aca="false">IFERROR(Q398/VLOOKUP(P398,'Exchange rates to USD'!$L$2:$N$225,3,FALSE()),"")</f>
        <v/>
      </c>
    </row>
    <row r="399" customFormat="false" ht="13.25" hidden="false" customHeight="true" outlineLevel="0" collapsed="false">
      <c r="A399" s="15" t="s">
        <v>1515</v>
      </c>
      <c r="B399" s="15" t="s">
        <v>1502</v>
      </c>
      <c r="C399" s="15" t="s">
        <v>58</v>
      </c>
      <c r="D399" s="15" t="s">
        <v>115</v>
      </c>
      <c r="E399" s="15" t="s">
        <v>116</v>
      </c>
      <c r="F399" s="15" t="s">
        <v>1516</v>
      </c>
      <c r="G399" s="15" t="s">
        <v>62</v>
      </c>
      <c r="H399" s="15" t="s">
        <v>110</v>
      </c>
      <c r="J399" s="15" t="s">
        <v>1517</v>
      </c>
      <c r="K399" s="27" t="s">
        <v>1505</v>
      </c>
      <c r="M399" s="15" t="s">
        <v>93</v>
      </c>
      <c r="O399" s="16" t="n">
        <v>44160</v>
      </c>
      <c r="P399" s="15" t="s">
        <v>1506</v>
      </c>
      <c r="Q399" s="17" t="n">
        <v>300</v>
      </c>
      <c r="R399" s="38" t="n">
        <f aca="false">IFERROR(Q399/VLOOKUP(P399,'Exchange rates to USD'!$L$2:$N$225,3,FALSE()),"")</f>
        <v>81.7126541401195</v>
      </c>
    </row>
    <row r="400" customFormat="false" ht="13.25" hidden="false" customHeight="true" outlineLevel="0" collapsed="false">
      <c r="A400" s="15" t="s">
        <v>1518</v>
      </c>
      <c r="B400" s="15" t="s">
        <v>1502</v>
      </c>
      <c r="C400" s="15" t="s">
        <v>249</v>
      </c>
      <c r="D400" s="15" t="s">
        <v>115</v>
      </c>
      <c r="E400" s="15" t="s">
        <v>233</v>
      </c>
      <c r="F400" s="15" t="s">
        <v>1519</v>
      </c>
      <c r="G400" s="15" t="s">
        <v>62</v>
      </c>
      <c r="H400" s="15" t="s">
        <v>110</v>
      </c>
      <c r="J400" s="15" t="s">
        <v>1520</v>
      </c>
      <c r="K400" s="27" t="s">
        <v>1505</v>
      </c>
      <c r="M400" s="15" t="s">
        <v>93</v>
      </c>
      <c r="O400" s="16" t="n">
        <v>44161</v>
      </c>
      <c r="P400" s="15" t="s">
        <v>1506</v>
      </c>
      <c r="Q400" s="17" t="n">
        <v>180</v>
      </c>
      <c r="R400" s="38" t="n">
        <f aca="false">IFERROR(Q400/VLOOKUP(P400,'Exchange rates to USD'!$L$2:$N$225,3,FALSE()),"")</f>
        <v>49.0275924840717</v>
      </c>
    </row>
    <row r="401" customFormat="false" ht="13.25" hidden="false" customHeight="true" outlineLevel="0" collapsed="false">
      <c r="A401" s="15" t="s">
        <v>1521</v>
      </c>
      <c r="B401" s="15" t="s">
        <v>1502</v>
      </c>
      <c r="C401" s="15" t="s">
        <v>232</v>
      </c>
      <c r="D401" s="15" t="s">
        <v>115</v>
      </c>
      <c r="E401" s="15" t="s">
        <v>76</v>
      </c>
      <c r="F401" s="15" t="s">
        <v>1522</v>
      </c>
      <c r="G401" s="15" t="s">
        <v>105</v>
      </c>
      <c r="J401" s="15" t="s">
        <v>1523</v>
      </c>
      <c r="K401" s="27" t="s">
        <v>1505</v>
      </c>
      <c r="M401" s="15" t="s">
        <v>113</v>
      </c>
      <c r="O401" s="16" t="n">
        <v>44162</v>
      </c>
      <c r="P401" s="15" t="s">
        <v>1506</v>
      </c>
      <c r="Q401" s="17" t="n">
        <v>600</v>
      </c>
      <c r="R401" s="38" t="n">
        <f aca="false">IFERROR(Q401/VLOOKUP(P401,'Exchange rates to USD'!$L$2:$N$225,3,FALSE()),"")</f>
        <v>163.425308280239</v>
      </c>
    </row>
    <row r="402" customFormat="false" ht="13.25" hidden="false" customHeight="true" outlineLevel="0" collapsed="false">
      <c r="A402" s="15" t="s">
        <v>1524</v>
      </c>
      <c r="B402" s="15" t="s">
        <v>1502</v>
      </c>
      <c r="C402" s="15" t="s">
        <v>58</v>
      </c>
      <c r="D402" s="15" t="s">
        <v>115</v>
      </c>
      <c r="E402" s="15" t="s">
        <v>233</v>
      </c>
      <c r="F402" s="15" t="s">
        <v>1525</v>
      </c>
      <c r="G402" s="15" t="s">
        <v>62</v>
      </c>
      <c r="H402" s="15" t="s">
        <v>110</v>
      </c>
      <c r="J402" s="15" t="s">
        <v>1526</v>
      </c>
      <c r="K402" s="27" t="s">
        <v>1505</v>
      </c>
      <c r="M402" s="15" t="s">
        <v>113</v>
      </c>
      <c r="O402" s="16" t="n">
        <v>44163</v>
      </c>
      <c r="P402" s="15" t="s">
        <v>1506</v>
      </c>
      <c r="Q402" s="17" t="n">
        <v>250</v>
      </c>
      <c r="R402" s="38" t="n">
        <f aca="false">IFERROR(Q402/VLOOKUP(P402,'Exchange rates to USD'!$L$2:$N$225,3,FALSE()),"")</f>
        <v>68.0938784500995</v>
      </c>
    </row>
    <row r="403" customFormat="false" ht="13.25" hidden="false" customHeight="true" outlineLevel="0" collapsed="false">
      <c r="A403" s="55" t="s">
        <v>1527</v>
      </c>
      <c r="B403" s="55" t="s">
        <v>1502</v>
      </c>
      <c r="C403" s="55" t="s">
        <v>58</v>
      </c>
      <c r="D403" s="55" t="s">
        <v>115</v>
      </c>
      <c r="E403" s="55" t="s">
        <v>95</v>
      </c>
      <c r="F403" s="55" t="s">
        <v>1528</v>
      </c>
      <c r="G403" s="55" t="s">
        <v>62</v>
      </c>
      <c r="H403" s="55"/>
      <c r="I403" s="55"/>
      <c r="J403" s="55" t="s">
        <v>1529</v>
      </c>
      <c r="K403" s="66" t="s">
        <v>1505</v>
      </c>
      <c r="L403" s="55"/>
      <c r="M403" s="55" t="s">
        <v>93</v>
      </c>
      <c r="N403" s="55"/>
      <c r="O403" s="56" t="n">
        <v>44164</v>
      </c>
      <c r="P403" s="55" t="s">
        <v>1506</v>
      </c>
      <c r="Q403" s="60" t="n">
        <v>1000</v>
      </c>
      <c r="R403" s="58" t="n">
        <f aca="false">IFERROR(Q403/VLOOKUP(P403,'Exchange rates to USD'!$L$2:$N$225,3,FALSE()),"")</f>
        <v>272.375513800398</v>
      </c>
    </row>
    <row r="404" customFormat="false" ht="13.25" hidden="false" customHeight="true" outlineLevel="0" collapsed="false">
      <c r="A404" s="15" t="s">
        <v>1530</v>
      </c>
      <c r="B404" s="15" t="s">
        <v>1531</v>
      </c>
      <c r="C404" s="15" t="s">
        <v>75</v>
      </c>
      <c r="D404" s="15" t="s">
        <v>59</v>
      </c>
      <c r="E404" s="15" t="s">
        <v>233</v>
      </c>
      <c r="F404" s="15" t="s">
        <v>1532</v>
      </c>
      <c r="G404" s="15" t="s">
        <v>62</v>
      </c>
      <c r="H404" s="15" t="s">
        <v>110</v>
      </c>
      <c r="J404" s="15" t="s">
        <v>1533</v>
      </c>
      <c r="K404" s="15" t="s">
        <v>1534</v>
      </c>
      <c r="M404" s="15" t="s">
        <v>93</v>
      </c>
      <c r="O404" s="16" t="s">
        <v>1535</v>
      </c>
      <c r="P404" s="15" t="s">
        <v>240</v>
      </c>
      <c r="Q404" s="17" t="n">
        <v>300</v>
      </c>
      <c r="R404" s="38" t="n">
        <f aca="false">IFERROR(Q404/VLOOKUP(P404,'Exchange rates to USD'!$L$2:$N$225,3,FALSE()),"")</f>
        <v>330.800682322256</v>
      </c>
    </row>
    <row r="405" customFormat="false" ht="13.25" hidden="false" customHeight="true" outlineLevel="0" collapsed="false">
      <c r="A405" s="15" t="s">
        <v>1536</v>
      </c>
      <c r="B405" s="15" t="s">
        <v>1531</v>
      </c>
      <c r="C405" s="15" t="s">
        <v>75</v>
      </c>
      <c r="D405" s="15" t="s">
        <v>59</v>
      </c>
      <c r="E405" s="15" t="s">
        <v>116</v>
      </c>
      <c r="F405" s="15" t="s">
        <v>1537</v>
      </c>
      <c r="G405" s="15" t="s">
        <v>62</v>
      </c>
      <c r="J405" s="15" t="s">
        <v>1538</v>
      </c>
      <c r="K405" s="15" t="s">
        <v>1539</v>
      </c>
      <c r="M405" s="15" t="s">
        <v>93</v>
      </c>
      <c r="O405" s="16" t="s">
        <v>1535</v>
      </c>
      <c r="P405" s="15" t="s">
        <v>240</v>
      </c>
      <c r="Q405" s="17" t="n">
        <v>11400</v>
      </c>
      <c r="R405" s="38" t="n">
        <f aca="false">IFERROR(Q405/VLOOKUP(P405,'Exchange rates to USD'!$L$2:$N$225,3,FALSE()),"")</f>
        <v>12570.4259282457</v>
      </c>
    </row>
    <row r="406" customFormat="false" ht="13.25" hidden="false" customHeight="true" outlineLevel="0" collapsed="false">
      <c r="A406" s="15" t="s">
        <v>1540</v>
      </c>
      <c r="B406" s="15" t="s">
        <v>1531</v>
      </c>
      <c r="C406" s="15" t="s">
        <v>75</v>
      </c>
      <c r="D406" s="15" t="s">
        <v>80</v>
      </c>
      <c r="E406" s="15" t="s">
        <v>95</v>
      </c>
      <c r="F406" s="15" t="s">
        <v>1541</v>
      </c>
      <c r="G406" s="15" t="s">
        <v>62</v>
      </c>
      <c r="J406" s="15" t="s">
        <v>1542</v>
      </c>
      <c r="K406" s="15" t="s">
        <v>1543</v>
      </c>
      <c r="M406" s="15" t="s">
        <v>65</v>
      </c>
      <c r="O406" s="16" t="s">
        <v>1535</v>
      </c>
      <c r="R406" s="38" t="str">
        <f aca="false">IFERROR(Q406/VLOOKUP(P406,'Exchange rates to USD'!$L$2:$N$225,3,FALSE()),"")</f>
        <v/>
      </c>
    </row>
    <row r="407" customFormat="false" ht="13.25" hidden="false" customHeight="true" outlineLevel="0" collapsed="false">
      <c r="A407" s="15" t="s">
        <v>1544</v>
      </c>
      <c r="B407" s="15" t="s">
        <v>1531</v>
      </c>
      <c r="C407" s="15" t="s">
        <v>75</v>
      </c>
      <c r="D407" s="15" t="s">
        <v>59</v>
      </c>
      <c r="E407" s="15" t="s">
        <v>76</v>
      </c>
      <c r="F407" s="15" t="s">
        <v>1545</v>
      </c>
      <c r="G407" s="15" t="s">
        <v>77</v>
      </c>
      <c r="J407" s="15" t="s">
        <v>1546</v>
      </c>
      <c r="K407" s="15" t="s">
        <v>1547</v>
      </c>
      <c r="M407" s="15" t="s">
        <v>93</v>
      </c>
      <c r="O407" s="16" t="s">
        <v>1535</v>
      </c>
      <c r="P407" s="15" t="s">
        <v>240</v>
      </c>
      <c r="Q407" s="17" t="n">
        <v>40</v>
      </c>
      <c r="R407" s="38" t="n">
        <f aca="false">IFERROR(Q407/VLOOKUP(P407,'Exchange rates to USD'!$L$2:$N$225,3,FALSE()),"")</f>
        <v>44.1067576429675</v>
      </c>
    </row>
    <row r="408" customFormat="false" ht="13.25" hidden="false" customHeight="true" outlineLevel="0" collapsed="false">
      <c r="A408" s="15" t="s">
        <v>1548</v>
      </c>
      <c r="B408" s="15" t="s">
        <v>1531</v>
      </c>
      <c r="C408" s="15" t="s">
        <v>75</v>
      </c>
      <c r="D408" s="15" t="s">
        <v>59</v>
      </c>
      <c r="E408" s="15" t="s">
        <v>233</v>
      </c>
      <c r="F408" s="15" t="s">
        <v>1549</v>
      </c>
      <c r="G408" s="15" t="s">
        <v>62</v>
      </c>
      <c r="H408" s="15" t="s">
        <v>110</v>
      </c>
      <c r="J408" s="15" t="s">
        <v>1550</v>
      </c>
      <c r="K408" s="15" t="s">
        <v>1551</v>
      </c>
      <c r="M408" s="15" t="s">
        <v>93</v>
      </c>
      <c r="O408" s="16" t="s">
        <v>1535</v>
      </c>
      <c r="P408" s="15" t="s">
        <v>240</v>
      </c>
      <c r="Q408" s="17" t="n">
        <v>50</v>
      </c>
      <c r="R408" s="38" t="n">
        <f aca="false">IFERROR(Q408/VLOOKUP(P408,'Exchange rates to USD'!$L$2:$N$225,3,FALSE()),"")</f>
        <v>55.1334470537094</v>
      </c>
    </row>
    <row r="409" customFormat="false" ht="13.25" hidden="false" customHeight="true" outlineLevel="0" collapsed="false">
      <c r="A409" s="15" t="s">
        <v>1552</v>
      </c>
      <c r="B409" s="15" t="s">
        <v>1531</v>
      </c>
      <c r="C409" s="15" t="s">
        <v>122</v>
      </c>
      <c r="D409" s="15" t="s">
        <v>108</v>
      </c>
      <c r="E409" s="15" t="s">
        <v>233</v>
      </c>
      <c r="F409" s="15" t="s">
        <v>1541</v>
      </c>
      <c r="G409" s="15" t="s">
        <v>62</v>
      </c>
      <c r="H409" s="15" t="s">
        <v>110</v>
      </c>
      <c r="J409" s="27" t="s">
        <v>1553</v>
      </c>
      <c r="K409" s="15" t="s">
        <v>1551</v>
      </c>
      <c r="M409" s="15" t="s">
        <v>93</v>
      </c>
      <c r="O409" s="16" t="s">
        <v>1535</v>
      </c>
      <c r="R409" s="38" t="str">
        <f aca="false">IFERROR(Q409/VLOOKUP(P409,'Exchange rates to USD'!$L$2:$N$225,3,FALSE()),"")</f>
        <v/>
      </c>
    </row>
    <row r="410" customFormat="false" ht="13.25" hidden="false" customHeight="true" outlineLevel="0" collapsed="false">
      <c r="A410" s="15" t="s">
        <v>1554</v>
      </c>
      <c r="B410" s="15" t="s">
        <v>1531</v>
      </c>
      <c r="C410" s="15" t="s">
        <v>249</v>
      </c>
      <c r="D410" s="15" t="s">
        <v>59</v>
      </c>
      <c r="E410" s="15" t="s">
        <v>95</v>
      </c>
      <c r="F410" s="15" t="s">
        <v>1555</v>
      </c>
      <c r="G410" s="15" t="s">
        <v>62</v>
      </c>
      <c r="J410" s="15" t="s">
        <v>1556</v>
      </c>
      <c r="K410" s="15" t="s">
        <v>1557</v>
      </c>
      <c r="M410" s="15" t="s">
        <v>93</v>
      </c>
      <c r="O410" s="16" t="s">
        <v>1535</v>
      </c>
      <c r="P410" s="15" t="s">
        <v>240</v>
      </c>
      <c r="Q410" s="17" t="n">
        <v>100</v>
      </c>
      <c r="R410" s="38" t="n">
        <f aca="false">IFERROR(Q410/VLOOKUP(P410,'Exchange rates to USD'!$L$2:$N$225,3,FALSE()),"")</f>
        <v>110.266894107419</v>
      </c>
    </row>
    <row r="411" customFormat="false" ht="13.25" hidden="false" customHeight="true" outlineLevel="0" collapsed="false">
      <c r="A411" s="15" t="s">
        <v>1558</v>
      </c>
      <c r="B411" s="15" t="s">
        <v>1531</v>
      </c>
      <c r="C411" s="15" t="s">
        <v>75</v>
      </c>
      <c r="D411" s="15" t="s">
        <v>59</v>
      </c>
      <c r="E411" s="15" t="s">
        <v>233</v>
      </c>
      <c r="F411" s="15" t="s">
        <v>1559</v>
      </c>
      <c r="G411" s="15" t="s">
        <v>62</v>
      </c>
      <c r="H411" s="15" t="s">
        <v>110</v>
      </c>
      <c r="J411" s="15" t="s">
        <v>1560</v>
      </c>
      <c r="K411" s="15" t="s">
        <v>1561</v>
      </c>
      <c r="M411" s="15" t="s">
        <v>70</v>
      </c>
      <c r="O411" s="16" t="s">
        <v>1535</v>
      </c>
      <c r="P411" s="15" t="s">
        <v>240</v>
      </c>
      <c r="Q411" s="17" t="n">
        <v>500</v>
      </c>
      <c r="R411" s="38" t="n">
        <f aca="false">IFERROR(Q411/VLOOKUP(P411,'Exchange rates to USD'!$L$2:$N$225,3,FALSE()),"")</f>
        <v>551.334470537094</v>
      </c>
    </row>
    <row r="412" customFormat="false" ht="13.25" hidden="false" customHeight="true" outlineLevel="0" collapsed="false">
      <c r="A412" s="15" t="s">
        <v>1562</v>
      </c>
      <c r="B412" s="15" t="s">
        <v>1531</v>
      </c>
      <c r="C412" s="15" t="s">
        <v>75</v>
      </c>
      <c r="D412" s="15" t="s">
        <v>115</v>
      </c>
      <c r="E412" s="15" t="s">
        <v>233</v>
      </c>
      <c r="F412" s="15" t="s">
        <v>1541</v>
      </c>
      <c r="G412" s="15" t="s">
        <v>110</v>
      </c>
      <c r="H412" s="15" t="s">
        <v>62</v>
      </c>
      <c r="J412" s="15" t="s">
        <v>1563</v>
      </c>
      <c r="K412" s="15" t="s">
        <v>1564</v>
      </c>
      <c r="M412" s="15" t="s">
        <v>65</v>
      </c>
      <c r="O412" s="16" t="s">
        <v>1565</v>
      </c>
      <c r="R412" s="38" t="str">
        <f aca="false">IFERROR(Q412/VLOOKUP(P412,'Exchange rates to USD'!$L$2:$N$225,3,FALSE()),"")</f>
        <v/>
      </c>
    </row>
    <row r="413" customFormat="false" ht="13.25" hidden="false" customHeight="true" outlineLevel="0" collapsed="false">
      <c r="A413" s="15" t="s">
        <v>1566</v>
      </c>
      <c r="B413" s="15" t="s">
        <v>1531</v>
      </c>
      <c r="C413" s="15" t="s">
        <v>75</v>
      </c>
      <c r="D413" s="15" t="s">
        <v>115</v>
      </c>
      <c r="E413" s="15" t="s">
        <v>233</v>
      </c>
      <c r="F413" s="15" t="s">
        <v>1559</v>
      </c>
      <c r="G413" s="15" t="s">
        <v>62</v>
      </c>
      <c r="H413" s="15" t="s">
        <v>110</v>
      </c>
      <c r="J413" s="15" t="s">
        <v>1567</v>
      </c>
      <c r="K413" s="15" t="s">
        <v>1568</v>
      </c>
      <c r="L413" s="15" t="s">
        <v>1569</v>
      </c>
      <c r="M413" s="15" t="s">
        <v>93</v>
      </c>
      <c r="O413" s="16" t="s">
        <v>1565</v>
      </c>
      <c r="P413" s="15" t="s">
        <v>240</v>
      </c>
      <c r="Q413" s="17" t="n">
        <v>500</v>
      </c>
      <c r="R413" s="38" t="n">
        <f aca="false">IFERROR(Q413/VLOOKUP(P413,'Exchange rates to USD'!$L$2:$N$225,3,FALSE()),"")</f>
        <v>551.334470537094</v>
      </c>
    </row>
    <row r="414" customFormat="false" ht="13.25" hidden="false" customHeight="true" outlineLevel="0" collapsed="false">
      <c r="A414" s="15" t="s">
        <v>1570</v>
      </c>
      <c r="B414" s="15" t="s">
        <v>1531</v>
      </c>
      <c r="C414" s="15" t="s">
        <v>58</v>
      </c>
      <c r="D414" s="15" t="s">
        <v>115</v>
      </c>
      <c r="E414" s="15" t="s">
        <v>116</v>
      </c>
      <c r="F414" s="15" t="s">
        <v>1559</v>
      </c>
      <c r="G414" s="15" t="s">
        <v>62</v>
      </c>
      <c r="H414" s="15" t="s">
        <v>110</v>
      </c>
      <c r="J414" s="15" t="s">
        <v>1571</v>
      </c>
      <c r="K414" s="15" t="s">
        <v>1572</v>
      </c>
      <c r="L414" s="15" t="s">
        <v>1573</v>
      </c>
      <c r="M414" s="15" t="s">
        <v>93</v>
      </c>
      <c r="O414" s="16" t="s">
        <v>1565</v>
      </c>
      <c r="P414" s="15" t="s">
        <v>240</v>
      </c>
      <c r="Q414" s="17" t="n">
        <v>500</v>
      </c>
      <c r="R414" s="38" t="n">
        <f aca="false">IFERROR(Q414/VLOOKUP(P414,'Exchange rates to USD'!$L$2:$N$225,3,FALSE()),"")</f>
        <v>551.334470537094</v>
      </c>
    </row>
    <row r="415" customFormat="false" ht="13.25" hidden="false" customHeight="true" outlineLevel="0" collapsed="false">
      <c r="A415" s="15" t="s">
        <v>1574</v>
      </c>
      <c r="B415" s="79" t="str">
        <f aca="false">LEFT(A415,3)</f>
        <v>ITA</v>
      </c>
      <c r="C415" s="68" t="s">
        <v>232</v>
      </c>
      <c r="D415" s="68" t="s">
        <v>115</v>
      </c>
      <c r="E415" s="68" t="s">
        <v>60</v>
      </c>
      <c r="F415" s="68" t="s">
        <v>1575</v>
      </c>
      <c r="G415" s="68" t="s">
        <v>62</v>
      </c>
      <c r="H415" s="68"/>
      <c r="I415" s="68"/>
      <c r="J415" s="68" t="s">
        <v>1576</v>
      </c>
      <c r="K415" s="123" t="s">
        <v>1577</v>
      </c>
      <c r="L415" s="123" t="s">
        <v>1578</v>
      </c>
      <c r="M415" s="15" t="s">
        <v>65</v>
      </c>
      <c r="N415" s="68"/>
      <c r="O415" s="68"/>
      <c r="P415" s="47" t="s">
        <v>240</v>
      </c>
      <c r="Q415" s="50" t="n">
        <v>3000</v>
      </c>
      <c r="R415" s="38" t="n">
        <f aca="false">IFERROR(Q415/VLOOKUP(P415,'Exchange rates to USD'!$L$2:$N$225,3,FALSE()),"")</f>
        <v>3308.00682322256</v>
      </c>
    </row>
    <row r="416" customFormat="false" ht="13.25" hidden="false" customHeight="true" outlineLevel="0" collapsed="false">
      <c r="A416" s="15" t="s">
        <v>1579</v>
      </c>
      <c r="B416" s="15" t="s">
        <v>1531</v>
      </c>
      <c r="C416" s="15" t="s">
        <v>75</v>
      </c>
      <c r="D416" s="15" t="s">
        <v>115</v>
      </c>
      <c r="E416" s="15" t="s">
        <v>233</v>
      </c>
      <c r="G416" s="15" t="s">
        <v>62</v>
      </c>
      <c r="H416" s="15" t="s">
        <v>110</v>
      </c>
      <c r="J416" s="15" t="s">
        <v>1580</v>
      </c>
      <c r="K416" s="15" t="s">
        <v>1581</v>
      </c>
      <c r="M416" s="15" t="s">
        <v>113</v>
      </c>
      <c r="O416" s="16" t="s">
        <v>1582</v>
      </c>
      <c r="R416" s="38" t="str">
        <f aca="false">IFERROR(Q416/VLOOKUP(P416,'Exchange rates to USD'!$L$2:$N$225,3,FALSE()),"")</f>
        <v/>
      </c>
    </row>
    <row r="417" customFormat="false" ht="13.25" hidden="false" customHeight="true" outlineLevel="0" collapsed="false">
      <c r="A417" s="55" t="s">
        <v>1583</v>
      </c>
      <c r="B417" s="55" t="s">
        <v>1531</v>
      </c>
      <c r="C417" s="55" t="s">
        <v>232</v>
      </c>
      <c r="D417" s="55" t="s">
        <v>59</v>
      </c>
      <c r="E417" s="55" t="s">
        <v>60</v>
      </c>
      <c r="F417" s="55" t="s">
        <v>1532</v>
      </c>
      <c r="G417" s="55" t="s">
        <v>62</v>
      </c>
      <c r="H417" s="55"/>
      <c r="I417" s="55"/>
      <c r="J417" s="55" t="s">
        <v>1584</v>
      </c>
      <c r="K417" s="55" t="s">
        <v>1585</v>
      </c>
      <c r="L417" s="55"/>
      <c r="M417" s="55" t="s">
        <v>65</v>
      </c>
      <c r="N417" s="55"/>
      <c r="O417" s="56" t="s">
        <v>1582</v>
      </c>
      <c r="P417" s="55" t="s">
        <v>240</v>
      </c>
      <c r="Q417" s="60" t="n">
        <v>300</v>
      </c>
      <c r="R417" s="58" t="n">
        <f aca="false">IFERROR(Q417/VLOOKUP(P417,'Exchange rates to USD'!$L$2:$N$225,3,FALSE()),"")</f>
        <v>330.800682322256</v>
      </c>
    </row>
    <row r="418" customFormat="false" ht="13.25" hidden="false" customHeight="true" outlineLevel="0" collapsed="false">
      <c r="A418" s="15" t="s">
        <v>1586</v>
      </c>
      <c r="B418" s="15" t="s">
        <v>1587</v>
      </c>
      <c r="C418" s="15" t="s">
        <v>232</v>
      </c>
      <c r="D418" s="15" t="s">
        <v>59</v>
      </c>
      <c r="E418" s="15" t="s">
        <v>95</v>
      </c>
      <c r="F418" s="15" t="s">
        <v>1588</v>
      </c>
      <c r="G418" s="15" t="s">
        <v>62</v>
      </c>
      <c r="J418" s="27" t="s">
        <v>1589</v>
      </c>
      <c r="K418" s="15" t="s">
        <v>1590</v>
      </c>
      <c r="M418" s="15" t="s">
        <v>93</v>
      </c>
      <c r="N418" s="15" t="s">
        <v>1591</v>
      </c>
      <c r="O418" s="16" t="n">
        <v>44209</v>
      </c>
      <c r="P418" s="15" t="s">
        <v>1592</v>
      </c>
      <c r="Q418" s="17" t="n">
        <v>5000</v>
      </c>
      <c r="R418" s="17" t="n">
        <v>44.9556558853625</v>
      </c>
    </row>
    <row r="419" customFormat="false" ht="13.25" hidden="false" customHeight="true" outlineLevel="0" collapsed="false">
      <c r="A419" s="15" t="s">
        <v>1593</v>
      </c>
      <c r="B419" s="15" t="s">
        <v>1587</v>
      </c>
      <c r="C419" s="15" t="s">
        <v>58</v>
      </c>
      <c r="D419" s="35" t="s">
        <v>80</v>
      </c>
      <c r="E419" s="35" t="s">
        <v>76</v>
      </c>
      <c r="F419" s="35" t="s">
        <v>1594</v>
      </c>
      <c r="G419" s="35" t="s">
        <v>62</v>
      </c>
      <c r="H419" s="35"/>
      <c r="I419" s="35"/>
      <c r="J419" s="15" t="s">
        <v>1595</v>
      </c>
      <c r="K419" s="34" t="s">
        <v>1596</v>
      </c>
      <c r="L419" s="34" t="s">
        <v>1597</v>
      </c>
      <c r="M419" s="35" t="s">
        <v>93</v>
      </c>
      <c r="N419" s="3"/>
      <c r="O419" s="124" t="n">
        <v>44187</v>
      </c>
      <c r="P419" s="35" t="s">
        <v>1592</v>
      </c>
      <c r="Q419" s="37" t="n">
        <v>2000000</v>
      </c>
      <c r="R419" s="38" t="n">
        <f aca="false">IFERROR(Q419/VLOOKUP(P419,'Exchange rates to USD'!$L$2:$N$225,3,FALSE()),"")</f>
        <v>17982.262354145</v>
      </c>
    </row>
    <row r="420" customFormat="false" ht="13.25" hidden="false" customHeight="true" outlineLevel="0" collapsed="false">
      <c r="A420" s="35" t="s">
        <v>1598</v>
      </c>
      <c r="B420" s="35" t="s">
        <v>1587</v>
      </c>
      <c r="C420" s="15" t="s">
        <v>232</v>
      </c>
      <c r="D420" s="35" t="s">
        <v>80</v>
      </c>
      <c r="E420" s="35" t="s">
        <v>76</v>
      </c>
      <c r="F420" s="35" t="s">
        <v>1599</v>
      </c>
      <c r="G420" s="35" t="s">
        <v>96</v>
      </c>
      <c r="H420" s="35"/>
      <c r="I420" s="35"/>
      <c r="J420" s="35" t="s">
        <v>1600</v>
      </c>
      <c r="K420" s="34" t="s">
        <v>1601</v>
      </c>
      <c r="L420" s="34" t="s">
        <v>1602</v>
      </c>
      <c r="M420" s="35" t="s">
        <v>93</v>
      </c>
      <c r="N420" s="3" t="s">
        <v>1603</v>
      </c>
      <c r="O420" s="124" t="n">
        <v>44209</v>
      </c>
      <c r="P420" s="35"/>
      <c r="Q420" s="37"/>
      <c r="R420" s="38"/>
    </row>
    <row r="421" customFormat="false" ht="13.25" hidden="false" customHeight="true" outlineLevel="0" collapsed="false">
      <c r="A421" s="15" t="s">
        <v>1604</v>
      </c>
      <c r="B421" s="15" t="s">
        <v>1587</v>
      </c>
      <c r="C421" s="15" t="s">
        <v>232</v>
      </c>
      <c r="D421" s="35" t="s">
        <v>80</v>
      </c>
      <c r="E421" s="35" t="s">
        <v>76</v>
      </c>
      <c r="F421" s="35" t="s">
        <v>1599</v>
      </c>
      <c r="G421" s="35" t="s">
        <v>110</v>
      </c>
      <c r="H421" s="35" t="s">
        <v>62</v>
      </c>
      <c r="I421" s="35" t="s">
        <v>97</v>
      </c>
      <c r="J421" s="35" t="s">
        <v>1605</v>
      </c>
      <c r="K421" s="34" t="s">
        <v>1606</v>
      </c>
      <c r="L421" s="34"/>
      <c r="M421" s="35" t="s">
        <v>93</v>
      </c>
      <c r="N421" s="3" t="s">
        <v>1607</v>
      </c>
      <c r="O421" s="124" t="n">
        <v>44209</v>
      </c>
      <c r="P421" s="35"/>
      <c r="Q421" s="37"/>
      <c r="R421" s="38"/>
    </row>
    <row r="422" customFormat="false" ht="13.25" hidden="false" customHeight="true" outlineLevel="0" collapsed="false">
      <c r="A422" s="35" t="s">
        <v>1608</v>
      </c>
      <c r="B422" s="35" t="s">
        <v>1587</v>
      </c>
      <c r="C422" s="15" t="s">
        <v>232</v>
      </c>
      <c r="D422" s="35" t="s">
        <v>115</v>
      </c>
      <c r="E422" s="35"/>
      <c r="F422" s="35" t="s">
        <v>1599</v>
      </c>
      <c r="G422" s="35" t="s">
        <v>62</v>
      </c>
      <c r="H422" s="35" t="s">
        <v>62</v>
      </c>
      <c r="I422" s="35"/>
      <c r="J422" s="35" t="s">
        <v>1609</v>
      </c>
      <c r="K422" s="34" t="s">
        <v>1610</v>
      </c>
      <c r="L422" s="34"/>
      <c r="M422" s="35" t="s">
        <v>93</v>
      </c>
      <c r="N422" s="3" t="s">
        <v>1611</v>
      </c>
      <c r="O422" s="124" t="n">
        <v>44209</v>
      </c>
      <c r="P422" s="35"/>
      <c r="Q422" s="37"/>
      <c r="R422" s="38"/>
    </row>
    <row r="423" customFormat="false" ht="13.25" hidden="false" customHeight="true" outlineLevel="0" collapsed="false">
      <c r="A423" s="35" t="s">
        <v>1612</v>
      </c>
      <c r="B423" s="35" t="s">
        <v>1587</v>
      </c>
      <c r="C423" s="15" t="s">
        <v>232</v>
      </c>
      <c r="D423" s="35" t="s">
        <v>80</v>
      </c>
      <c r="E423" s="35"/>
      <c r="F423" s="35" t="s">
        <v>1599</v>
      </c>
      <c r="G423" s="35" t="s">
        <v>62</v>
      </c>
      <c r="H423" s="35" t="s">
        <v>62</v>
      </c>
      <c r="I423" s="35"/>
      <c r="J423" s="35" t="s">
        <v>1613</v>
      </c>
      <c r="K423" s="34" t="s">
        <v>1614</v>
      </c>
      <c r="L423" s="34"/>
      <c r="M423" s="35" t="s">
        <v>93</v>
      </c>
      <c r="N423" s="3" t="s">
        <v>1615</v>
      </c>
      <c r="O423" s="124" t="n">
        <v>44209</v>
      </c>
      <c r="P423" s="35"/>
      <c r="Q423" s="37"/>
      <c r="R423" s="38"/>
      <c r="S423" s="35"/>
      <c r="T423" s="35"/>
    </row>
    <row r="424" customFormat="false" ht="13.25" hidden="false" customHeight="true" outlineLevel="0" collapsed="false">
      <c r="A424" s="35" t="s">
        <v>1616</v>
      </c>
      <c r="B424" s="35" t="s">
        <v>1587</v>
      </c>
      <c r="C424" s="15" t="s">
        <v>232</v>
      </c>
      <c r="D424" s="35" t="s">
        <v>115</v>
      </c>
      <c r="E424" s="35"/>
      <c r="F424" s="35" t="s">
        <v>1599</v>
      </c>
      <c r="G424" s="35" t="s">
        <v>96</v>
      </c>
      <c r="H424" s="35" t="s">
        <v>96</v>
      </c>
      <c r="I424" s="35"/>
      <c r="J424" s="35" t="s">
        <v>1617</v>
      </c>
      <c r="K424" s="34" t="s">
        <v>1601</v>
      </c>
      <c r="L424" s="34"/>
      <c r="M424" s="35" t="s">
        <v>93</v>
      </c>
      <c r="N424" s="3" t="s">
        <v>1618</v>
      </c>
      <c r="O424" s="124" t="n">
        <v>44266</v>
      </c>
      <c r="P424" s="35"/>
      <c r="Q424" s="37"/>
      <c r="R424" s="38"/>
      <c r="S424" s="35"/>
      <c r="T424" s="35"/>
    </row>
    <row r="425" customFormat="false" ht="13.25" hidden="false" customHeight="true" outlineLevel="0" collapsed="false">
      <c r="A425" s="35" t="s">
        <v>1619</v>
      </c>
      <c r="B425" s="35" t="s">
        <v>1587</v>
      </c>
      <c r="C425" s="15" t="s">
        <v>58</v>
      </c>
      <c r="D425" s="35" t="s">
        <v>80</v>
      </c>
      <c r="E425" s="35" t="s">
        <v>116</v>
      </c>
      <c r="F425" s="35" t="s">
        <v>1620</v>
      </c>
      <c r="G425" s="35" t="s">
        <v>62</v>
      </c>
      <c r="H425" s="35"/>
      <c r="I425" s="35"/>
      <c r="J425" s="35" t="s">
        <v>1621</v>
      </c>
      <c r="K425" s="34" t="s">
        <v>1622</v>
      </c>
      <c r="L425" s="34"/>
      <c r="M425" s="35" t="s">
        <v>93</v>
      </c>
      <c r="N425" s="3" t="s">
        <v>1623</v>
      </c>
      <c r="O425" s="124" t="n">
        <v>44266</v>
      </c>
      <c r="P425" s="35" t="s">
        <v>1592</v>
      </c>
      <c r="Q425" s="37" t="n">
        <v>3000</v>
      </c>
      <c r="R425" s="38" t="n">
        <v>27.27</v>
      </c>
      <c r="S425" s="35" t="s">
        <v>1624</v>
      </c>
      <c r="T425" s="35"/>
    </row>
    <row r="426" s="118" customFormat="true" ht="16" hidden="false" customHeight="true" outlineLevel="0" collapsed="false">
      <c r="A426" s="35" t="s">
        <v>1625</v>
      </c>
      <c r="B426" s="35" t="s">
        <v>1587</v>
      </c>
      <c r="C426" s="118" t="s">
        <v>232</v>
      </c>
      <c r="D426" s="35" t="s">
        <v>108</v>
      </c>
      <c r="E426" s="35" t="s">
        <v>76</v>
      </c>
      <c r="F426" s="35"/>
      <c r="G426" s="35" t="s">
        <v>158</v>
      </c>
      <c r="H426" s="35" t="s">
        <v>62</v>
      </c>
      <c r="I426" s="35"/>
      <c r="J426" s="35" t="s">
        <v>1626</v>
      </c>
      <c r="K426" s="34" t="s">
        <v>1627</v>
      </c>
      <c r="L426" s="34"/>
      <c r="M426" s="35" t="s">
        <v>93</v>
      </c>
      <c r="N426" s="3" t="s">
        <v>1628</v>
      </c>
      <c r="O426" s="124" t="n">
        <v>44266</v>
      </c>
      <c r="P426" s="35"/>
      <c r="Q426" s="37"/>
      <c r="R426" s="38"/>
      <c r="S426" s="125"/>
      <c r="T426" s="126"/>
      <c r="U426" s="15"/>
      <c r="V426" s="15"/>
      <c r="W426" s="15"/>
    </row>
    <row r="427" s="35" customFormat="true" ht="13.25" hidden="false" customHeight="true" outlineLevel="0" collapsed="false">
      <c r="A427" s="35" t="s">
        <v>1629</v>
      </c>
      <c r="B427" s="35" t="s">
        <v>1587</v>
      </c>
      <c r="C427" s="127" t="s">
        <v>232</v>
      </c>
      <c r="D427" s="35" t="s">
        <v>59</v>
      </c>
      <c r="E427" s="35" t="s">
        <v>76</v>
      </c>
      <c r="F427" s="35" t="s">
        <v>1599</v>
      </c>
      <c r="G427" s="35" t="s">
        <v>105</v>
      </c>
      <c r="J427" s="35" t="s">
        <v>1630</v>
      </c>
      <c r="K427" s="34" t="s">
        <v>1631</v>
      </c>
      <c r="L427" s="34"/>
      <c r="M427" s="35" t="s">
        <v>93</v>
      </c>
      <c r="N427" s="128" t="s">
        <v>1632</v>
      </c>
      <c r="O427" s="129" t="n">
        <v>44266</v>
      </c>
      <c r="Q427" s="37"/>
      <c r="R427" s="38" t="str">
        <f aca="false">IFERROR(#REF!/VLOOKUP(#REF!,'Exchange rates to USD'!$L$2:$N$225,3,FALSE()),"")</f>
        <v/>
      </c>
      <c r="S427" s="35" t="s">
        <v>1624</v>
      </c>
      <c r="U427" s="15"/>
      <c r="V427" s="15"/>
      <c r="W427" s="15"/>
    </row>
    <row r="428" s="35" customFormat="true" ht="13.25" hidden="false" customHeight="true" outlineLevel="0" collapsed="false">
      <c r="A428" s="35" t="s">
        <v>1633</v>
      </c>
      <c r="B428" s="35" t="s">
        <v>1587</v>
      </c>
      <c r="C428" s="127" t="s">
        <v>232</v>
      </c>
      <c r="D428" s="35" t="s">
        <v>80</v>
      </c>
      <c r="E428" s="35" t="s">
        <v>76</v>
      </c>
      <c r="F428" s="35" t="s">
        <v>1599</v>
      </c>
      <c r="G428" s="35" t="s">
        <v>158</v>
      </c>
      <c r="J428" s="130" t="s">
        <v>1634</v>
      </c>
      <c r="K428" s="131" t="s">
        <v>1635</v>
      </c>
      <c r="L428" s="34"/>
      <c r="M428" s="35" t="s">
        <v>93</v>
      </c>
      <c r="N428" s="132" t="s">
        <v>1636</v>
      </c>
      <c r="O428" s="129" t="n">
        <v>44266</v>
      </c>
      <c r="Q428" s="37"/>
      <c r="R428" s="38"/>
      <c r="U428" s="15"/>
      <c r="V428" s="15"/>
      <c r="W428" s="15"/>
    </row>
    <row r="429" s="35" customFormat="true" ht="13.25" hidden="false" customHeight="true" outlineLevel="0" collapsed="false">
      <c r="A429" s="35" t="s">
        <v>1637</v>
      </c>
      <c r="B429" s="35" t="s">
        <v>1587</v>
      </c>
      <c r="C429" s="127" t="s">
        <v>232</v>
      </c>
      <c r="D429" s="35" t="s">
        <v>80</v>
      </c>
      <c r="E429" s="35" t="s">
        <v>76</v>
      </c>
      <c r="F429" s="35" t="s">
        <v>1599</v>
      </c>
      <c r="G429" s="35" t="s">
        <v>105</v>
      </c>
      <c r="J429" s="70" t="s">
        <v>1638</v>
      </c>
      <c r="K429" s="133"/>
      <c r="L429" s="34"/>
      <c r="M429" s="35" t="s">
        <v>93</v>
      </c>
      <c r="N429" s="74" t="s">
        <v>1639</v>
      </c>
      <c r="O429" s="124" t="n">
        <v>44266</v>
      </c>
      <c r="Q429" s="37"/>
      <c r="R429" s="38"/>
      <c r="U429" s="15"/>
      <c r="V429" s="15"/>
      <c r="W429" s="15"/>
    </row>
    <row r="430" s="35" customFormat="true" ht="13.25" hidden="false" customHeight="true" outlineLevel="0" collapsed="false">
      <c r="A430" s="55" t="s">
        <v>1640</v>
      </c>
      <c r="B430" s="55" t="s">
        <v>1587</v>
      </c>
      <c r="C430" s="134" t="s">
        <v>232</v>
      </c>
      <c r="D430" s="55" t="s">
        <v>80</v>
      </c>
      <c r="E430" s="55" t="s">
        <v>76</v>
      </c>
      <c r="F430" s="55" t="s">
        <v>1599</v>
      </c>
      <c r="G430" s="55" t="s">
        <v>77</v>
      </c>
      <c r="H430" s="55"/>
      <c r="I430" s="55"/>
      <c r="J430" s="135" t="s">
        <v>1641</v>
      </c>
      <c r="K430" s="136" t="s">
        <v>1642</v>
      </c>
      <c r="L430" s="93"/>
      <c r="M430" s="76" t="s">
        <v>93</v>
      </c>
      <c r="N430" s="137" t="s">
        <v>1643</v>
      </c>
      <c r="O430" s="138" t="n">
        <v>44266</v>
      </c>
      <c r="P430" s="55"/>
      <c r="Q430" s="60"/>
      <c r="R430" s="58"/>
      <c r="U430" s="15"/>
      <c r="V430" s="15"/>
      <c r="W430" s="15"/>
    </row>
    <row r="431" customFormat="false" ht="13.25" hidden="false" customHeight="true" outlineLevel="0" collapsed="false">
      <c r="A431" s="15" t="s">
        <v>1644</v>
      </c>
      <c r="B431" s="15" t="s">
        <v>1645</v>
      </c>
      <c r="C431" s="15" t="s">
        <v>122</v>
      </c>
      <c r="D431" s="15" t="s">
        <v>59</v>
      </c>
      <c r="E431" s="15" t="s">
        <v>90</v>
      </c>
      <c r="G431" s="15" t="s">
        <v>96</v>
      </c>
      <c r="J431" s="15" t="s">
        <v>1646</v>
      </c>
      <c r="K431" s="27" t="s">
        <v>1647</v>
      </c>
      <c r="M431" s="15" t="s">
        <v>65</v>
      </c>
      <c r="R431" s="38"/>
      <c r="S431" s="35"/>
      <c r="T431" s="35"/>
    </row>
    <row r="432" customFormat="false" ht="13.25" hidden="false" customHeight="true" outlineLevel="0" collapsed="false">
      <c r="A432" s="15" t="s">
        <v>1648</v>
      </c>
      <c r="B432" s="15" t="s">
        <v>1645</v>
      </c>
      <c r="C432" s="15" t="s">
        <v>58</v>
      </c>
      <c r="D432" s="15" t="s">
        <v>59</v>
      </c>
      <c r="E432" s="15" t="s">
        <v>149</v>
      </c>
      <c r="F432" s="15" t="s">
        <v>1649</v>
      </c>
      <c r="G432" s="15" t="s">
        <v>96</v>
      </c>
      <c r="J432" s="15" t="s">
        <v>1650</v>
      </c>
      <c r="K432" s="27" t="s">
        <v>1651</v>
      </c>
      <c r="M432" s="15" t="s">
        <v>93</v>
      </c>
      <c r="P432" s="15" t="s">
        <v>1652</v>
      </c>
      <c r="Q432" s="17" t="n">
        <v>163400</v>
      </c>
      <c r="R432" s="38" t="n">
        <f aca="false">IFERROR(Q432/VLOOKUP(P432,'Exchange rates to USD'!$L$2:$N$225,3,FALSE()),"")</f>
        <v>142.550554505875</v>
      </c>
      <c r="S432" s="35"/>
      <c r="T432" s="35"/>
    </row>
    <row r="433" customFormat="false" ht="13.25" hidden="false" customHeight="true" outlineLevel="0" collapsed="false">
      <c r="A433" s="15" t="s">
        <v>1653</v>
      </c>
      <c r="B433" s="15" t="s">
        <v>1645</v>
      </c>
      <c r="C433" s="15" t="s">
        <v>122</v>
      </c>
      <c r="D433" s="15" t="s">
        <v>80</v>
      </c>
      <c r="E433" s="15" t="s">
        <v>90</v>
      </c>
      <c r="G433" s="15" t="s">
        <v>62</v>
      </c>
      <c r="H433" s="15" t="s">
        <v>110</v>
      </c>
      <c r="I433" s="15" t="s">
        <v>96</v>
      </c>
      <c r="J433" s="27" t="s">
        <v>1654</v>
      </c>
      <c r="K433" s="27" t="s">
        <v>1655</v>
      </c>
      <c r="M433" s="15" t="s">
        <v>65</v>
      </c>
      <c r="R433" s="38" t="str">
        <f aca="false">IFERROR(Q433/VLOOKUP(P433,'Exchange rates to USD'!$L$2:$N$225,3,FALSE()),"")</f>
        <v/>
      </c>
      <c r="S433" s="35"/>
      <c r="T433" s="35"/>
    </row>
    <row r="434" customFormat="false" ht="13.25" hidden="false" customHeight="true" outlineLevel="0" collapsed="false">
      <c r="A434" s="15" t="s">
        <v>1656</v>
      </c>
      <c r="B434" s="15" t="s">
        <v>1645</v>
      </c>
      <c r="C434" s="15" t="s">
        <v>122</v>
      </c>
      <c r="D434" s="15" t="s">
        <v>108</v>
      </c>
      <c r="E434" s="15" t="s">
        <v>76</v>
      </c>
      <c r="G434" s="15" t="s">
        <v>62</v>
      </c>
      <c r="H434" s="15" t="s">
        <v>110</v>
      </c>
      <c r="I434" s="15" t="s">
        <v>96</v>
      </c>
      <c r="J434" s="27" t="s">
        <v>1657</v>
      </c>
      <c r="M434" s="15" t="s">
        <v>65</v>
      </c>
      <c r="R434" s="38" t="str">
        <f aca="false">IFERROR(Q434/VLOOKUP(P434,'Exchange rates to USD'!$L$2:$N$225,3,FALSE()),"")</f>
        <v/>
      </c>
      <c r="S434" s="35"/>
      <c r="T434" s="35"/>
    </row>
    <row r="435" customFormat="false" ht="19.25" hidden="false" customHeight="true" outlineLevel="0" collapsed="false">
      <c r="A435" s="15" t="s">
        <v>1658</v>
      </c>
      <c r="B435" s="15" t="s">
        <v>1645</v>
      </c>
      <c r="C435" s="15" t="s">
        <v>122</v>
      </c>
      <c r="D435" s="15" t="s">
        <v>59</v>
      </c>
      <c r="E435" s="15" t="s">
        <v>76</v>
      </c>
      <c r="G435" s="15" t="s">
        <v>97</v>
      </c>
      <c r="J435" s="27" t="s">
        <v>1659</v>
      </c>
      <c r="K435" s="27" t="s">
        <v>1660</v>
      </c>
      <c r="M435" s="15" t="s">
        <v>65</v>
      </c>
      <c r="S435" s="35"/>
      <c r="T435" s="35"/>
    </row>
    <row r="436" customFormat="false" ht="13.25" hidden="false" customHeight="true" outlineLevel="0" collapsed="false">
      <c r="A436" s="15" t="s">
        <v>1661</v>
      </c>
      <c r="B436" s="15" t="s">
        <v>1645</v>
      </c>
      <c r="C436" s="15" t="s">
        <v>58</v>
      </c>
      <c r="D436" s="15" t="s">
        <v>59</v>
      </c>
      <c r="E436" s="15" t="s">
        <v>90</v>
      </c>
      <c r="F436" s="15" t="s">
        <v>1662</v>
      </c>
      <c r="G436" s="15" t="s">
        <v>62</v>
      </c>
      <c r="J436" s="15" t="s">
        <v>1663</v>
      </c>
      <c r="K436" s="27" t="s">
        <v>1664</v>
      </c>
      <c r="M436" s="15" t="s">
        <v>70</v>
      </c>
      <c r="P436" s="15" t="s">
        <v>1652</v>
      </c>
      <c r="Q436" s="17" t="n">
        <v>11200</v>
      </c>
      <c r="R436" s="38" t="n">
        <f aca="false">IFERROR(Q436/VLOOKUP(P436,'Exchange rates to USD'!$L$2:$N$225,3,FALSE()),"")</f>
        <v>9.7709070407944</v>
      </c>
    </row>
    <row r="437" customFormat="false" ht="13.25" hidden="false" customHeight="true" outlineLevel="0" collapsed="false">
      <c r="A437" s="15" t="s">
        <v>1665</v>
      </c>
      <c r="B437" s="15" t="s">
        <v>1645</v>
      </c>
      <c r="C437" s="15" t="s">
        <v>232</v>
      </c>
      <c r="D437" s="15" t="s">
        <v>80</v>
      </c>
      <c r="E437" s="15" t="s">
        <v>76</v>
      </c>
      <c r="G437" s="15" t="s">
        <v>105</v>
      </c>
      <c r="J437" s="27" t="s">
        <v>1666</v>
      </c>
      <c r="K437" s="27" t="s">
        <v>1667</v>
      </c>
      <c r="M437" s="15" t="s">
        <v>113</v>
      </c>
      <c r="R437" s="38" t="str">
        <f aca="false">IFERROR(Q437/VLOOKUP(P437,'Exchange rates to USD'!$L$2:$N$225,3,FALSE()),"")</f>
        <v/>
      </c>
    </row>
    <row r="438" customFormat="false" ht="13.25" hidden="false" customHeight="true" outlineLevel="0" collapsed="false">
      <c r="A438" s="15" t="s">
        <v>1668</v>
      </c>
      <c r="B438" s="15" t="s">
        <v>1645</v>
      </c>
      <c r="C438" s="15" t="s">
        <v>58</v>
      </c>
      <c r="D438" s="15" t="s">
        <v>1669</v>
      </c>
      <c r="E438" s="15" t="s">
        <v>95</v>
      </c>
      <c r="F438" s="15" t="s">
        <v>1670</v>
      </c>
      <c r="G438" s="15" t="s">
        <v>62</v>
      </c>
      <c r="H438" s="15" t="s">
        <v>105</v>
      </c>
      <c r="J438" s="27" t="s">
        <v>1671</v>
      </c>
      <c r="K438" s="27" t="s">
        <v>1672</v>
      </c>
      <c r="M438" s="15" t="s">
        <v>93</v>
      </c>
      <c r="O438" s="16" t="n">
        <v>44203</v>
      </c>
      <c r="P438" s="15" t="s">
        <v>1652</v>
      </c>
      <c r="Q438" s="17" t="n">
        <v>35800000</v>
      </c>
      <c r="R438" s="38" t="n">
        <f aca="false">IFERROR(Q438/VLOOKUP(P438,'Exchange rates to USD'!$L$2:$N$225,3,FALSE()),"")</f>
        <v>31232.0064339678</v>
      </c>
    </row>
    <row r="439" customFormat="false" ht="13.25" hidden="false" customHeight="true" outlineLevel="0" collapsed="false">
      <c r="A439" s="15" t="s">
        <v>1673</v>
      </c>
      <c r="B439" s="15" t="s">
        <v>1645</v>
      </c>
      <c r="C439" s="15" t="s">
        <v>58</v>
      </c>
      <c r="E439" s="15" t="s">
        <v>76</v>
      </c>
      <c r="F439" s="15" t="s">
        <v>1674</v>
      </c>
      <c r="G439" s="15" t="s">
        <v>62</v>
      </c>
      <c r="J439" s="27" t="s">
        <v>1675</v>
      </c>
      <c r="M439" s="15" t="s">
        <v>93</v>
      </c>
      <c r="O439" s="16" t="n">
        <v>44203</v>
      </c>
      <c r="P439" s="15" t="s">
        <v>1652</v>
      </c>
      <c r="Q439" s="17" t="n">
        <v>30100000</v>
      </c>
      <c r="R439" s="38" t="n">
        <f aca="false">IFERROR(Q439/VLOOKUP(P439,'Exchange rates to USD'!$L$2:$N$225,3,FALSE()),"")</f>
        <v>26259.3126721349</v>
      </c>
    </row>
    <row r="440" customFormat="false" ht="13.25" hidden="false" customHeight="true" outlineLevel="0" collapsed="false">
      <c r="A440" s="15" t="s">
        <v>1676</v>
      </c>
      <c r="B440" s="15" t="s">
        <v>1645</v>
      </c>
      <c r="C440" s="15" t="s">
        <v>58</v>
      </c>
      <c r="E440" s="15" t="s">
        <v>90</v>
      </c>
      <c r="F440" s="15" t="s">
        <v>1677</v>
      </c>
      <c r="G440" s="15" t="s">
        <v>62</v>
      </c>
      <c r="J440" s="27" t="s">
        <v>1675</v>
      </c>
      <c r="M440" s="15" t="s">
        <v>93</v>
      </c>
      <c r="O440" s="16" t="n">
        <v>44203</v>
      </c>
      <c r="P440" s="15" t="s">
        <v>1652</v>
      </c>
      <c r="Q440" s="17" t="n">
        <v>7600000</v>
      </c>
      <c r="R440" s="38" t="n">
        <f aca="false">IFERROR(Q440/VLOOKUP(P440,'Exchange rates to USD'!$L$2:$N$225,3,FALSE()),"")</f>
        <v>6630.25834911048</v>
      </c>
    </row>
    <row r="441" customFormat="false" ht="13.25" hidden="false" customHeight="true" outlineLevel="0" collapsed="false">
      <c r="A441" s="15" t="s">
        <v>1678</v>
      </c>
      <c r="B441" s="15" t="s">
        <v>1645</v>
      </c>
      <c r="C441" s="15" t="s">
        <v>58</v>
      </c>
      <c r="D441" s="15" t="s">
        <v>59</v>
      </c>
      <c r="E441" s="15" t="s">
        <v>90</v>
      </c>
      <c r="F441" s="15" t="s">
        <v>1679</v>
      </c>
      <c r="G441" s="15" t="s">
        <v>62</v>
      </c>
      <c r="H441" s="15" t="s">
        <v>110</v>
      </c>
      <c r="J441" s="15" t="s">
        <v>1680</v>
      </c>
      <c r="K441" s="15" t="s">
        <v>1681</v>
      </c>
      <c r="M441" s="15" t="s">
        <v>65</v>
      </c>
      <c r="P441" s="15" t="s">
        <v>1652</v>
      </c>
      <c r="Q441" s="17" t="n">
        <v>40000000</v>
      </c>
      <c r="R441" s="38" t="n">
        <f aca="false">IFERROR(Q441/VLOOKUP(P441,'Exchange rates to USD'!$L$2:$N$225,3,FALSE()),"")</f>
        <v>34896.0965742657</v>
      </c>
    </row>
    <row r="442" customFormat="false" ht="13.25" hidden="false" customHeight="true" outlineLevel="0" collapsed="false">
      <c r="A442" s="15" t="s">
        <v>1682</v>
      </c>
      <c r="B442" s="15" t="s">
        <v>1645</v>
      </c>
      <c r="C442" s="15" t="s">
        <v>58</v>
      </c>
      <c r="D442" s="15" t="s">
        <v>59</v>
      </c>
      <c r="E442" s="15" t="s">
        <v>60</v>
      </c>
      <c r="F442" s="15" t="s">
        <v>1683</v>
      </c>
      <c r="G442" s="15" t="s">
        <v>62</v>
      </c>
      <c r="J442" s="15" t="s">
        <v>1684</v>
      </c>
      <c r="K442" s="34" t="s">
        <v>1685</v>
      </c>
      <c r="M442" s="15" t="s">
        <v>65</v>
      </c>
      <c r="O442" s="16" t="n">
        <v>44149</v>
      </c>
      <c r="P442" s="35" t="s">
        <v>1652</v>
      </c>
      <c r="Q442" s="37" t="n">
        <v>2900000</v>
      </c>
      <c r="R442" s="38" t="n">
        <f aca="false">IFERROR(Q442/VLOOKUP(P442,'Exchange rates to USD'!$L$2:$N$225,3,FALSE()),"")</f>
        <v>2529.96700163426</v>
      </c>
    </row>
    <row r="443" customFormat="false" ht="13.25" hidden="false" customHeight="true" outlineLevel="0" collapsed="false">
      <c r="A443" s="55" t="s">
        <v>1686</v>
      </c>
      <c r="B443" s="55" t="s">
        <v>1645</v>
      </c>
      <c r="C443" s="55" t="s">
        <v>58</v>
      </c>
      <c r="D443" s="55" t="s">
        <v>59</v>
      </c>
      <c r="E443" s="55" t="s">
        <v>90</v>
      </c>
      <c r="F443" s="55" t="s">
        <v>1687</v>
      </c>
      <c r="G443" s="55" t="s">
        <v>62</v>
      </c>
      <c r="H443" s="55" t="s">
        <v>105</v>
      </c>
      <c r="I443" s="55"/>
      <c r="J443" s="55" t="s">
        <v>1688</v>
      </c>
      <c r="K443" s="55" t="s">
        <v>1689</v>
      </c>
      <c r="L443" s="55"/>
      <c r="M443" s="55" t="s">
        <v>65</v>
      </c>
      <c r="N443" s="55"/>
      <c r="O443" s="56" t="n">
        <v>44149</v>
      </c>
      <c r="P443" s="55" t="s">
        <v>1652</v>
      </c>
      <c r="Q443" s="60" t="n">
        <v>3000000</v>
      </c>
      <c r="R443" s="58" t="n">
        <f aca="false">IFERROR(Q443/VLOOKUP(P443,'Exchange rates to USD'!$L$2:$N$225,3,FALSE()),"")</f>
        <v>2617.20724306993</v>
      </c>
    </row>
    <row r="444" customFormat="false" ht="13.25" hidden="false" customHeight="true" outlineLevel="0" collapsed="false">
      <c r="A444" s="15" t="s">
        <v>1690</v>
      </c>
      <c r="B444" s="15" t="s">
        <v>1691</v>
      </c>
      <c r="C444" s="15" t="s">
        <v>58</v>
      </c>
      <c r="D444" s="15" t="s">
        <v>59</v>
      </c>
      <c r="E444" s="15" t="s">
        <v>233</v>
      </c>
      <c r="G444" s="15" t="s">
        <v>62</v>
      </c>
      <c r="J444" s="15" t="s">
        <v>1692</v>
      </c>
      <c r="K444" s="15" t="s">
        <v>1693</v>
      </c>
      <c r="M444" s="15" t="s">
        <v>113</v>
      </c>
      <c r="O444" s="16" t="n">
        <v>44141</v>
      </c>
      <c r="R444" s="38" t="str">
        <f aca="false">IFERROR(Q444/VLOOKUP(P444,'Exchange rates to USD'!$L$2:$N$225,3,FALSE()),"")</f>
        <v/>
      </c>
    </row>
    <row r="445" customFormat="false" ht="13.25" hidden="false" customHeight="true" outlineLevel="0" collapsed="false">
      <c r="A445" s="15" t="s">
        <v>1694</v>
      </c>
      <c r="B445" s="15" t="s">
        <v>1691</v>
      </c>
      <c r="C445" s="15" t="s">
        <v>75</v>
      </c>
      <c r="D445" s="15" t="s">
        <v>108</v>
      </c>
      <c r="E445" s="15" t="s">
        <v>76</v>
      </c>
      <c r="G445" s="15" t="s">
        <v>62</v>
      </c>
      <c r="H445" s="15" t="s">
        <v>105</v>
      </c>
      <c r="J445" s="15" t="s">
        <v>1695</v>
      </c>
      <c r="K445" s="15" t="s">
        <v>1696</v>
      </c>
      <c r="M445" s="15" t="s">
        <v>113</v>
      </c>
      <c r="O445" s="16" t="n">
        <v>44141</v>
      </c>
      <c r="R445" s="38" t="str">
        <f aca="false">IFERROR(Q445/VLOOKUP(P445,'Exchange rates to USD'!$L$2:$N$225,3,FALSE()),"")</f>
        <v/>
      </c>
    </row>
    <row r="446" customFormat="false" ht="13.25" hidden="false" customHeight="true" outlineLevel="0" collapsed="false">
      <c r="A446" s="15" t="s">
        <v>1697</v>
      </c>
      <c r="B446" s="15" t="s">
        <v>1691</v>
      </c>
      <c r="C446" s="15" t="s">
        <v>58</v>
      </c>
      <c r="D446" s="15" t="s">
        <v>108</v>
      </c>
      <c r="E446" s="15" t="s">
        <v>116</v>
      </c>
      <c r="F446" s="15" t="s">
        <v>1698</v>
      </c>
      <c r="G446" s="15" t="s">
        <v>62</v>
      </c>
      <c r="J446" s="15" t="s">
        <v>1699</v>
      </c>
      <c r="K446" s="15" t="s">
        <v>1696</v>
      </c>
      <c r="M446" s="15" t="s">
        <v>93</v>
      </c>
      <c r="O446" s="16" t="n">
        <v>44141</v>
      </c>
      <c r="P446" s="15" t="s">
        <v>240</v>
      </c>
      <c r="Q446" s="17" t="n">
        <v>9.4</v>
      </c>
      <c r="R446" s="38" t="n">
        <f aca="false">IFERROR(Q446/VLOOKUP(P446,'Exchange rates to USD'!$L$2:$N$225,3,FALSE()),"")</f>
        <v>10.3650880460974</v>
      </c>
    </row>
    <row r="447" s="55" customFormat="true" ht="13.25" hidden="false" customHeight="true" outlineLevel="0" collapsed="false">
      <c r="A447" s="55" t="s">
        <v>1700</v>
      </c>
      <c r="B447" s="55" t="s">
        <v>1691</v>
      </c>
      <c r="C447" s="55" t="s">
        <v>58</v>
      </c>
      <c r="D447" s="55" t="s">
        <v>80</v>
      </c>
      <c r="E447" s="55" t="s">
        <v>90</v>
      </c>
      <c r="F447" s="55" t="s">
        <v>957</v>
      </c>
      <c r="G447" s="55" t="s">
        <v>105</v>
      </c>
      <c r="J447" s="55" t="s">
        <v>1701</v>
      </c>
      <c r="K447" s="55" t="s">
        <v>1696</v>
      </c>
      <c r="M447" s="55" t="s">
        <v>70</v>
      </c>
      <c r="O447" s="56" t="n">
        <v>44149</v>
      </c>
      <c r="P447" s="55" t="s">
        <v>240</v>
      </c>
      <c r="Q447" s="60" t="n">
        <v>100</v>
      </c>
      <c r="R447" s="58" t="n">
        <f aca="false">IFERROR(Q447/VLOOKUP(P447,'Exchange rates to USD'!$L$2:$N$225,3,FALSE()),"")</f>
        <v>110.266894107419</v>
      </c>
    </row>
    <row r="448" customFormat="false" ht="13.25" hidden="false" customHeight="true" outlineLevel="0" collapsed="false">
      <c r="A448" s="15" t="s">
        <v>1702</v>
      </c>
      <c r="B448" s="15" t="s">
        <v>1703</v>
      </c>
      <c r="C448" s="15" t="s">
        <v>58</v>
      </c>
      <c r="D448" s="15" t="s">
        <v>80</v>
      </c>
      <c r="E448" s="15" t="s">
        <v>76</v>
      </c>
      <c r="F448" s="15" t="s">
        <v>1704</v>
      </c>
      <c r="J448" s="15" t="s">
        <v>1705</v>
      </c>
      <c r="K448" s="15" t="s">
        <v>1706</v>
      </c>
      <c r="M448" s="15" t="s">
        <v>70</v>
      </c>
      <c r="P448" s="15" t="s">
        <v>240</v>
      </c>
      <c r="Q448" s="17" t="n">
        <v>1100</v>
      </c>
      <c r="R448" s="38" t="n">
        <f aca="false">IFERROR(Q448/VLOOKUP(P448,'Exchange rates to USD'!$L$2:$N$225,3,FALSE()),"")</f>
        <v>1212.93583518161</v>
      </c>
    </row>
    <row r="449" customFormat="false" ht="13.25" hidden="false" customHeight="true" outlineLevel="0" collapsed="false">
      <c r="A449" s="15" t="s">
        <v>1707</v>
      </c>
      <c r="B449" s="15" t="s">
        <v>1703</v>
      </c>
      <c r="C449" s="15" t="s">
        <v>58</v>
      </c>
      <c r="D449" s="15" t="s">
        <v>80</v>
      </c>
      <c r="E449" s="15" t="s">
        <v>76</v>
      </c>
      <c r="F449" s="15" t="s">
        <v>1708</v>
      </c>
      <c r="J449" s="15" t="s">
        <v>1709</v>
      </c>
      <c r="K449" s="15" t="s">
        <v>1706</v>
      </c>
      <c r="M449" s="15" t="s">
        <v>70</v>
      </c>
      <c r="P449" s="15" t="s">
        <v>240</v>
      </c>
      <c r="Q449" s="17" t="n">
        <v>1300</v>
      </c>
      <c r="R449" s="38" t="n">
        <f aca="false">IFERROR(Q449/VLOOKUP(P449,'Exchange rates to USD'!$L$2:$N$225,3,FALSE()),"")</f>
        <v>1433.46962339644</v>
      </c>
    </row>
    <row r="450" customFormat="false" ht="13.25" hidden="false" customHeight="true" outlineLevel="0" collapsed="false">
      <c r="A450" s="15" t="s">
        <v>1710</v>
      </c>
      <c r="B450" s="15" t="s">
        <v>1703</v>
      </c>
      <c r="C450" s="15" t="s">
        <v>58</v>
      </c>
      <c r="D450" s="15" t="s">
        <v>80</v>
      </c>
      <c r="E450" s="15" t="s">
        <v>76</v>
      </c>
      <c r="F450" s="15" t="s">
        <v>1711</v>
      </c>
      <c r="J450" s="15" t="s">
        <v>1712</v>
      </c>
      <c r="K450" s="15" t="s">
        <v>1706</v>
      </c>
      <c r="M450" s="15" t="s">
        <v>70</v>
      </c>
      <c r="P450" s="15" t="s">
        <v>240</v>
      </c>
      <c r="Q450" s="17" t="n">
        <v>1000</v>
      </c>
      <c r="R450" s="38" t="n">
        <f aca="false">IFERROR(Q450/VLOOKUP(P450,'Exchange rates to USD'!$L$2:$N$225,3,FALSE()),"")</f>
        <v>1102.66894107419</v>
      </c>
    </row>
    <row r="451" customFormat="false" ht="13.25" hidden="false" customHeight="true" outlineLevel="0" collapsed="false">
      <c r="A451" s="15" t="s">
        <v>1713</v>
      </c>
      <c r="B451" s="15" t="s">
        <v>1703</v>
      </c>
      <c r="C451" s="15" t="s">
        <v>232</v>
      </c>
      <c r="D451" s="15" t="s">
        <v>80</v>
      </c>
      <c r="E451" s="15" t="s">
        <v>76</v>
      </c>
      <c r="F451" s="15" t="s">
        <v>1714</v>
      </c>
      <c r="G451" s="15" t="s">
        <v>62</v>
      </c>
      <c r="H451" s="15" t="s">
        <v>105</v>
      </c>
      <c r="J451" s="15" t="s">
        <v>1715</v>
      </c>
      <c r="K451" s="15" t="s">
        <v>1706</v>
      </c>
      <c r="M451" s="15" t="s">
        <v>70</v>
      </c>
      <c r="P451" s="15" t="s">
        <v>240</v>
      </c>
      <c r="Q451" s="17" t="n">
        <v>6300</v>
      </c>
      <c r="R451" s="38" t="n">
        <f aca="false">IFERROR(Q451/VLOOKUP(P451,'Exchange rates to USD'!$L$2:$N$225,3,FALSE()),"")</f>
        <v>6946.81432876739</v>
      </c>
    </row>
    <row r="452" customFormat="false" ht="13.25" hidden="false" customHeight="true" outlineLevel="0" collapsed="false">
      <c r="A452" s="55" t="s">
        <v>1716</v>
      </c>
      <c r="B452" s="55" t="s">
        <v>1703</v>
      </c>
      <c r="C452" s="55" t="s">
        <v>122</v>
      </c>
      <c r="D452" s="55" t="s">
        <v>80</v>
      </c>
      <c r="E452" s="55" t="s">
        <v>76</v>
      </c>
      <c r="F452" s="55"/>
      <c r="G452" s="55"/>
      <c r="H452" s="55"/>
      <c r="I452" s="55"/>
      <c r="J452" s="55" t="s">
        <v>1717</v>
      </c>
      <c r="K452" s="55" t="s">
        <v>1706</v>
      </c>
      <c r="L452" s="55"/>
      <c r="M452" s="55" t="s">
        <v>70</v>
      </c>
      <c r="N452" s="55"/>
      <c r="O452" s="56"/>
      <c r="P452" s="55" t="s">
        <v>240</v>
      </c>
      <c r="Q452" s="60"/>
      <c r="R452" s="58" t="n">
        <f aca="false">IFERROR(Q452/VLOOKUP(P452,'Exchange rates to USD'!$L$2:$N$225,3,FALSE()),"")</f>
        <v>0</v>
      </c>
    </row>
    <row r="453" customFormat="false" ht="13.25" hidden="false" customHeight="true" outlineLevel="0" collapsed="false">
      <c r="A453" s="15" t="s">
        <v>1718</v>
      </c>
      <c r="B453" s="15" t="s">
        <v>1719</v>
      </c>
      <c r="C453" s="15" t="s">
        <v>58</v>
      </c>
      <c r="D453" s="15" t="s">
        <v>80</v>
      </c>
      <c r="E453" s="15" t="s">
        <v>76</v>
      </c>
      <c r="F453" s="15" t="s">
        <v>1720</v>
      </c>
      <c r="G453" s="15" t="s">
        <v>105</v>
      </c>
      <c r="J453" s="15" t="s">
        <v>1721</v>
      </c>
      <c r="K453" s="15" t="s">
        <v>1722</v>
      </c>
      <c r="L453" s="15" t="s">
        <v>1723</v>
      </c>
      <c r="M453" s="15" t="s">
        <v>93</v>
      </c>
      <c r="O453" s="16" t="n">
        <v>44141</v>
      </c>
    </row>
    <row r="454" customFormat="false" ht="13.25" hidden="false" customHeight="true" outlineLevel="0" collapsed="false">
      <c r="A454" s="15" t="s">
        <v>1724</v>
      </c>
      <c r="B454" s="15" t="s">
        <v>1719</v>
      </c>
      <c r="C454" s="15" t="s">
        <v>58</v>
      </c>
      <c r="D454" s="15" t="s">
        <v>80</v>
      </c>
      <c r="E454" s="15" t="s">
        <v>76</v>
      </c>
      <c r="F454" s="15" t="s">
        <v>1725</v>
      </c>
      <c r="G454" s="15" t="s">
        <v>105</v>
      </c>
      <c r="J454" s="15" t="s">
        <v>1726</v>
      </c>
      <c r="K454" s="15" t="s">
        <v>1727</v>
      </c>
      <c r="M454" s="15" t="s">
        <v>70</v>
      </c>
      <c r="O454" s="16" t="n">
        <v>44141</v>
      </c>
    </row>
    <row r="455" customFormat="false" ht="13.25" hidden="false" customHeight="true" outlineLevel="0" collapsed="false">
      <c r="A455" s="15" t="s">
        <v>1728</v>
      </c>
      <c r="B455" s="15" t="s">
        <v>1719</v>
      </c>
      <c r="C455" s="15" t="s">
        <v>58</v>
      </c>
      <c r="D455" s="15" t="s">
        <v>80</v>
      </c>
      <c r="E455" s="15" t="s">
        <v>116</v>
      </c>
      <c r="F455" s="15" t="s">
        <v>1729</v>
      </c>
      <c r="G455" s="15" t="s">
        <v>62</v>
      </c>
      <c r="J455" s="15" t="s">
        <v>1730</v>
      </c>
      <c r="K455" s="15" t="s">
        <v>1722</v>
      </c>
      <c r="M455" s="15" t="s">
        <v>93</v>
      </c>
      <c r="O455" s="16" t="n">
        <v>44141</v>
      </c>
    </row>
    <row r="456" customFormat="false" ht="13.25" hidden="false" customHeight="true" outlineLevel="0" collapsed="false">
      <c r="A456" s="15" t="s">
        <v>1731</v>
      </c>
      <c r="B456" s="15" t="s">
        <v>1719</v>
      </c>
      <c r="C456" s="15" t="s">
        <v>58</v>
      </c>
      <c r="D456" s="15" t="s">
        <v>80</v>
      </c>
      <c r="E456" s="15" t="s">
        <v>116</v>
      </c>
      <c r="F456" s="15" t="s">
        <v>1732</v>
      </c>
      <c r="G456" s="15" t="s">
        <v>62</v>
      </c>
      <c r="J456" s="15" t="s">
        <v>1733</v>
      </c>
      <c r="K456" s="15" t="s">
        <v>1722</v>
      </c>
      <c r="M456" s="15" t="s">
        <v>93</v>
      </c>
      <c r="O456" s="16" t="n">
        <v>44141</v>
      </c>
    </row>
    <row r="457" customFormat="false" ht="13.25" hidden="false" customHeight="true" outlineLevel="0" collapsed="false">
      <c r="A457" s="15" t="s">
        <v>1734</v>
      </c>
      <c r="B457" s="15" t="s">
        <v>1719</v>
      </c>
      <c r="C457" s="15" t="s">
        <v>58</v>
      </c>
      <c r="D457" s="15" t="s">
        <v>115</v>
      </c>
      <c r="E457" s="15" t="s">
        <v>233</v>
      </c>
      <c r="F457" s="15" t="s">
        <v>1735</v>
      </c>
      <c r="G457" s="15" t="s">
        <v>62</v>
      </c>
      <c r="J457" s="15" t="s">
        <v>1736</v>
      </c>
      <c r="K457" s="15" t="s">
        <v>1722</v>
      </c>
      <c r="M457" s="15" t="s">
        <v>93</v>
      </c>
      <c r="O457" s="16" t="n">
        <v>44141</v>
      </c>
    </row>
    <row r="458" customFormat="false" ht="13.25" hidden="false" customHeight="true" outlineLevel="0" collapsed="false">
      <c r="A458" s="15" t="s">
        <v>1737</v>
      </c>
      <c r="B458" s="15" t="s">
        <v>1719</v>
      </c>
      <c r="C458" s="15" t="s">
        <v>58</v>
      </c>
      <c r="D458" s="15" t="s">
        <v>115</v>
      </c>
      <c r="E458" s="15" t="s">
        <v>233</v>
      </c>
      <c r="F458" s="15" t="s">
        <v>1738</v>
      </c>
      <c r="G458" s="15" t="s">
        <v>62</v>
      </c>
      <c r="J458" s="15" t="s">
        <v>1739</v>
      </c>
      <c r="K458" s="15" t="s">
        <v>1722</v>
      </c>
      <c r="M458" s="15" t="s">
        <v>93</v>
      </c>
      <c r="O458" s="16" t="n">
        <v>44141</v>
      </c>
    </row>
    <row r="459" customFormat="false" ht="13.25" hidden="false" customHeight="true" outlineLevel="0" collapsed="false">
      <c r="A459" s="15" t="s">
        <v>1740</v>
      </c>
      <c r="B459" s="15" t="s">
        <v>1719</v>
      </c>
      <c r="C459" s="15" t="s">
        <v>58</v>
      </c>
      <c r="D459" s="15" t="s">
        <v>115</v>
      </c>
      <c r="E459" s="15" t="s">
        <v>233</v>
      </c>
      <c r="F459" s="15" t="s">
        <v>1741</v>
      </c>
      <c r="G459" s="15" t="s">
        <v>62</v>
      </c>
      <c r="J459" s="15" t="s">
        <v>1742</v>
      </c>
      <c r="K459" s="15" t="s">
        <v>1722</v>
      </c>
      <c r="M459" s="15" t="s">
        <v>93</v>
      </c>
      <c r="O459" s="16" t="n">
        <v>44141</v>
      </c>
    </row>
    <row r="460" customFormat="false" ht="13.25" hidden="false" customHeight="true" outlineLevel="0" collapsed="false">
      <c r="A460" s="15" t="s">
        <v>1743</v>
      </c>
      <c r="B460" s="15" t="s">
        <v>1719</v>
      </c>
      <c r="C460" s="15" t="s">
        <v>58</v>
      </c>
      <c r="E460" s="15" t="s">
        <v>95</v>
      </c>
      <c r="F460" s="15" t="s">
        <v>1741</v>
      </c>
      <c r="G460" s="15" t="s">
        <v>62</v>
      </c>
      <c r="J460" s="15" t="s">
        <v>1744</v>
      </c>
      <c r="K460" s="15" t="s">
        <v>1722</v>
      </c>
      <c r="M460" s="15" t="s">
        <v>93</v>
      </c>
      <c r="O460" s="16" t="n">
        <v>44141</v>
      </c>
    </row>
    <row r="461" customFormat="false" ht="13.25" hidden="false" customHeight="true" outlineLevel="0" collapsed="false">
      <c r="A461" s="15" t="s">
        <v>1745</v>
      </c>
      <c r="B461" s="15" t="s">
        <v>1719</v>
      </c>
      <c r="C461" s="15" t="s">
        <v>58</v>
      </c>
      <c r="D461" s="15" t="s">
        <v>115</v>
      </c>
      <c r="E461" s="15" t="s">
        <v>95</v>
      </c>
      <c r="F461" s="15" t="s">
        <v>1741</v>
      </c>
      <c r="G461" s="15" t="s">
        <v>62</v>
      </c>
      <c r="J461" s="15" t="s">
        <v>1746</v>
      </c>
      <c r="K461" s="15" t="s">
        <v>1722</v>
      </c>
      <c r="M461" s="15" t="s">
        <v>93</v>
      </c>
      <c r="N461" s="15" t="s">
        <v>1747</v>
      </c>
      <c r="O461" s="16" t="n">
        <v>44141</v>
      </c>
    </row>
    <row r="462" customFormat="false" ht="13.25" hidden="false" customHeight="true" outlineLevel="0" collapsed="false">
      <c r="A462" s="55" t="s">
        <v>1748</v>
      </c>
      <c r="B462" s="55" t="s">
        <v>1719</v>
      </c>
      <c r="C462" s="15" t="s">
        <v>75</v>
      </c>
      <c r="D462" s="55" t="s">
        <v>80</v>
      </c>
      <c r="E462" s="55" t="s">
        <v>95</v>
      </c>
      <c r="F462" s="55" t="s">
        <v>1749</v>
      </c>
      <c r="G462" s="55" t="s">
        <v>62</v>
      </c>
      <c r="H462" s="55"/>
      <c r="I462" s="55"/>
      <c r="J462" s="55" t="s">
        <v>1750</v>
      </c>
      <c r="K462" s="55" t="s">
        <v>1751</v>
      </c>
      <c r="L462" s="55"/>
      <c r="M462" s="55" t="s">
        <v>93</v>
      </c>
      <c r="N462" s="55" t="s">
        <v>1752</v>
      </c>
      <c r="O462" s="56" t="n">
        <v>44141</v>
      </c>
      <c r="P462" s="55"/>
      <c r="Q462" s="60"/>
      <c r="R462" s="60"/>
    </row>
    <row r="463" customFormat="false" ht="13.25" hidden="false" customHeight="true" outlineLevel="0" collapsed="false">
      <c r="A463" s="15" t="s">
        <v>1753</v>
      </c>
      <c r="B463" s="15" t="s">
        <v>1754</v>
      </c>
      <c r="C463" s="15" t="s">
        <v>75</v>
      </c>
      <c r="D463" s="15" t="s">
        <v>59</v>
      </c>
      <c r="E463" s="15" t="s">
        <v>95</v>
      </c>
      <c r="F463" s="15" t="s">
        <v>1755</v>
      </c>
      <c r="G463" s="15" t="s">
        <v>62</v>
      </c>
      <c r="H463" s="15" t="s">
        <v>110</v>
      </c>
      <c r="J463" s="15" t="s">
        <v>1756</v>
      </c>
      <c r="K463" s="15" t="s">
        <v>1757</v>
      </c>
      <c r="M463" s="15" t="s">
        <v>65</v>
      </c>
      <c r="O463" s="16" t="n">
        <v>44144</v>
      </c>
      <c r="P463" s="15" t="s">
        <v>643</v>
      </c>
      <c r="Q463" s="17" t="n">
        <v>2.88</v>
      </c>
      <c r="R463" s="38" t="n">
        <f aca="false">IFERROR(Q463/VLOOKUP(P463,'Exchange rates to USD'!$L$2:$N$225,3,FALSE()),"")</f>
        <v>2.88</v>
      </c>
    </row>
    <row r="464" customFormat="false" ht="13.25" hidden="false" customHeight="true" outlineLevel="0" collapsed="false">
      <c r="A464" s="15" t="s">
        <v>1758</v>
      </c>
      <c r="B464" s="15" t="s">
        <v>1754</v>
      </c>
      <c r="C464" s="15" t="s">
        <v>232</v>
      </c>
      <c r="D464" s="15" t="s">
        <v>108</v>
      </c>
      <c r="E464" s="15" t="s">
        <v>76</v>
      </c>
      <c r="F464" s="15" t="s">
        <v>1759</v>
      </c>
      <c r="G464" s="15" t="s">
        <v>97</v>
      </c>
      <c r="J464" s="15" t="s">
        <v>1760</v>
      </c>
      <c r="K464" s="15" t="s">
        <v>1761</v>
      </c>
      <c r="M464" s="15" t="s">
        <v>113</v>
      </c>
      <c r="O464" s="16" t="n">
        <v>44144</v>
      </c>
      <c r="P464" s="15" t="s">
        <v>643</v>
      </c>
      <c r="Q464" s="17" t="n">
        <v>1100</v>
      </c>
      <c r="R464" s="38" t="n">
        <f aca="false">IFERROR(Q464/VLOOKUP(P464,'Exchange rates to USD'!$L$2:$N$225,3,FALSE()),"")</f>
        <v>1100</v>
      </c>
    </row>
    <row r="465" customFormat="false" ht="13.25" hidden="false" customHeight="true" outlineLevel="0" collapsed="false">
      <c r="A465" s="15" t="s">
        <v>1762</v>
      </c>
      <c r="B465" s="15" t="s">
        <v>1754</v>
      </c>
      <c r="C465" s="15" t="s">
        <v>232</v>
      </c>
      <c r="D465" s="15" t="s">
        <v>59</v>
      </c>
      <c r="E465" s="15" t="s">
        <v>95</v>
      </c>
      <c r="F465" s="15" t="s">
        <v>1763</v>
      </c>
      <c r="G465" s="15" t="s">
        <v>62</v>
      </c>
      <c r="H465" s="15" t="s">
        <v>110</v>
      </c>
      <c r="J465" s="15" t="s">
        <v>1764</v>
      </c>
      <c r="K465" s="15" t="s">
        <v>1765</v>
      </c>
      <c r="M465" s="15" t="s">
        <v>65</v>
      </c>
      <c r="O465" s="16" t="n">
        <v>44144</v>
      </c>
      <c r="P465" s="15" t="s">
        <v>643</v>
      </c>
      <c r="Q465" s="17" t="n">
        <v>7940</v>
      </c>
      <c r="R465" s="38" t="n">
        <f aca="false">IFERROR(Q465/VLOOKUP(P465,'Exchange rates to USD'!$L$2:$N$225,3,FALSE()),"")</f>
        <v>7940</v>
      </c>
    </row>
    <row r="466" customFormat="false" ht="13.25" hidden="false" customHeight="true" outlineLevel="0" collapsed="false">
      <c r="A466" s="15" t="s">
        <v>1766</v>
      </c>
      <c r="B466" s="15" t="s">
        <v>1754</v>
      </c>
      <c r="C466" s="15" t="s">
        <v>232</v>
      </c>
      <c r="D466" s="15" t="s">
        <v>59</v>
      </c>
      <c r="E466" s="15" t="s">
        <v>233</v>
      </c>
      <c r="F466" s="15" t="s">
        <v>1767</v>
      </c>
      <c r="G466" s="15" t="s">
        <v>62</v>
      </c>
      <c r="H466" s="15" t="s">
        <v>110</v>
      </c>
      <c r="I466" s="15" t="s">
        <v>77</v>
      </c>
      <c r="J466" s="15" t="s">
        <v>1768</v>
      </c>
      <c r="K466" s="15" t="s">
        <v>1769</v>
      </c>
      <c r="M466" s="15" t="s">
        <v>113</v>
      </c>
      <c r="O466" s="16" t="n">
        <v>44144</v>
      </c>
      <c r="P466" s="15" t="s">
        <v>643</v>
      </c>
      <c r="Q466" s="17" t="n">
        <v>2200</v>
      </c>
      <c r="R466" s="38" t="n">
        <f aca="false">IFERROR(Q466/VLOOKUP(P466,'Exchange rates to USD'!$L$2:$N$225,3,FALSE()),"")</f>
        <v>2200</v>
      </c>
    </row>
    <row r="467" customFormat="false" ht="13.25" hidden="false" customHeight="true" outlineLevel="0" collapsed="false">
      <c r="A467" s="15" t="s">
        <v>1770</v>
      </c>
      <c r="B467" s="15" t="s">
        <v>1754</v>
      </c>
      <c r="C467" s="15" t="s">
        <v>232</v>
      </c>
      <c r="D467" s="15" t="s">
        <v>59</v>
      </c>
      <c r="E467" s="15" t="s">
        <v>233</v>
      </c>
      <c r="F467" s="15" t="s">
        <v>1771</v>
      </c>
      <c r="G467" s="15" t="s">
        <v>62</v>
      </c>
      <c r="H467" s="15" t="s">
        <v>110</v>
      </c>
      <c r="J467" s="15" t="s">
        <v>1772</v>
      </c>
      <c r="K467" s="15" t="s">
        <v>1773</v>
      </c>
      <c r="M467" s="15" t="s">
        <v>93</v>
      </c>
      <c r="O467" s="16" t="n">
        <v>44144</v>
      </c>
      <c r="R467" s="38" t="str">
        <f aca="false">IFERROR(Q467/VLOOKUP(P467,'Exchange rates to USD'!$L$2:$N$225,3,FALSE()),"")</f>
        <v/>
      </c>
    </row>
    <row r="468" customFormat="false" ht="13.25" hidden="false" customHeight="true" outlineLevel="0" collapsed="false">
      <c r="A468" s="15" t="s">
        <v>1774</v>
      </c>
      <c r="B468" s="15" t="s">
        <v>1754</v>
      </c>
      <c r="C468" s="15" t="s">
        <v>232</v>
      </c>
      <c r="D468" s="15" t="s">
        <v>108</v>
      </c>
      <c r="E468" s="15" t="s">
        <v>233</v>
      </c>
      <c r="G468" s="15" t="s">
        <v>110</v>
      </c>
      <c r="H468" s="15" t="s">
        <v>62</v>
      </c>
      <c r="J468" s="15" t="s">
        <v>1775</v>
      </c>
      <c r="K468" s="15" t="s">
        <v>1776</v>
      </c>
      <c r="M468" s="15" t="s">
        <v>93</v>
      </c>
      <c r="O468" s="16" t="n">
        <v>44149</v>
      </c>
      <c r="R468" s="38" t="str">
        <f aca="false">IFERROR(Q468/VLOOKUP(P468,'Exchange rates to USD'!$L$2:$N$225,3,FALSE()),"")</f>
        <v/>
      </c>
    </row>
    <row r="469" customFormat="false" ht="13.25" hidden="false" customHeight="true" outlineLevel="0" collapsed="false">
      <c r="A469" s="15" t="s">
        <v>1777</v>
      </c>
      <c r="B469" s="15" t="s">
        <v>1754</v>
      </c>
      <c r="C469" s="15" t="s">
        <v>232</v>
      </c>
      <c r="D469" s="15" t="s">
        <v>80</v>
      </c>
      <c r="E469" s="15" t="s">
        <v>76</v>
      </c>
      <c r="F469" s="15" t="s">
        <v>1778</v>
      </c>
      <c r="G469" s="15" t="s">
        <v>105</v>
      </c>
      <c r="J469" s="15" t="s">
        <v>1779</v>
      </c>
      <c r="K469" s="15" t="s">
        <v>1780</v>
      </c>
      <c r="M469" s="15" t="s">
        <v>93</v>
      </c>
      <c r="O469" s="16" t="n">
        <v>44149</v>
      </c>
      <c r="P469" s="15" t="s">
        <v>240</v>
      </c>
      <c r="Q469" s="17" t="n">
        <v>750</v>
      </c>
      <c r="R469" s="38" t="n">
        <f aca="false">IFERROR(Q469/VLOOKUP(P469,'Exchange rates to USD'!$L$2:$N$225,3,FALSE()),"")</f>
        <v>827.001705805641</v>
      </c>
    </row>
    <row r="470" customFormat="false" ht="13.25" hidden="false" customHeight="true" outlineLevel="0" collapsed="false">
      <c r="A470" s="55" t="s">
        <v>1781</v>
      </c>
      <c r="B470" s="55" t="s">
        <v>1754</v>
      </c>
      <c r="C470" s="55" t="s">
        <v>58</v>
      </c>
      <c r="D470" s="55" t="s">
        <v>59</v>
      </c>
      <c r="E470" s="55" t="s">
        <v>116</v>
      </c>
      <c r="F470" s="55" t="s">
        <v>1782</v>
      </c>
      <c r="G470" s="55" t="s">
        <v>62</v>
      </c>
      <c r="H470" s="55"/>
      <c r="I470" s="55"/>
      <c r="J470" s="55" t="s">
        <v>1783</v>
      </c>
      <c r="K470" s="55" t="s">
        <v>1761</v>
      </c>
      <c r="L470" s="55"/>
      <c r="M470" s="55" t="s">
        <v>70</v>
      </c>
      <c r="N470" s="55"/>
      <c r="O470" s="56" t="n">
        <v>44144</v>
      </c>
      <c r="P470" s="55" t="s">
        <v>643</v>
      </c>
      <c r="Q470" s="60" t="n">
        <v>7.8</v>
      </c>
      <c r="R470" s="58" t="n">
        <f aca="false">IFERROR(Q470/VLOOKUP(P470,'Exchange rates to USD'!$L$2:$N$225,3,FALSE()),"")</f>
        <v>7.8</v>
      </c>
    </row>
    <row r="471" customFormat="false" ht="13.25" hidden="false" customHeight="true" outlineLevel="0" collapsed="false">
      <c r="A471" s="15" t="s">
        <v>1784</v>
      </c>
      <c r="B471" s="15" t="s">
        <v>1785</v>
      </c>
      <c r="C471" s="15" t="s">
        <v>58</v>
      </c>
      <c r="D471" s="15" t="s">
        <v>59</v>
      </c>
      <c r="E471" s="15" t="s">
        <v>60</v>
      </c>
      <c r="F471" s="15" t="s">
        <v>1120</v>
      </c>
      <c r="G471" s="15" t="s">
        <v>62</v>
      </c>
      <c r="J471" s="15" t="s">
        <v>1786</v>
      </c>
      <c r="K471" s="15" t="s">
        <v>1787</v>
      </c>
      <c r="M471" s="15" t="s">
        <v>65</v>
      </c>
      <c r="O471" s="16" t="n">
        <v>44155</v>
      </c>
      <c r="P471" s="15" t="s">
        <v>240</v>
      </c>
      <c r="Q471" s="17" t="n">
        <v>3400</v>
      </c>
      <c r="R471" s="38" t="n">
        <f aca="false">IFERROR(Q471/VLOOKUP(P471,'Exchange rates to USD'!$L$2:$N$225,3,FALSE()),"")</f>
        <v>3749.07439965224</v>
      </c>
    </row>
    <row r="472" customFormat="false" ht="13.25" hidden="false" customHeight="true" outlineLevel="0" collapsed="false">
      <c r="A472" s="15" t="s">
        <v>1788</v>
      </c>
      <c r="B472" s="15" t="s">
        <v>1785</v>
      </c>
      <c r="C472" s="15" t="s">
        <v>122</v>
      </c>
      <c r="D472" s="15" t="s">
        <v>59</v>
      </c>
      <c r="E472" s="15" t="s">
        <v>95</v>
      </c>
      <c r="G472" s="15" t="s">
        <v>62</v>
      </c>
      <c r="H472" s="15" t="s">
        <v>110</v>
      </c>
      <c r="I472" s="15" t="s">
        <v>105</v>
      </c>
      <c r="J472" s="15" t="s">
        <v>1789</v>
      </c>
      <c r="K472" s="15" t="s">
        <v>1790</v>
      </c>
      <c r="M472" s="15" t="s">
        <v>93</v>
      </c>
      <c r="P472" s="15" t="s">
        <v>240</v>
      </c>
      <c r="R472" s="38" t="n">
        <f aca="false">IFERROR(Q472/VLOOKUP(P472,'Exchange rates to USD'!$L$2:$N$225,3,FALSE()),"")</f>
        <v>0</v>
      </c>
    </row>
    <row r="473" customFormat="false" ht="13.25" hidden="false" customHeight="true" outlineLevel="0" collapsed="false">
      <c r="A473" s="15" t="s">
        <v>1791</v>
      </c>
      <c r="B473" s="15" t="s">
        <v>1785</v>
      </c>
      <c r="C473" s="15" t="s">
        <v>58</v>
      </c>
      <c r="D473" s="15" t="s">
        <v>59</v>
      </c>
      <c r="E473" s="15" t="s">
        <v>233</v>
      </c>
      <c r="F473" s="15" t="s">
        <v>1792</v>
      </c>
      <c r="G473" s="15" t="s">
        <v>62</v>
      </c>
      <c r="H473" s="15" t="s">
        <v>110</v>
      </c>
      <c r="J473" s="15" t="s">
        <v>1793</v>
      </c>
      <c r="K473" s="15" t="s">
        <v>1794</v>
      </c>
      <c r="M473" s="15" t="s">
        <v>93</v>
      </c>
      <c r="P473" s="15" t="s">
        <v>240</v>
      </c>
      <c r="Q473" s="17" t="n">
        <v>1650</v>
      </c>
      <c r="R473" s="38" t="n">
        <f aca="false">IFERROR(Q473/VLOOKUP(P473,'Exchange rates to USD'!$L$2:$N$225,3,FALSE()),"")</f>
        <v>1819.40375277241</v>
      </c>
    </row>
    <row r="474" customFormat="false" ht="13.25" hidden="false" customHeight="true" outlineLevel="0" collapsed="false">
      <c r="A474" s="15" t="s">
        <v>1795</v>
      </c>
      <c r="B474" s="15" t="s">
        <v>1785</v>
      </c>
      <c r="C474" s="15" t="s">
        <v>75</v>
      </c>
      <c r="D474" s="15" t="s">
        <v>59</v>
      </c>
      <c r="E474" s="15" t="s">
        <v>233</v>
      </c>
      <c r="G474" s="15" t="s">
        <v>110</v>
      </c>
      <c r="H474" s="15" t="s">
        <v>62</v>
      </c>
      <c r="J474" s="15" t="s">
        <v>1796</v>
      </c>
      <c r="K474" s="15" t="s">
        <v>1797</v>
      </c>
      <c r="M474" s="15" t="s">
        <v>65</v>
      </c>
      <c r="O474" s="16" t="n">
        <v>44149</v>
      </c>
      <c r="R474" s="38" t="str">
        <f aca="false">IFERROR(Q474/VLOOKUP(P474,'Exchange rates to USD'!$L$2:$N$225,3,FALSE()),"")</f>
        <v/>
      </c>
    </row>
    <row r="475" customFormat="false" ht="13.25" hidden="false" customHeight="true" outlineLevel="0" collapsed="false">
      <c r="A475" s="15" t="s">
        <v>1798</v>
      </c>
      <c r="B475" s="15" t="s">
        <v>1785</v>
      </c>
      <c r="C475" s="15" t="s">
        <v>75</v>
      </c>
      <c r="D475" s="15" t="s">
        <v>59</v>
      </c>
      <c r="E475" s="15" t="s">
        <v>95</v>
      </c>
      <c r="G475" s="15" t="s">
        <v>62</v>
      </c>
      <c r="J475" s="15" t="s">
        <v>1799</v>
      </c>
      <c r="K475" s="15" t="s">
        <v>1797</v>
      </c>
      <c r="M475" s="15" t="s">
        <v>65</v>
      </c>
      <c r="O475" s="16" t="n">
        <v>44149</v>
      </c>
      <c r="R475" s="38" t="str">
        <f aca="false">IFERROR(Q475/VLOOKUP(P475,'Exchange rates to USD'!$L$2:$N$225,3,FALSE()),"")</f>
        <v/>
      </c>
    </row>
    <row r="476" customFormat="false" ht="13.25" hidden="false" customHeight="true" outlineLevel="0" collapsed="false">
      <c r="A476" s="15" t="s">
        <v>1800</v>
      </c>
      <c r="B476" s="15" t="s">
        <v>1785</v>
      </c>
      <c r="C476" s="15" t="s">
        <v>75</v>
      </c>
      <c r="D476" s="15" t="s">
        <v>59</v>
      </c>
      <c r="E476" s="15" t="s">
        <v>95</v>
      </c>
      <c r="G476" s="15" t="s">
        <v>62</v>
      </c>
      <c r="J476" s="15" t="s">
        <v>1801</v>
      </c>
      <c r="K476" s="15" t="s">
        <v>1802</v>
      </c>
      <c r="M476" s="15" t="s">
        <v>65</v>
      </c>
      <c r="O476" s="16" t="n">
        <v>44149</v>
      </c>
      <c r="R476" s="38" t="str">
        <f aca="false">IFERROR(Q476/VLOOKUP(P476,'Exchange rates to USD'!$L$2:$N$225,3,FALSE()),"")</f>
        <v/>
      </c>
    </row>
    <row r="477" customFormat="false" ht="13.25" hidden="false" customHeight="true" outlineLevel="0" collapsed="false">
      <c r="A477" s="35" t="s">
        <v>1803</v>
      </c>
      <c r="B477" s="35" t="s">
        <v>1785</v>
      </c>
      <c r="C477" s="35" t="s">
        <v>75</v>
      </c>
      <c r="D477" s="35" t="s">
        <v>59</v>
      </c>
      <c r="E477" s="35" t="s">
        <v>95</v>
      </c>
      <c r="F477" s="35"/>
      <c r="G477" s="35" t="s">
        <v>62</v>
      </c>
      <c r="H477" s="35"/>
      <c r="I477" s="35"/>
      <c r="J477" s="35" t="s">
        <v>1804</v>
      </c>
      <c r="K477" s="35" t="s">
        <v>1805</v>
      </c>
      <c r="L477" s="35"/>
      <c r="M477" s="35" t="s">
        <v>65</v>
      </c>
      <c r="N477" s="35"/>
      <c r="O477" s="36" t="n">
        <v>44149</v>
      </c>
      <c r="P477" s="35"/>
      <c r="Q477" s="37"/>
      <c r="R477" s="38" t="str">
        <f aca="false">IFERROR(Q477/VLOOKUP(P477,'Exchange rates to USD'!$L$2:$N$225,3,FALSE()),"")</f>
        <v/>
      </c>
    </row>
    <row r="478" customFormat="false" ht="13.25" hidden="false" customHeight="true" outlineLevel="0" collapsed="false">
      <c r="A478" s="35" t="s">
        <v>1806</v>
      </c>
      <c r="B478" s="35" t="s">
        <v>1785</v>
      </c>
      <c r="C478" s="15" t="s">
        <v>58</v>
      </c>
      <c r="D478" s="35" t="s">
        <v>59</v>
      </c>
      <c r="E478" s="35" t="s">
        <v>95</v>
      </c>
      <c r="F478" s="35" t="s">
        <v>1807</v>
      </c>
      <c r="G478" s="35" t="s">
        <v>62</v>
      </c>
      <c r="H478" s="35" t="s">
        <v>380</v>
      </c>
      <c r="I478" s="35"/>
      <c r="J478" s="35" t="s">
        <v>1808</v>
      </c>
      <c r="K478" s="35" t="s">
        <v>1809</v>
      </c>
      <c r="L478" s="35"/>
      <c r="M478" s="35" t="s">
        <v>93</v>
      </c>
      <c r="N478" s="35"/>
      <c r="O478" s="36" t="n">
        <v>44214</v>
      </c>
      <c r="P478" s="35" t="s">
        <v>240</v>
      </c>
      <c r="Q478" s="37" t="n">
        <v>2330</v>
      </c>
      <c r="R478" s="38" t="n">
        <f aca="false">IFERROR(Q478/VLOOKUP(P478,'Exchange rates to USD'!$L$2:$N$225,3,FALSE()),"")</f>
        <v>2569.21863270286</v>
      </c>
    </row>
    <row r="479" customFormat="false" ht="13.25" hidden="false" customHeight="true" outlineLevel="0" collapsed="false">
      <c r="A479" s="55" t="s">
        <v>1810</v>
      </c>
      <c r="B479" s="55" t="s">
        <v>1785</v>
      </c>
      <c r="C479" s="55" t="s">
        <v>58</v>
      </c>
      <c r="D479" s="55" t="s">
        <v>59</v>
      </c>
      <c r="E479" s="55" t="s">
        <v>123</v>
      </c>
      <c r="F479" s="55" t="s">
        <v>1811</v>
      </c>
      <c r="G479" s="55" t="s">
        <v>62</v>
      </c>
      <c r="H479" s="55" t="s">
        <v>77</v>
      </c>
      <c r="I479" s="55"/>
      <c r="J479" s="55" t="s">
        <v>1812</v>
      </c>
      <c r="K479" s="55" t="s">
        <v>1809</v>
      </c>
      <c r="L479" s="55"/>
      <c r="M479" s="55" t="s">
        <v>93</v>
      </c>
      <c r="N479" s="55"/>
      <c r="O479" s="56" t="n">
        <v>44214</v>
      </c>
      <c r="P479" s="55" t="s">
        <v>240</v>
      </c>
      <c r="Q479" s="60" t="n">
        <v>360</v>
      </c>
      <c r="R479" s="58" t="n">
        <f aca="false">IFERROR(Q479/VLOOKUP(P479,'Exchange rates to USD'!$L$2:$N$225,3,FALSE()),"")</f>
        <v>396.960818786708</v>
      </c>
    </row>
    <row r="480" customFormat="false" ht="13.25" hidden="false" customHeight="true" outlineLevel="0" collapsed="false">
      <c r="A480" s="15" t="s">
        <v>1813</v>
      </c>
      <c r="B480" s="15" t="s">
        <v>1814</v>
      </c>
      <c r="C480" s="15" t="s">
        <v>232</v>
      </c>
      <c r="D480" s="15" t="s">
        <v>108</v>
      </c>
      <c r="E480" s="15" t="s">
        <v>123</v>
      </c>
      <c r="F480" s="15" t="s">
        <v>1815</v>
      </c>
      <c r="G480" s="15" t="s">
        <v>77</v>
      </c>
      <c r="J480" s="15" t="s">
        <v>1816</v>
      </c>
      <c r="K480" s="15" t="s">
        <v>1817</v>
      </c>
      <c r="M480" s="15" t="s">
        <v>93</v>
      </c>
      <c r="P480" s="15" t="s">
        <v>1818</v>
      </c>
      <c r="Q480" s="17" t="n">
        <v>27.5</v>
      </c>
      <c r="R480" s="38" t="n">
        <f aca="false">IFERROR(Q480/VLOOKUP(P480,'Exchange rates to USD'!$L$2:$N$225,3,FALSE()),"")</f>
        <v>18.4964391703529</v>
      </c>
    </row>
    <row r="481" customFormat="false" ht="13.25" hidden="false" customHeight="true" outlineLevel="0" collapsed="false">
      <c r="A481" s="15" t="s">
        <v>1819</v>
      </c>
      <c r="B481" s="15" t="s">
        <v>1814</v>
      </c>
      <c r="C481" s="15" t="s">
        <v>232</v>
      </c>
      <c r="D481" s="15" t="s">
        <v>108</v>
      </c>
      <c r="E481" s="15" t="s">
        <v>263</v>
      </c>
      <c r="F481" s="15" t="s">
        <v>1820</v>
      </c>
      <c r="G481" s="15" t="s">
        <v>77</v>
      </c>
      <c r="J481" s="15" t="s">
        <v>1821</v>
      </c>
      <c r="K481" s="15" t="s">
        <v>1817</v>
      </c>
      <c r="M481" s="15" t="s">
        <v>93</v>
      </c>
      <c r="P481" s="15" t="s">
        <v>1818</v>
      </c>
      <c r="Q481" s="17" t="n">
        <v>100</v>
      </c>
      <c r="R481" s="38" t="n">
        <f aca="false">IFERROR(Q481/VLOOKUP(P481,'Exchange rates to USD'!$L$2:$N$225,3,FALSE()),"")</f>
        <v>67.2597788012832</v>
      </c>
    </row>
    <row r="482" customFormat="false" ht="13.25" hidden="false" customHeight="true" outlineLevel="0" collapsed="false">
      <c r="A482" s="15" t="s">
        <v>1822</v>
      </c>
      <c r="B482" s="15" t="s">
        <v>1814</v>
      </c>
      <c r="C482" s="15" t="s">
        <v>58</v>
      </c>
      <c r="D482" s="15" t="s">
        <v>59</v>
      </c>
      <c r="E482" s="15" t="s">
        <v>123</v>
      </c>
      <c r="F482" s="15" t="s">
        <v>1823</v>
      </c>
      <c r="G482" s="15" t="s">
        <v>96</v>
      </c>
      <c r="H482" s="15" t="s">
        <v>77</v>
      </c>
      <c r="I482" s="15" t="s">
        <v>62</v>
      </c>
      <c r="J482" s="15" t="s">
        <v>1824</v>
      </c>
      <c r="K482" s="15" t="s">
        <v>1817</v>
      </c>
      <c r="M482" s="15" t="s">
        <v>93</v>
      </c>
      <c r="P482" s="15" t="s">
        <v>1818</v>
      </c>
      <c r="Q482" s="17" t="n">
        <v>10.55</v>
      </c>
      <c r="R482" s="38" t="n">
        <f aca="false">IFERROR(Q482/VLOOKUP(P482,'Exchange rates to USD'!$L$2:$N$225,3,FALSE()),"")</f>
        <v>7.09590666353537</v>
      </c>
    </row>
    <row r="483" customFormat="false" ht="13.25" hidden="false" customHeight="true" outlineLevel="0" collapsed="false">
      <c r="A483" s="15" t="s">
        <v>1825</v>
      </c>
      <c r="B483" s="15" t="s">
        <v>1814</v>
      </c>
      <c r="C483" s="15" t="s">
        <v>58</v>
      </c>
      <c r="D483" s="15" t="s">
        <v>80</v>
      </c>
      <c r="E483" s="15" t="s">
        <v>123</v>
      </c>
      <c r="F483" s="15" t="s">
        <v>1826</v>
      </c>
      <c r="G483" s="15" t="s">
        <v>77</v>
      </c>
      <c r="J483" s="15" t="s">
        <v>1827</v>
      </c>
      <c r="K483" s="15" t="s">
        <v>1817</v>
      </c>
      <c r="M483" s="15" t="s">
        <v>70</v>
      </c>
      <c r="P483" s="15" t="s">
        <v>1818</v>
      </c>
      <c r="Q483" s="17" t="n">
        <v>80</v>
      </c>
      <c r="R483" s="38" t="n">
        <f aca="false">IFERROR(Q483/VLOOKUP(P483,'Exchange rates to USD'!$L$2:$N$225,3,FALSE()),"")</f>
        <v>53.8078230410265</v>
      </c>
    </row>
    <row r="484" customFormat="false" ht="13.25" hidden="false" customHeight="true" outlineLevel="0" collapsed="false">
      <c r="A484" s="15" t="s">
        <v>1828</v>
      </c>
      <c r="B484" s="15" t="s">
        <v>1814</v>
      </c>
      <c r="C484" s="15" t="s">
        <v>58</v>
      </c>
      <c r="D484" s="15" t="s">
        <v>80</v>
      </c>
      <c r="E484" s="15" t="s">
        <v>116</v>
      </c>
      <c r="F484" s="15" t="s">
        <v>1829</v>
      </c>
      <c r="G484" s="15" t="s">
        <v>62</v>
      </c>
      <c r="J484" s="15" t="s">
        <v>1830</v>
      </c>
      <c r="K484" s="15" t="s">
        <v>1817</v>
      </c>
      <c r="M484" s="15" t="s">
        <v>93</v>
      </c>
      <c r="P484" s="15" t="s">
        <v>1818</v>
      </c>
      <c r="Q484" s="17" t="n">
        <v>56.4</v>
      </c>
      <c r="R484" s="38" t="n">
        <f aca="false">IFERROR(Q484/VLOOKUP(P484,'Exchange rates to USD'!$L$2:$N$225,3,FALSE()),"")</f>
        <v>37.9345152439237</v>
      </c>
    </row>
    <row r="485" customFormat="false" ht="13.25" hidden="false" customHeight="true" outlineLevel="0" collapsed="false">
      <c r="A485" s="15" t="s">
        <v>1831</v>
      </c>
      <c r="B485" s="15" t="s">
        <v>1814</v>
      </c>
      <c r="C485" s="15" t="s">
        <v>58</v>
      </c>
      <c r="D485" s="15" t="s">
        <v>80</v>
      </c>
      <c r="E485" s="15" t="s">
        <v>76</v>
      </c>
      <c r="F485" s="15" t="s">
        <v>1832</v>
      </c>
      <c r="G485" s="15" t="s">
        <v>77</v>
      </c>
      <c r="J485" s="15" t="s">
        <v>1833</v>
      </c>
      <c r="K485" s="34" t="s">
        <v>1817</v>
      </c>
      <c r="M485" s="15" t="s">
        <v>93</v>
      </c>
      <c r="P485" s="15" t="s">
        <v>1818</v>
      </c>
      <c r="Q485" s="17" t="n">
        <v>154.245</v>
      </c>
      <c r="R485" s="38" t="n">
        <f aca="false">IFERROR(Q485/VLOOKUP(P485,'Exchange rates to USD'!$L$2:$N$225,3,FALSE()),"")</f>
        <v>103.744845812039</v>
      </c>
    </row>
    <row r="486" customFormat="false" ht="13.25" hidden="false" customHeight="true" outlineLevel="0" collapsed="false">
      <c r="A486" s="15" t="s">
        <v>1834</v>
      </c>
      <c r="B486" s="15" t="s">
        <v>1814</v>
      </c>
      <c r="C486" s="15" t="s">
        <v>58</v>
      </c>
      <c r="D486" s="15" t="s">
        <v>80</v>
      </c>
      <c r="E486" s="15" t="s">
        <v>123</v>
      </c>
      <c r="F486" s="15" t="s">
        <v>1835</v>
      </c>
      <c r="G486" s="15" t="s">
        <v>77</v>
      </c>
      <c r="J486" s="15" t="s">
        <v>1836</v>
      </c>
      <c r="K486" s="15" t="s">
        <v>1817</v>
      </c>
      <c r="M486" s="15" t="s">
        <v>93</v>
      </c>
      <c r="P486" s="15" t="s">
        <v>1818</v>
      </c>
      <c r="Q486" s="17" t="n">
        <v>147.506</v>
      </c>
      <c r="R486" s="38" t="n">
        <f aca="false">IFERROR(Q486/VLOOKUP(P486,'Exchange rates to USD'!$L$2:$N$225,3,FALSE()),"")</f>
        <v>99.2122093186208</v>
      </c>
    </row>
    <row r="487" customFormat="false" ht="13.25" hidden="false" customHeight="true" outlineLevel="0" collapsed="false">
      <c r="A487" s="15" t="s">
        <v>1837</v>
      </c>
      <c r="B487" s="15" t="s">
        <v>1814</v>
      </c>
      <c r="C487" s="15" t="s">
        <v>176</v>
      </c>
      <c r="D487" s="15" t="s">
        <v>80</v>
      </c>
      <c r="E487" s="15" t="s">
        <v>76</v>
      </c>
      <c r="F487" s="15" t="s">
        <v>1838</v>
      </c>
      <c r="G487" s="15" t="s">
        <v>77</v>
      </c>
      <c r="J487" s="15" t="s">
        <v>1839</v>
      </c>
      <c r="K487" s="15" t="s">
        <v>1817</v>
      </c>
      <c r="M487" s="15" t="s">
        <v>93</v>
      </c>
      <c r="P487" s="15" t="s">
        <v>1818</v>
      </c>
      <c r="Q487" s="17" t="n">
        <v>200</v>
      </c>
      <c r="R487" s="38" t="n">
        <f aca="false">IFERROR(Q487/VLOOKUP(P487,'Exchange rates to USD'!$L$2:$N$225,3,FALSE()),"")</f>
        <v>134.519557602566</v>
      </c>
    </row>
    <row r="488" customFormat="false" ht="13.25" hidden="false" customHeight="true" outlineLevel="0" collapsed="false">
      <c r="A488" s="15" t="s">
        <v>1840</v>
      </c>
      <c r="B488" s="15" t="s">
        <v>1814</v>
      </c>
      <c r="C488" s="15" t="s">
        <v>58</v>
      </c>
      <c r="D488" s="15" t="s">
        <v>80</v>
      </c>
      <c r="E488" s="15" t="s">
        <v>149</v>
      </c>
      <c r="F488" s="15" t="s">
        <v>1841</v>
      </c>
      <c r="G488" s="15" t="s">
        <v>96</v>
      </c>
      <c r="H488" s="15" t="s">
        <v>812</v>
      </c>
      <c r="J488" s="15" t="s">
        <v>1842</v>
      </c>
      <c r="K488" s="15" t="s">
        <v>1843</v>
      </c>
      <c r="M488" s="15" t="s">
        <v>93</v>
      </c>
      <c r="P488" s="15" t="s">
        <v>1818</v>
      </c>
      <c r="Q488" s="17" t="n">
        <v>124</v>
      </c>
      <c r="R488" s="38" t="n">
        <f aca="false">IFERROR(Q488/VLOOKUP(P488,'Exchange rates to USD'!$L$2:$N$225,3,FALSE()),"")</f>
        <v>83.4021257135911</v>
      </c>
    </row>
    <row r="489" customFormat="false" ht="13.25" hidden="false" customHeight="true" outlineLevel="0" collapsed="false">
      <c r="A489" s="15" t="s">
        <v>1844</v>
      </c>
      <c r="B489" s="15" t="s">
        <v>1814</v>
      </c>
      <c r="C489" s="15" t="s">
        <v>58</v>
      </c>
      <c r="D489" s="15" t="s">
        <v>80</v>
      </c>
      <c r="E489" s="15" t="s">
        <v>123</v>
      </c>
      <c r="F489" s="15" t="s">
        <v>1845</v>
      </c>
      <c r="G489" s="15" t="s">
        <v>97</v>
      </c>
      <c r="J489" s="15" t="s">
        <v>1846</v>
      </c>
      <c r="K489" s="15" t="s">
        <v>1817</v>
      </c>
      <c r="M489" s="15" t="s">
        <v>93</v>
      </c>
      <c r="P489" s="15" t="s">
        <v>1818</v>
      </c>
      <c r="Q489" s="17" t="n">
        <v>433</v>
      </c>
      <c r="R489" s="38" t="n">
        <f aca="false">IFERROR(Q489/VLOOKUP(P489,'Exchange rates to USD'!$L$2:$N$225,3,FALSE()),"")</f>
        <v>291.234842209556</v>
      </c>
    </row>
    <row r="490" customFormat="false" ht="13.25" hidden="false" customHeight="true" outlineLevel="0" collapsed="false">
      <c r="A490" s="15" t="s">
        <v>1847</v>
      </c>
      <c r="B490" s="15" t="s">
        <v>1814</v>
      </c>
      <c r="C490" s="15" t="s">
        <v>58</v>
      </c>
      <c r="D490" s="15" t="s">
        <v>80</v>
      </c>
      <c r="E490" s="15" t="s">
        <v>123</v>
      </c>
      <c r="F490" s="15" t="s">
        <v>1848</v>
      </c>
      <c r="G490" s="15" t="s">
        <v>77</v>
      </c>
      <c r="J490" s="15" t="s">
        <v>1849</v>
      </c>
      <c r="K490" s="15" t="s">
        <v>1817</v>
      </c>
      <c r="M490" s="15" t="s">
        <v>70</v>
      </c>
      <c r="P490" s="15" t="s">
        <v>1818</v>
      </c>
      <c r="Q490" s="17" t="n">
        <v>40</v>
      </c>
      <c r="R490" s="38" t="n">
        <f aca="false">IFERROR(Q490/VLOOKUP(P490,'Exchange rates to USD'!$L$2:$N$225,3,FALSE()),"")</f>
        <v>26.9039115205133</v>
      </c>
    </row>
    <row r="491" customFormat="false" ht="13.25" hidden="false" customHeight="true" outlineLevel="0" collapsed="false">
      <c r="A491" s="15" t="s">
        <v>1850</v>
      </c>
      <c r="B491" s="15" t="s">
        <v>1814</v>
      </c>
      <c r="C491" s="15" t="s">
        <v>58</v>
      </c>
      <c r="D491" s="15" t="s">
        <v>80</v>
      </c>
      <c r="E491" s="15" t="s">
        <v>76</v>
      </c>
      <c r="F491" s="15" t="s">
        <v>1851</v>
      </c>
      <c r="G491" s="15" t="s">
        <v>77</v>
      </c>
      <c r="J491" s="15" t="s">
        <v>1852</v>
      </c>
      <c r="K491" s="15" t="s">
        <v>1817</v>
      </c>
      <c r="M491" s="15" t="s">
        <v>70</v>
      </c>
      <c r="P491" s="15" t="s">
        <v>1818</v>
      </c>
      <c r="Q491" s="17" t="n">
        <v>50</v>
      </c>
      <c r="R491" s="38" t="n">
        <f aca="false">IFERROR(Q491/VLOOKUP(P491,'Exchange rates to USD'!$L$2:$N$225,3,FALSE()),"")</f>
        <v>33.6298894006416</v>
      </c>
    </row>
    <row r="492" customFormat="false" ht="13.25" hidden="false" customHeight="true" outlineLevel="0" collapsed="false">
      <c r="A492" s="15" t="s">
        <v>1853</v>
      </c>
      <c r="B492" s="15" t="s">
        <v>1814</v>
      </c>
      <c r="C492" s="15" t="s">
        <v>58</v>
      </c>
      <c r="D492" s="15" t="s">
        <v>59</v>
      </c>
      <c r="E492" s="15" t="s">
        <v>60</v>
      </c>
      <c r="F492" s="15" t="s">
        <v>1854</v>
      </c>
      <c r="G492" s="15" t="s">
        <v>62</v>
      </c>
      <c r="J492" s="15" t="s">
        <v>1855</v>
      </c>
      <c r="K492" s="15" t="s">
        <v>1856</v>
      </c>
      <c r="M492" s="15" t="s">
        <v>65</v>
      </c>
      <c r="P492" s="15" t="s">
        <v>1818</v>
      </c>
      <c r="Q492" s="17" t="n">
        <v>600</v>
      </c>
      <c r="R492" s="38" t="n">
        <f aca="false">IFERROR(Q492/VLOOKUP(P492,'Exchange rates to USD'!$L$2:$N$225,3,FALSE()),"")</f>
        <v>403.558672807699</v>
      </c>
    </row>
    <row r="493" customFormat="false" ht="13.25" hidden="false" customHeight="true" outlineLevel="0" collapsed="false">
      <c r="A493" s="15" t="s">
        <v>1857</v>
      </c>
      <c r="B493" s="15" t="s">
        <v>1814</v>
      </c>
      <c r="C493" s="15" t="s">
        <v>122</v>
      </c>
      <c r="D493" s="15" t="s">
        <v>80</v>
      </c>
      <c r="E493" s="15" t="s">
        <v>76</v>
      </c>
      <c r="G493" s="15" t="s">
        <v>105</v>
      </c>
      <c r="J493" s="27" t="s">
        <v>1858</v>
      </c>
      <c r="K493" s="15" t="s">
        <v>1856</v>
      </c>
      <c r="M493" s="15" t="s">
        <v>65</v>
      </c>
      <c r="P493" s="15" t="s">
        <v>1818</v>
      </c>
      <c r="R493" s="38" t="n">
        <f aca="false">IFERROR(Q493/VLOOKUP(P493,'Exchange rates to USD'!$L$2:$N$225,3,FALSE()),"")</f>
        <v>0</v>
      </c>
    </row>
    <row r="494" customFormat="false" ht="13.25" hidden="false" customHeight="true" outlineLevel="0" collapsed="false">
      <c r="A494" s="15" t="s">
        <v>1859</v>
      </c>
      <c r="B494" s="15" t="s">
        <v>1814</v>
      </c>
      <c r="C494" s="15" t="s">
        <v>58</v>
      </c>
      <c r="D494" s="15" t="s">
        <v>59</v>
      </c>
      <c r="E494" s="15" t="s">
        <v>233</v>
      </c>
      <c r="F494" s="15" t="s">
        <v>1860</v>
      </c>
      <c r="G494" s="15" t="s">
        <v>62</v>
      </c>
      <c r="J494" s="15" t="s">
        <v>1861</v>
      </c>
      <c r="K494" s="15" t="s">
        <v>1862</v>
      </c>
      <c r="M494" s="15" t="s">
        <v>93</v>
      </c>
      <c r="N494" s="15" t="s">
        <v>1863</v>
      </c>
      <c r="P494" s="15" t="s">
        <v>1818</v>
      </c>
      <c r="Q494" s="17" t="n">
        <v>182</v>
      </c>
      <c r="R494" s="38" t="n">
        <f aca="false">IFERROR(Q494/VLOOKUP(P494,'Exchange rates to USD'!$L$2:$N$225,3,FALSE()),"")</f>
        <v>122.412797418335</v>
      </c>
    </row>
    <row r="495" customFormat="false" ht="13.25" hidden="false" customHeight="true" outlineLevel="0" collapsed="false">
      <c r="A495" s="15" t="s">
        <v>1864</v>
      </c>
      <c r="B495" s="15" t="s">
        <v>1814</v>
      </c>
      <c r="C495" s="15" t="s">
        <v>58</v>
      </c>
      <c r="D495" s="15" t="s">
        <v>59</v>
      </c>
      <c r="E495" s="15" t="s">
        <v>233</v>
      </c>
      <c r="F495" s="15" t="s">
        <v>1865</v>
      </c>
      <c r="G495" s="15" t="s">
        <v>62</v>
      </c>
      <c r="H495" s="15" t="s">
        <v>110</v>
      </c>
      <c r="J495" s="15" t="s">
        <v>1866</v>
      </c>
      <c r="K495" s="15" t="s">
        <v>1867</v>
      </c>
      <c r="M495" s="15" t="s">
        <v>93</v>
      </c>
      <c r="N495" s="15" t="s">
        <v>1863</v>
      </c>
      <c r="P495" s="15" t="s">
        <v>1818</v>
      </c>
      <c r="Q495" s="17" t="n">
        <v>39</v>
      </c>
      <c r="R495" s="38" t="n">
        <f aca="false">IFERROR(Q495/VLOOKUP(P495,'Exchange rates to USD'!$L$2:$N$225,3,FALSE()),"")</f>
        <v>26.2313137325004</v>
      </c>
    </row>
    <row r="496" customFormat="false" ht="13.25" hidden="false" customHeight="true" outlineLevel="0" collapsed="false">
      <c r="A496" s="15" t="s">
        <v>1868</v>
      </c>
      <c r="B496" s="15" t="s">
        <v>1814</v>
      </c>
      <c r="C496" s="15" t="s">
        <v>58</v>
      </c>
      <c r="D496" s="15" t="s">
        <v>59</v>
      </c>
      <c r="E496" s="15" t="s">
        <v>233</v>
      </c>
      <c r="F496" s="15" t="s">
        <v>1869</v>
      </c>
      <c r="G496" s="15" t="s">
        <v>62</v>
      </c>
      <c r="H496" s="15" t="s">
        <v>110</v>
      </c>
      <c r="J496" s="15" t="s">
        <v>1870</v>
      </c>
      <c r="K496" s="15" t="s">
        <v>1867</v>
      </c>
      <c r="M496" s="15" t="s">
        <v>93</v>
      </c>
      <c r="N496" s="15" t="s">
        <v>1863</v>
      </c>
      <c r="P496" s="15" t="s">
        <v>1818</v>
      </c>
      <c r="Q496" s="17" t="n">
        <v>220</v>
      </c>
      <c r="R496" s="38" t="n">
        <f aca="false">IFERROR(Q496/VLOOKUP(P496,'Exchange rates to USD'!$L$2:$N$225,3,FALSE()),"")</f>
        <v>147.971513362823</v>
      </c>
    </row>
    <row r="497" customFormat="false" ht="13.25" hidden="false" customHeight="true" outlineLevel="0" collapsed="false">
      <c r="A497" s="15" t="s">
        <v>1871</v>
      </c>
      <c r="B497" s="15" t="s">
        <v>1814</v>
      </c>
      <c r="C497" s="15" t="s">
        <v>58</v>
      </c>
      <c r="D497" s="15" t="s">
        <v>59</v>
      </c>
      <c r="E497" s="15" t="s">
        <v>233</v>
      </c>
      <c r="G497" s="15" t="s">
        <v>62</v>
      </c>
      <c r="H497" s="15" t="s">
        <v>110</v>
      </c>
      <c r="J497" s="15" t="s">
        <v>1872</v>
      </c>
      <c r="K497" s="15" t="s">
        <v>1873</v>
      </c>
      <c r="M497" s="15" t="s">
        <v>93</v>
      </c>
      <c r="N497" s="15" t="s">
        <v>1863</v>
      </c>
      <c r="P497" s="15" t="s">
        <v>1818</v>
      </c>
      <c r="R497" s="38" t="n">
        <f aca="false">IFERROR(Q497/VLOOKUP(P497,'Exchange rates to USD'!$L$2:$N$225,3,FALSE()),"")</f>
        <v>0</v>
      </c>
    </row>
    <row r="498" customFormat="false" ht="13.25" hidden="false" customHeight="true" outlineLevel="0" collapsed="false">
      <c r="A498" s="15" t="s">
        <v>1874</v>
      </c>
      <c r="B498" s="15" t="s">
        <v>1814</v>
      </c>
      <c r="C498" s="15" t="s">
        <v>58</v>
      </c>
      <c r="E498" s="15" t="s">
        <v>76</v>
      </c>
      <c r="F498" s="15" t="s">
        <v>1875</v>
      </c>
      <c r="G498" s="15" t="s">
        <v>62</v>
      </c>
      <c r="J498" s="15" t="s">
        <v>1876</v>
      </c>
      <c r="K498" s="15" t="s">
        <v>1877</v>
      </c>
      <c r="M498" s="15" t="s">
        <v>93</v>
      </c>
      <c r="N498" s="15" t="s">
        <v>1863</v>
      </c>
      <c r="P498" s="15" t="s">
        <v>1818</v>
      </c>
      <c r="Q498" s="17" t="n">
        <v>210</v>
      </c>
      <c r="R498" s="38" t="n">
        <f aca="false">IFERROR(Q498/VLOOKUP(P498,'Exchange rates to USD'!$L$2:$N$225,3,FALSE()),"")</f>
        <v>141.245535482695</v>
      </c>
    </row>
    <row r="499" customFormat="false" ht="13.25" hidden="false" customHeight="true" outlineLevel="0" collapsed="false">
      <c r="A499" s="15" t="s">
        <v>1878</v>
      </c>
      <c r="B499" s="15" t="s">
        <v>1814</v>
      </c>
      <c r="C499" s="15" t="s">
        <v>58</v>
      </c>
      <c r="D499" s="15" t="s">
        <v>108</v>
      </c>
      <c r="E499" s="15" t="s">
        <v>76</v>
      </c>
      <c r="F499" s="15" t="s">
        <v>1879</v>
      </c>
      <c r="G499" s="15" t="s">
        <v>77</v>
      </c>
      <c r="J499" s="15" t="s">
        <v>1880</v>
      </c>
      <c r="K499" s="15" t="s">
        <v>1881</v>
      </c>
      <c r="M499" s="15" t="s">
        <v>70</v>
      </c>
      <c r="P499" s="15" t="s">
        <v>1818</v>
      </c>
      <c r="Q499" s="17" t="n">
        <v>1.69</v>
      </c>
      <c r="R499" s="38" t="n">
        <f aca="false">IFERROR(Q499/VLOOKUP(P499,'Exchange rates to USD'!$L$2:$N$225,3,FALSE()),"")</f>
        <v>1.13669026174169</v>
      </c>
    </row>
    <row r="500" s="55" customFormat="true" ht="13.25" hidden="false" customHeight="true" outlineLevel="0" collapsed="false">
      <c r="A500" s="55" t="s">
        <v>1882</v>
      </c>
      <c r="B500" s="55" t="s">
        <v>1814</v>
      </c>
      <c r="C500" s="55" t="s">
        <v>58</v>
      </c>
      <c r="D500" s="55" t="s">
        <v>108</v>
      </c>
      <c r="E500" s="55" t="s">
        <v>149</v>
      </c>
      <c r="F500" s="55" t="s">
        <v>1883</v>
      </c>
      <c r="G500" s="55" t="s">
        <v>96</v>
      </c>
      <c r="J500" s="66" t="s">
        <v>1884</v>
      </c>
      <c r="M500" s="55" t="s">
        <v>93</v>
      </c>
      <c r="N500" s="55" t="s">
        <v>1863</v>
      </c>
      <c r="O500" s="56"/>
      <c r="P500" s="55" t="s">
        <v>1818</v>
      </c>
      <c r="Q500" s="60" t="n">
        <v>37</v>
      </c>
      <c r="R500" s="58" t="n">
        <f aca="false">IFERROR(Q500/VLOOKUP(P500,'Exchange rates to USD'!$L$2:$N$225,3,FALSE()),"")</f>
        <v>24.8861181564748</v>
      </c>
    </row>
    <row r="501" customFormat="false" ht="13.25" hidden="false" customHeight="true" outlineLevel="0" collapsed="false">
      <c r="A501" s="15" t="s">
        <v>1885</v>
      </c>
      <c r="B501" s="15" t="s">
        <v>1886</v>
      </c>
      <c r="C501" s="15" t="s">
        <v>58</v>
      </c>
      <c r="D501" s="15" t="s">
        <v>59</v>
      </c>
      <c r="E501" s="15" t="s">
        <v>60</v>
      </c>
      <c r="F501" s="15" t="s">
        <v>1887</v>
      </c>
      <c r="G501" s="15" t="s">
        <v>62</v>
      </c>
      <c r="J501" s="15" t="s">
        <v>1888</v>
      </c>
      <c r="M501" s="15" t="s">
        <v>65</v>
      </c>
      <c r="P501" s="15" t="s">
        <v>1889</v>
      </c>
      <c r="Q501" s="17" t="n">
        <v>6000</v>
      </c>
      <c r="R501" s="38" t="n">
        <f aca="false">IFERROR(Q501/VLOOKUP(P501,'Exchange rates to USD'!$L$2:$N$225,3,FALSE()),"")</f>
        <v>735.616701673451</v>
      </c>
    </row>
    <row r="502" customFormat="false" ht="13.25" hidden="false" customHeight="true" outlineLevel="0" collapsed="false">
      <c r="A502" s="15" t="s">
        <v>1890</v>
      </c>
      <c r="B502" s="15" t="s">
        <v>1886</v>
      </c>
      <c r="C502" s="15" t="s">
        <v>75</v>
      </c>
      <c r="D502" s="15" t="s">
        <v>59</v>
      </c>
      <c r="E502" s="15" t="s">
        <v>60</v>
      </c>
      <c r="G502" s="15" t="s">
        <v>62</v>
      </c>
      <c r="J502" s="15" t="s">
        <v>1891</v>
      </c>
      <c r="M502" s="15" t="s">
        <v>65</v>
      </c>
      <c r="R502" s="38" t="str">
        <f aca="false">IFERROR(Q502/VLOOKUP(P502,'Exchange rates to USD'!$L$2:$N$225,3,FALSE()),"")</f>
        <v/>
      </c>
    </row>
    <row r="503" customFormat="false" ht="13.25" hidden="false" customHeight="true" outlineLevel="0" collapsed="false">
      <c r="A503" s="15" t="s">
        <v>1892</v>
      </c>
      <c r="B503" s="15" t="s">
        <v>1886</v>
      </c>
      <c r="C503" s="15" t="s">
        <v>75</v>
      </c>
      <c r="D503" s="15" t="s">
        <v>59</v>
      </c>
      <c r="E503" s="15" t="s">
        <v>95</v>
      </c>
      <c r="F503" s="27" t="s">
        <v>1893</v>
      </c>
      <c r="G503" s="15" t="s">
        <v>62</v>
      </c>
      <c r="H503" s="15" t="s">
        <v>110</v>
      </c>
      <c r="J503" s="27" t="s">
        <v>1894</v>
      </c>
      <c r="K503" s="27" t="s">
        <v>1895</v>
      </c>
      <c r="M503" s="15" t="s">
        <v>65</v>
      </c>
      <c r="P503" s="15" t="s">
        <v>1889</v>
      </c>
      <c r="Q503" s="17" t="n">
        <v>99000</v>
      </c>
      <c r="R503" s="38" t="n">
        <f aca="false">IFERROR(Q503/VLOOKUP(P503,'Exchange rates to USD'!$L$2:$N$225,3,FALSE()),"")</f>
        <v>12137.6755776119</v>
      </c>
    </row>
    <row r="504" customFormat="false" ht="13.25" hidden="false" customHeight="true" outlineLevel="0" collapsed="false">
      <c r="A504" s="15" t="s">
        <v>1896</v>
      </c>
      <c r="B504" s="15" t="s">
        <v>1886</v>
      </c>
      <c r="C504" s="15" t="s">
        <v>249</v>
      </c>
      <c r="D504" s="15" t="s">
        <v>80</v>
      </c>
      <c r="E504" s="15" t="s">
        <v>76</v>
      </c>
      <c r="F504" s="27" t="s">
        <v>1897</v>
      </c>
      <c r="G504" s="15" t="s">
        <v>62</v>
      </c>
      <c r="H504" s="15" t="s">
        <v>110</v>
      </c>
      <c r="I504" s="15" t="s">
        <v>105</v>
      </c>
      <c r="J504" s="15" t="s">
        <v>1898</v>
      </c>
      <c r="K504" s="15" t="s">
        <v>1899</v>
      </c>
      <c r="M504" s="15" t="s">
        <v>93</v>
      </c>
      <c r="O504" s="16" t="s">
        <v>1900</v>
      </c>
      <c r="P504" s="15" t="s">
        <v>1889</v>
      </c>
      <c r="Q504" s="17" t="n">
        <v>5300</v>
      </c>
      <c r="R504" s="38" t="n">
        <f aca="false">IFERROR(Q504/VLOOKUP(P504,'Exchange rates to USD'!$L$2:$N$225,3,FALSE()),"")</f>
        <v>649.794753144881</v>
      </c>
    </row>
    <row r="505" customFormat="false" ht="13.25" hidden="false" customHeight="true" outlineLevel="0" collapsed="false">
      <c r="A505" s="15" t="s">
        <v>1901</v>
      </c>
      <c r="B505" s="15" t="s">
        <v>1886</v>
      </c>
      <c r="C505" s="15" t="s">
        <v>232</v>
      </c>
      <c r="D505" s="15" t="s">
        <v>59</v>
      </c>
      <c r="E505" s="15" t="s">
        <v>997</v>
      </c>
      <c r="F505" s="15" t="s">
        <v>1902</v>
      </c>
      <c r="G505" s="15" t="s">
        <v>62</v>
      </c>
      <c r="H505" s="15" t="s">
        <v>110</v>
      </c>
      <c r="J505" s="15" t="s">
        <v>1903</v>
      </c>
      <c r="K505" s="15" t="s">
        <v>1899</v>
      </c>
      <c r="M505" s="15" t="s">
        <v>93</v>
      </c>
      <c r="P505" s="15" t="s">
        <v>1889</v>
      </c>
      <c r="Q505" s="17" t="n">
        <v>485</v>
      </c>
      <c r="R505" s="38" t="n">
        <f aca="false">IFERROR(Q505/VLOOKUP(P505,'Exchange rates to USD'!$L$2:$N$225,3,FALSE()),"")</f>
        <v>59.4623500519373</v>
      </c>
    </row>
    <row r="506" customFormat="false" ht="13.25" hidden="false" customHeight="true" outlineLevel="0" collapsed="false">
      <c r="A506" s="15" t="s">
        <v>1904</v>
      </c>
      <c r="B506" s="15" t="s">
        <v>1886</v>
      </c>
      <c r="C506" s="15" t="s">
        <v>249</v>
      </c>
      <c r="D506" s="15" t="s">
        <v>80</v>
      </c>
      <c r="E506" s="15" t="s">
        <v>76</v>
      </c>
      <c r="F506" s="15" t="s">
        <v>1905</v>
      </c>
      <c r="G506" s="15" t="s">
        <v>62</v>
      </c>
      <c r="H506" s="15" t="s">
        <v>110</v>
      </c>
      <c r="I506" s="15" t="s">
        <v>96</v>
      </c>
      <c r="J506" s="15" t="s">
        <v>1906</v>
      </c>
      <c r="K506" s="15" t="s">
        <v>1899</v>
      </c>
      <c r="M506" s="15" t="s">
        <v>93</v>
      </c>
      <c r="O506" s="16" t="s">
        <v>1900</v>
      </c>
      <c r="P506" s="15" t="s">
        <v>1889</v>
      </c>
      <c r="Q506" s="17" t="n">
        <v>1333</v>
      </c>
      <c r="R506" s="38" t="n">
        <f aca="false">IFERROR(Q506/VLOOKUP(P506,'Exchange rates to USD'!$L$2:$N$225,3,FALSE()),"")</f>
        <v>163.429510555118</v>
      </c>
    </row>
    <row r="507" customFormat="false" ht="13.25" hidden="false" customHeight="true" outlineLevel="0" collapsed="false">
      <c r="A507" s="15" t="s">
        <v>1907</v>
      </c>
      <c r="B507" s="15" t="s">
        <v>1886</v>
      </c>
      <c r="C507" s="15" t="s">
        <v>249</v>
      </c>
      <c r="D507" s="15" t="s">
        <v>80</v>
      </c>
      <c r="E507" s="15" t="s">
        <v>76</v>
      </c>
      <c r="F507" s="15" t="s">
        <v>1908</v>
      </c>
      <c r="G507" s="15" t="s">
        <v>96</v>
      </c>
      <c r="J507" s="15" t="s">
        <v>1909</v>
      </c>
      <c r="K507" s="15" t="s">
        <v>1899</v>
      </c>
      <c r="M507" s="15" t="s">
        <v>93</v>
      </c>
      <c r="P507" s="15" t="s">
        <v>1889</v>
      </c>
      <c r="Q507" s="17" t="n">
        <v>100</v>
      </c>
      <c r="R507" s="38" t="n">
        <f aca="false">IFERROR(Q507/VLOOKUP(P507,'Exchange rates to USD'!$L$2:$N$225,3,FALSE()),"")</f>
        <v>12.2602783612242</v>
      </c>
    </row>
    <row r="508" customFormat="false" ht="13.25" hidden="false" customHeight="true" outlineLevel="0" collapsed="false">
      <c r="A508" s="15" t="s">
        <v>1910</v>
      </c>
      <c r="B508" s="15" t="s">
        <v>1886</v>
      </c>
      <c r="C508" s="15" t="s">
        <v>58</v>
      </c>
      <c r="D508" s="15" t="s">
        <v>59</v>
      </c>
      <c r="E508" s="15" t="s">
        <v>95</v>
      </c>
      <c r="F508" s="15" t="s">
        <v>1911</v>
      </c>
      <c r="G508" s="15" t="s">
        <v>62</v>
      </c>
      <c r="J508" s="15" t="s">
        <v>1912</v>
      </c>
      <c r="K508" s="15" t="s">
        <v>1899</v>
      </c>
      <c r="M508" s="15" t="s">
        <v>113</v>
      </c>
      <c r="P508" s="15" t="s">
        <v>1889</v>
      </c>
      <c r="Q508" s="17" t="n">
        <v>25</v>
      </c>
      <c r="R508" s="38" t="n">
        <f aca="false">IFERROR(Q508/VLOOKUP(P508,'Exchange rates to USD'!$L$2:$N$225,3,FALSE()),"")</f>
        <v>3.06506959030604</v>
      </c>
    </row>
    <row r="509" customFormat="false" ht="13.25" hidden="false" customHeight="true" outlineLevel="0" collapsed="false">
      <c r="A509" s="15" t="s">
        <v>1913</v>
      </c>
      <c r="B509" s="15" t="s">
        <v>1886</v>
      </c>
      <c r="C509" s="15" t="s">
        <v>58</v>
      </c>
      <c r="D509" s="15" t="s">
        <v>59</v>
      </c>
      <c r="E509" s="15" t="s">
        <v>76</v>
      </c>
      <c r="F509" s="15" t="s">
        <v>1914</v>
      </c>
      <c r="G509" s="15" t="s">
        <v>77</v>
      </c>
      <c r="J509" s="15" t="s">
        <v>1915</v>
      </c>
      <c r="K509" s="15" t="s">
        <v>1899</v>
      </c>
      <c r="M509" s="15" t="s">
        <v>93</v>
      </c>
      <c r="P509" s="15" t="s">
        <v>1889</v>
      </c>
      <c r="Q509" s="17" t="n">
        <v>20</v>
      </c>
      <c r="R509" s="38" t="n">
        <f aca="false">IFERROR(Q509/VLOOKUP(P509,'Exchange rates to USD'!$L$2:$N$225,3,FALSE()),"")</f>
        <v>2.45205567224483</v>
      </c>
    </row>
    <row r="510" customFormat="false" ht="13.25" hidden="false" customHeight="true" outlineLevel="0" collapsed="false">
      <c r="A510" s="15" t="s">
        <v>1916</v>
      </c>
      <c r="B510" s="15" t="s">
        <v>1886</v>
      </c>
      <c r="C510" s="15" t="s">
        <v>249</v>
      </c>
      <c r="D510" s="15" t="s">
        <v>80</v>
      </c>
      <c r="E510" s="15" t="s">
        <v>76</v>
      </c>
      <c r="F510" s="15" t="s">
        <v>1917</v>
      </c>
      <c r="G510" s="15" t="s">
        <v>62</v>
      </c>
      <c r="H510" s="15" t="s">
        <v>110</v>
      </c>
      <c r="I510" s="15" t="s">
        <v>77</v>
      </c>
      <c r="J510" s="15" t="s">
        <v>1918</v>
      </c>
      <c r="K510" s="15" t="s">
        <v>1899</v>
      </c>
      <c r="M510" s="15" t="s">
        <v>93</v>
      </c>
      <c r="P510" s="15" t="s">
        <v>1889</v>
      </c>
      <c r="Q510" s="17" t="n">
        <v>30</v>
      </c>
      <c r="R510" s="38" t="n">
        <f aca="false">IFERROR(Q510/VLOOKUP(P510,'Exchange rates to USD'!$L$2:$N$225,3,FALSE()),"")</f>
        <v>3.67808350836725</v>
      </c>
    </row>
    <row r="511" customFormat="false" ht="13.25" hidden="false" customHeight="true" outlineLevel="0" collapsed="false">
      <c r="A511" s="15" t="s">
        <v>1919</v>
      </c>
      <c r="B511" s="15" t="s">
        <v>1886</v>
      </c>
      <c r="C511" s="15" t="s">
        <v>58</v>
      </c>
      <c r="D511" s="15" t="s">
        <v>59</v>
      </c>
      <c r="E511" s="15" t="s">
        <v>76</v>
      </c>
      <c r="F511" s="27" t="s">
        <v>1920</v>
      </c>
      <c r="G511" s="15" t="s">
        <v>62</v>
      </c>
      <c r="J511" s="15" t="s">
        <v>1921</v>
      </c>
      <c r="K511" s="15" t="s">
        <v>1899</v>
      </c>
      <c r="M511" s="15" t="s">
        <v>93</v>
      </c>
      <c r="O511" s="16" t="s">
        <v>1900</v>
      </c>
      <c r="P511" s="15" t="s">
        <v>1889</v>
      </c>
      <c r="Q511" s="17" t="n">
        <v>150</v>
      </c>
      <c r="R511" s="38" t="n">
        <f aca="false">IFERROR(Q511/VLOOKUP(P511,'Exchange rates to USD'!$L$2:$N$225,3,FALSE()),"")</f>
        <v>18.3904175418363</v>
      </c>
    </row>
    <row r="512" customFormat="false" ht="13.25" hidden="false" customHeight="true" outlineLevel="0" collapsed="false">
      <c r="A512" s="15" t="s">
        <v>1922</v>
      </c>
      <c r="B512" s="15" t="s">
        <v>1886</v>
      </c>
      <c r="C512" s="15" t="s">
        <v>58</v>
      </c>
      <c r="D512" s="15" t="s">
        <v>80</v>
      </c>
      <c r="E512" s="15" t="s">
        <v>76</v>
      </c>
      <c r="F512" s="15" t="s">
        <v>1923</v>
      </c>
      <c r="G512" s="15" t="s">
        <v>77</v>
      </c>
      <c r="J512" s="15" t="s">
        <v>1924</v>
      </c>
      <c r="K512" s="15" t="s">
        <v>1899</v>
      </c>
      <c r="M512" s="15" t="s">
        <v>93</v>
      </c>
      <c r="P512" s="15" t="s">
        <v>1889</v>
      </c>
      <c r="Q512" s="17" t="n">
        <v>13</v>
      </c>
      <c r="R512" s="38" t="n">
        <f aca="false">IFERROR(Q512/VLOOKUP(P512,'Exchange rates to USD'!$L$2:$N$225,3,FALSE()),"")</f>
        <v>1.59383618695914</v>
      </c>
    </row>
    <row r="513" customFormat="false" ht="13.25" hidden="false" customHeight="true" outlineLevel="0" collapsed="false">
      <c r="A513" s="15" t="s">
        <v>1925</v>
      </c>
      <c r="B513" s="15" t="s">
        <v>1886</v>
      </c>
      <c r="C513" s="15" t="s">
        <v>122</v>
      </c>
      <c r="D513" s="15" t="s">
        <v>80</v>
      </c>
      <c r="E513" s="15" t="s">
        <v>76</v>
      </c>
      <c r="G513" s="15" t="s">
        <v>62</v>
      </c>
      <c r="J513" s="15" t="s">
        <v>1926</v>
      </c>
      <c r="K513" s="15" t="s">
        <v>1899</v>
      </c>
      <c r="M513" s="15" t="s">
        <v>70</v>
      </c>
      <c r="O513" s="16" t="s">
        <v>1900</v>
      </c>
      <c r="R513" s="38" t="str">
        <f aca="false">IFERROR(Q513/VLOOKUP(P513,'Exchange rates to USD'!$L$2:$N$225,3,FALSE()),"")</f>
        <v/>
      </c>
    </row>
    <row r="514" customFormat="false" ht="13.25" hidden="false" customHeight="true" outlineLevel="0" collapsed="false">
      <c r="A514" s="15" t="s">
        <v>1927</v>
      </c>
      <c r="B514" s="15" t="s">
        <v>1886</v>
      </c>
      <c r="C514" s="15" t="s">
        <v>122</v>
      </c>
      <c r="D514" s="15" t="s">
        <v>80</v>
      </c>
      <c r="E514" s="15" t="s">
        <v>76</v>
      </c>
      <c r="G514" s="15" t="s">
        <v>62</v>
      </c>
      <c r="J514" s="15" t="s">
        <v>1928</v>
      </c>
      <c r="K514" s="15" t="s">
        <v>1899</v>
      </c>
      <c r="M514" s="15" t="s">
        <v>70</v>
      </c>
      <c r="O514" s="16" t="s">
        <v>1900</v>
      </c>
      <c r="R514" s="38" t="str">
        <f aca="false">IFERROR(Q514/VLOOKUP(P514,'Exchange rates to USD'!$L$2:$N$225,3,FALSE()),"")</f>
        <v/>
      </c>
    </row>
    <row r="515" customFormat="false" ht="13.25" hidden="false" customHeight="true" outlineLevel="0" collapsed="false">
      <c r="A515" s="15" t="s">
        <v>1929</v>
      </c>
      <c r="B515" s="15" t="s">
        <v>1886</v>
      </c>
      <c r="C515" s="15" t="s">
        <v>58</v>
      </c>
      <c r="D515" s="15" t="s">
        <v>59</v>
      </c>
      <c r="E515" s="15" t="s">
        <v>60</v>
      </c>
      <c r="F515" s="15" t="s">
        <v>1930</v>
      </c>
      <c r="G515" s="15" t="s">
        <v>62</v>
      </c>
      <c r="J515" s="15" t="s">
        <v>1931</v>
      </c>
      <c r="K515" s="15" t="s">
        <v>1899</v>
      </c>
      <c r="M515" s="15" t="s">
        <v>65</v>
      </c>
      <c r="P515" s="15" t="s">
        <v>1889</v>
      </c>
      <c r="Q515" s="17" t="n">
        <v>2000</v>
      </c>
      <c r="R515" s="38" t="n">
        <f aca="false">IFERROR(Q515/VLOOKUP(P515,'Exchange rates to USD'!$L$2:$N$225,3,FALSE()),"")</f>
        <v>245.205567224483</v>
      </c>
    </row>
    <row r="516" customFormat="false" ht="13.25" hidden="false" customHeight="true" outlineLevel="0" collapsed="false">
      <c r="A516" s="15" t="s">
        <v>1932</v>
      </c>
      <c r="B516" s="15" t="s">
        <v>1886</v>
      </c>
      <c r="C516" s="15" t="s">
        <v>58</v>
      </c>
      <c r="D516" s="15" t="s">
        <v>59</v>
      </c>
      <c r="E516" s="15" t="s">
        <v>60</v>
      </c>
      <c r="F516" s="15" t="s">
        <v>1933</v>
      </c>
      <c r="G516" s="15" t="s">
        <v>62</v>
      </c>
      <c r="J516" s="15" t="s">
        <v>1934</v>
      </c>
      <c r="K516" s="15" t="s">
        <v>1899</v>
      </c>
      <c r="M516" s="15" t="s">
        <v>70</v>
      </c>
      <c r="P516" s="15" t="s">
        <v>1889</v>
      </c>
      <c r="Q516" s="17" t="n">
        <v>35</v>
      </c>
      <c r="R516" s="38" t="n">
        <f aca="false">IFERROR(Q516/VLOOKUP(P516,'Exchange rates to USD'!$L$2:$N$225,3,FALSE()),"")</f>
        <v>4.29109742642846</v>
      </c>
    </row>
    <row r="517" customFormat="false" ht="13.25" hidden="false" customHeight="true" outlineLevel="0" collapsed="false">
      <c r="A517" s="15" t="s">
        <v>1935</v>
      </c>
      <c r="B517" s="15" t="s">
        <v>1886</v>
      </c>
      <c r="C517" s="15" t="s">
        <v>58</v>
      </c>
      <c r="D517" s="15" t="s">
        <v>59</v>
      </c>
      <c r="E517" s="15" t="s">
        <v>997</v>
      </c>
      <c r="F517" s="15" t="s">
        <v>1936</v>
      </c>
      <c r="G517" s="15" t="s">
        <v>62</v>
      </c>
      <c r="H517" s="15" t="s">
        <v>110</v>
      </c>
      <c r="J517" s="15" t="s">
        <v>1937</v>
      </c>
      <c r="K517" s="15" t="s">
        <v>1899</v>
      </c>
      <c r="M517" s="15" t="s">
        <v>70</v>
      </c>
      <c r="P517" s="15" t="s">
        <v>1889</v>
      </c>
      <c r="Q517" s="17" t="n">
        <v>235</v>
      </c>
      <c r="R517" s="38" t="n">
        <f aca="false">IFERROR(Q517/VLOOKUP(P517,'Exchange rates to USD'!$L$2:$N$225,3,FALSE()),"")</f>
        <v>28.8116541488768</v>
      </c>
    </row>
    <row r="518" customFormat="false" ht="13.25" hidden="false" customHeight="true" outlineLevel="0" collapsed="false">
      <c r="A518" s="15" t="s">
        <v>1938</v>
      </c>
      <c r="B518" s="15" t="s">
        <v>1886</v>
      </c>
      <c r="C518" s="15" t="s">
        <v>58</v>
      </c>
      <c r="D518" s="15" t="s">
        <v>59</v>
      </c>
      <c r="E518" s="15" t="s">
        <v>76</v>
      </c>
      <c r="F518" s="15" t="s">
        <v>1939</v>
      </c>
      <c r="G518" s="15" t="s">
        <v>62</v>
      </c>
      <c r="H518" s="15" t="s">
        <v>110</v>
      </c>
      <c r="J518" s="15" t="s">
        <v>1940</v>
      </c>
      <c r="K518" s="15" t="s">
        <v>1899</v>
      </c>
      <c r="M518" s="15" t="s">
        <v>93</v>
      </c>
      <c r="O518" s="16" t="s">
        <v>1900</v>
      </c>
      <c r="P518" s="15" t="s">
        <v>1889</v>
      </c>
      <c r="Q518" s="17" t="n">
        <v>100</v>
      </c>
      <c r="R518" s="38" t="n">
        <f aca="false">IFERROR(Q518/VLOOKUP(P518,'Exchange rates to USD'!$L$2:$N$225,3,FALSE()),"")</f>
        <v>12.2602783612242</v>
      </c>
    </row>
    <row r="519" customFormat="false" ht="13.25" hidden="false" customHeight="true" outlineLevel="0" collapsed="false">
      <c r="A519" s="15" t="s">
        <v>1941</v>
      </c>
      <c r="B519" s="15" t="s">
        <v>1886</v>
      </c>
      <c r="C519" s="15" t="s">
        <v>58</v>
      </c>
      <c r="D519" s="15" t="s">
        <v>59</v>
      </c>
      <c r="E519" s="15" t="s">
        <v>233</v>
      </c>
      <c r="F519" s="15" t="s">
        <v>1942</v>
      </c>
      <c r="G519" s="15" t="s">
        <v>62</v>
      </c>
      <c r="H519" s="15" t="s">
        <v>110</v>
      </c>
      <c r="J519" s="15" t="s">
        <v>1943</v>
      </c>
      <c r="K519" s="15" t="s">
        <v>1899</v>
      </c>
      <c r="M519" s="15" t="s">
        <v>70</v>
      </c>
      <c r="O519" s="16" t="s">
        <v>1900</v>
      </c>
      <c r="P519" s="15" t="s">
        <v>1889</v>
      </c>
      <c r="Q519" s="17" t="n">
        <v>1550</v>
      </c>
      <c r="R519" s="38" t="n">
        <f aca="false">IFERROR(Q519/VLOOKUP(P519,'Exchange rates to USD'!$L$2:$N$225,3,FALSE()),"")</f>
        <v>190.034314598975</v>
      </c>
    </row>
    <row r="520" customFormat="false" ht="13.25" hidden="false" customHeight="true" outlineLevel="0" collapsed="false">
      <c r="A520" s="15" t="s">
        <v>1944</v>
      </c>
      <c r="B520" s="15" t="s">
        <v>1886</v>
      </c>
      <c r="C520" s="15" t="s">
        <v>58</v>
      </c>
      <c r="D520" s="15" t="s">
        <v>59</v>
      </c>
      <c r="E520" s="15" t="s">
        <v>76</v>
      </c>
      <c r="F520" s="15" t="s">
        <v>1945</v>
      </c>
      <c r="G520" s="15" t="s">
        <v>62</v>
      </c>
      <c r="H520" s="15" t="s">
        <v>110</v>
      </c>
      <c r="J520" s="15" t="s">
        <v>1946</v>
      </c>
      <c r="K520" s="15" t="s">
        <v>1899</v>
      </c>
      <c r="M520" s="15" t="s">
        <v>113</v>
      </c>
      <c r="O520" s="16" t="s">
        <v>1900</v>
      </c>
      <c r="P520" s="15" t="s">
        <v>1889</v>
      </c>
      <c r="Q520" s="17" t="n">
        <v>900</v>
      </c>
      <c r="R520" s="38" t="n">
        <f aca="false">IFERROR(Q520/VLOOKUP(P520,'Exchange rates to USD'!$L$2:$N$225,3,FALSE()),"")</f>
        <v>110.342505251018</v>
      </c>
    </row>
    <row r="521" customFormat="false" ht="13.25" hidden="false" customHeight="true" outlineLevel="0" collapsed="false">
      <c r="A521" s="15" t="s">
        <v>1947</v>
      </c>
      <c r="B521" s="15" t="s">
        <v>1886</v>
      </c>
      <c r="C521" s="15" t="s">
        <v>58</v>
      </c>
      <c r="D521" s="15" t="s">
        <v>59</v>
      </c>
      <c r="E521" s="15" t="s">
        <v>233</v>
      </c>
      <c r="F521" s="15" t="s">
        <v>1948</v>
      </c>
      <c r="G521" s="15" t="s">
        <v>62</v>
      </c>
      <c r="H521" s="15" t="s">
        <v>110</v>
      </c>
      <c r="J521" s="15" t="s">
        <v>1949</v>
      </c>
      <c r="K521" s="15" t="s">
        <v>1950</v>
      </c>
      <c r="M521" s="15" t="s">
        <v>70</v>
      </c>
      <c r="O521" s="16" t="s">
        <v>1951</v>
      </c>
      <c r="P521" s="15" t="s">
        <v>1889</v>
      </c>
      <c r="Q521" s="17" t="n">
        <v>1900</v>
      </c>
      <c r="R521" s="38" t="n">
        <f aca="false">IFERROR(Q521/VLOOKUP(P521,'Exchange rates to USD'!$L$2:$N$225,3,FALSE()),"")</f>
        <v>232.945288863259</v>
      </c>
    </row>
    <row r="522" customFormat="false" ht="13.25" hidden="false" customHeight="true" outlineLevel="0" collapsed="false">
      <c r="A522" s="15" t="s">
        <v>1952</v>
      </c>
      <c r="B522" s="15" t="s">
        <v>1886</v>
      </c>
      <c r="C522" s="15" t="s">
        <v>58</v>
      </c>
      <c r="D522" s="15" t="s">
        <v>59</v>
      </c>
      <c r="E522" s="15" t="s">
        <v>95</v>
      </c>
      <c r="F522" s="15" t="s">
        <v>1953</v>
      </c>
      <c r="G522" s="15" t="s">
        <v>62</v>
      </c>
      <c r="H522" s="15" t="s">
        <v>110</v>
      </c>
      <c r="J522" s="15" t="s">
        <v>1954</v>
      </c>
      <c r="K522" s="15" t="s">
        <v>1955</v>
      </c>
      <c r="M522" s="15" t="s">
        <v>65</v>
      </c>
      <c r="N522" s="15" t="s">
        <v>1956</v>
      </c>
      <c r="O522" s="16" t="s">
        <v>1900</v>
      </c>
      <c r="P522" s="15" t="s">
        <v>1889</v>
      </c>
      <c r="Q522" s="17" t="n">
        <v>40</v>
      </c>
      <c r="R522" s="38" t="n">
        <f aca="false">IFERROR(Q522/VLOOKUP(P522,'Exchange rates to USD'!$L$2:$N$225,3,FALSE()),"")</f>
        <v>4.90411134448967</v>
      </c>
    </row>
    <row r="523" customFormat="false" ht="13" hidden="false" customHeight="true" outlineLevel="0" collapsed="false">
      <c r="A523" s="15" t="s">
        <v>1957</v>
      </c>
      <c r="B523" s="15" t="s">
        <v>1886</v>
      </c>
      <c r="C523" s="15" t="s">
        <v>58</v>
      </c>
      <c r="D523" s="15" t="s">
        <v>80</v>
      </c>
      <c r="E523" s="15" t="s">
        <v>76</v>
      </c>
      <c r="F523" s="15" t="s">
        <v>1958</v>
      </c>
      <c r="G523" s="15" t="s">
        <v>62</v>
      </c>
      <c r="J523" s="15" t="s">
        <v>1959</v>
      </c>
      <c r="K523" s="15" t="s">
        <v>1960</v>
      </c>
      <c r="M523" s="15" t="s">
        <v>93</v>
      </c>
      <c r="N523" s="15" t="s">
        <v>1961</v>
      </c>
      <c r="O523" s="16" t="s">
        <v>1900</v>
      </c>
      <c r="P523" s="15" t="s">
        <v>1889</v>
      </c>
      <c r="Q523" s="17" t="n">
        <v>700</v>
      </c>
      <c r="R523" s="38" t="n">
        <f aca="false">IFERROR(Q523/VLOOKUP(P523,'Exchange rates to USD'!$L$2:$N$225,3,FALSE()),"")</f>
        <v>85.8219485285692</v>
      </c>
    </row>
    <row r="524" s="55" customFormat="true" ht="13.25" hidden="false" customHeight="true" outlineLevel="0" collapsed="false">
      <c r="A524" s="55" t="s">
        <v>1962</v>
      </c>
      <c r="B524" s="55" t="s">
        <v>1886</v>
      </c>
      <c r="C524" s="55" t="s">
        <v>58</v>
      </c>
      <c r="D524" s="55" t="s">
        <v>59</v>
      </c>
      <c r="E524" s="55" t="s">
        <v>997</v>
      </c>
      <c r="F524" s="55" t="s">
        <v>1963</v>
      </c>
      <c r="G524" s="55" t="s">
        <v>62</v>
      </c>
      <c r="H524" s="55" t="s">
        <v>110</v>
      </c>
      <c r="J524" s="55" t="s">
        <v>1964</v>
      </c>
      <c r="K524" s="55" t="s">
        <v>1965</v>
      </c>
      <c r="M524" s="55" t="s">
        <v>93</v>
      </c>
      <c r="O524" s="56"/>
      <c r="P524" s="55" t="s">
        <v>1889</v>
      </c>
      <c r="Q524" s="60" t="n">
        <v>600</v>
      </c>
      <c r="R524" s="58" t="n">
        <f aca="false">IFERROR(Q524/VLOOKUP(P524,'Exchange rates to USD'!$L$2:$N$225,3,FALSE()),"")</f>
        <v>73.5616701673451</v>
      </c>
    </row>
    <row r="525" customFormat="false" ht="13.25" hidden="false" customHeight="true" outlineLevel="0" collapsed="false">
      <c r="A525" s="15" t="s">
        <v>1966</v>
      </c>
      <c r="B525" s="15" t="s">
        <v>1967</v>
      </c>
      <c r="C525" s="15" t="s">
        <v>75</v>
      </c>
      <c r="D525" s="15" t="s">
        <v>80</v>
      </c>
      <c r="E525" s="15" t="s">
        <v>95</v>
      </c>
      <c r="G525" s="15" t="s">
        <v>62</v>
      </c>
      <c r="H525" s="15" t="s">
        <v>110</v>
      </c>
      <c r="J525" s="15" t="s">
        <v>1968</v>
      </c>
      <c r="K525" s="27" t="s">
        <v>1969</v>
      </c>
      <c r="M525" s="15" t="s">
        <v>65</v>
      </c>
      <c r="O525" s="16" t="n">
        <v>44154</v>
      </c>
      <c r="P525" s="39"/>
      <c r="Q525" s="90"/>
      <c r="R525" s="38" t="str">
        <f aca="false">IFERROR(Q525/VLOOKUP(P525,'Exchange rates to USD'!$L$2:$N$225,3,FALSE()),"")</f>
        <v/>
      </c>
    </row>
    <row r="526" customFormat="false" ht="13.25" hidden="false" customHeight="true" outlineLevel="0" collapsed="false">
      <c r="A526" s="15" t="s">
        <v>1970</v>
      </c>
      <c r="B526" s="15" t="s">
        <v>1967</v>
      </c>
      <c r="C526" s="15" t="s">
        <v>122</v>
      </c>
      <c r="D526" s="15" t="s">
        <v>80</v>
      </c>
      <c r="E526" s="15" t="s">
        <v>76</v>
      </c>
      <c r="G526" s="15" t="s">
        <v>110</v>
      </c>
      <c r="H526" s="15" t="s">
        <v>62</v>
      </c>
      <c r="J526" s="15" t="s">
        <v>1971</v>
      </c>
      <c r="K526" s="86" t="s">
        <v>1972</v>
      </c>
      <c r="L526" s="139" t="s">
        <v>1973</v>
      </c>
      <c r="M526" s="15" t="s">
        <v>65</v>
      </c>
      <c r="N526" s="15" t="s">
        <v>1974</v>
      </c>
      <c r="O526" s="16" t="n">
        <v>44264</v>
      </c>
      <c r="P526" s="39"/>
      <c r="Q526" s="90"/>
      <c r="R526" s="38" t="str">
        <f aca="false">IFERROR(Q526/VLOOKUP(P526,'Exchange rates to USD'!$L$2:$N$225,3,FALSE()),"")</f>
        <v/>
      </c>
    </row>
    <row r="527" customFormat="false" ht="13.25" hidden="false" customHeight="true" outlineLevel="0" collapsed="false">
      <c r="A527" s="15" t="s">
        <v>1975</v>
      </c>
      <c r="B527" s="15" t="s">
        <v>1967</v>
      </c>
      <c r="C527" s="15" t="s">
        <v>122</v>
      </c>
      <c r="D527" s="15" t="s">
        <v>59</v>
      </c>
      <c r="E527" s="15" t="s">
        <v>149</v>
      </c>
      <c r="G527" s="15" t="s">
        <v>96</v>
      </c>
      <c r="J527" s="15" t="s">
        <v>1976</v>
      </c>
      <c r="K527" s="15" t="s">
        <v>1977</v>
      </c>
      <c r="M527" s="15" t="s">
        <v>70</v>
      </c>
      <c r="O527" s="16" t="n">
        <v>44264</v>
      </c>
      <c r="P527" s="39"/>
      <c r="Q527" s="90"/>
      <c r="R527" s="38" t="str">
        <f aca="false">IFERROR(Q527/VLOOKUP(P527,'Exchange rates to USD'!$L$2:$N$225,3,FALSE()),"")</f>
        <v/>
      </c>
    </row>
    <row r="528" customFormat="false" ht="13.25" hidden="false" customHeight="true" outlineLevel="0" collapsed="false">
      <c r="A528" s="15" t="s">
        <v>1978</v>
      </c>
      <c r="B528" s="15" t="s">
        <v>1967</v>
      </c>
      <c r="C528" s="15" t="s">
        <v>58</v>
      </c>
      <c r="D528" s="15" t="s">
        <v>80</v>
      </c>
      <c r="E528" s="15" t="s">
        <v>76</v>
      </c>
      <c r="F528" s="15" t="s">
        <v>1979</v>
      </c>
      <c r="G528" s="15" t="s">
        <v>62</v>
      </c>
      <c r="H528" s="15" t="s">
        <v>110</v>
      </c>
      <c r="I528" s="15" t="s">
        <v>105</v>
      </c>
      <c r="J528" s="15" t="s">
        <v>1980</v>
      </c>
      <c r="K528" s="15" t="s">
        <v>1981</v>
      </c>
      <c r="M528" s="15" t="s">
        <v>93</v>
      </c>
      <c r="O528" s="16" t="n">
        <v>44154</v>
      </c>
      <c r="P528" s="39"/>
      <c r="Q528" s="90"/>
      <c r="R528" s="38" t="str">
        <f aca="false">IFERROR(Q528/VLOOKUP(P528,'Exchange rates to USD'!$L$2:$N$225,3,FALSE()),"")</f>
        <v/>
      </c>
    </row>
    <row r="529" customFormat="false" ht="13.25" hidden="false" customHeight="true" outlineLevel="0" collapsed="false">
      <c r="A529" s="15" t="s">
        <v>1982</v>
      </c>
      <c r="B529" s="15" t="s">
        <v>1967</v>
      </c>
      <c r="C529" s="15" t="s">
        <v>58</v>
      </c>
      <c r="D529" s="15" t="s">
        <v>80</v>
      </c>
      <c r="E529" s="15" t="s">
        <v>76</v>
      </c>
      <c r="F529" s="15" t="s">
        <v>1983</v>
      </c>
      <c r="G529" s="15" t="s">
        <v>62</v>
      </c>
      <c r="H529" s="15" t="s">
        <v>110</v>
      </c>
      <c r="I529" s="15" t="s">
        <v>105</v>
      </c>
      <c r="J529" s="15" t="s">
        <v>1984</v>
      </c>
      <c r="K529" s="15" t="s">
        <v>1985</v>
      </c>
      <c r="M529" s="15" t="s">
        <v>93</v>
      </c>
      <c r="O529" s="16" t="n">
        <v>44154</v>
      </c>
      <c r="P529" s="39" t="s">
        <v>240</v>
      </c>
      <c r="Q529" s="90" t="n">
        <v>68</v>
      </c>
      <c r="R529" s="38" t="n">
        <f aca="false">IFERROR(Q529/VLOOKUP(P529,'Exchange rates to USD'!$L$2:$N$225,3,FALSE()),"")</f>
        <v>74.9814879930448</v>
      </c>
    </row>
    <row r="530" customFormat="false" ht="13.25" hidden="false" customHeight="true" outlineLevel="0" collapsed="false">
      <c r="A530" s="15" t="s">
        <v>1986</v>
      </c>
      <c r="B530" s="15" t="s">
        <v>1967</v>
      </c>
      <c r="C530" s="15" t="s">
        <v>122</v>
      </c>
      <c r="D530" s="15" t="s">
        <v>59</v>
      </c>
      <c r="E530" s="15" t="s">
        <v>95</v>
      </c>
      <c r="G530" s="15" t="s">
        <v>62</v>
      </c>
      <c r="H530" s="15" t="s">
        <v>110</v>
      </c>
      <c r="J530" s="15" t="s">
        <v>1987</v>
      </c>
      <c r="K530" s="15" t="s">
        <v>396</v>
      </c>
      <c r="L530" s="15" t="s">
        <v>1988</v>
      </c>
      <c r="M530" s="15" t="s">
        <v>93</v>
      </c>
      <c r="O530" s="16" t="n">
        <v>44154</v>
      </c>
      <c r="P530" s="39"/>
      <c r="Q530" s="90"/>
      <c r="R530" s="38" t="str">
        <f aca="false">IFERROR(Q530/VLOOKUP(P530,'Exchange rates to USD'!$L$2:$N$225,3,FALSE()),"")</f>
        <v/>
      </c>
    </row>
    <row r="531" customFormat="false" ht="13.25" hidden="false" customHeight="true" outlineLevel="0" collapsed="false">
      <c r="A531" s="15" t="s">
        <v>1989</v>
      </c>
      <c r="B531" s="15" t="s">
        <v>1967</v>
      </c>
      <c r="C531" s="15" t="s">
        <v>122</v>
      </c>
      <c r="D531" s="15" t="s">
        <v>59</v>
      </c>
      <c r="E531" s="15" t="s">
        <v>95</v>
      </c>
      <c r="G531" s="15" t="s">
        <v>62</v>
      </c>
      <c r="H531" s="15" t="s">
        <v>110</v>
      </c>
      <c r="J531" s="15" t="s">
        <v>1990</v>
      </c>
      <c r="K531" s="15" t="s">
        <v>396</v>
      </c>
      <c r="L531" s="15" t="s">
        <v>1991</v>
      </c>
      <c r="M531" s="15" t="s">
        <v>70</v>
      </c>
      <c r="O531" s="16" t="n">
        <v>44154</v>
      </c>
      <c r="P531" s="39"/>
      <c r="Q531" s="90"/>
      <c r="R531" s="38" t="str">
        <f aca="false">IFERROR(Q531/VLOOKUP(P531,'Exchange rates to USD'!$L$2:$N$225,3,FALSE()),"")</f>
        <v/>
      </c>
    </row>
    <row r="532" customFormat="false" ht="13.25" hidden="false" customHeight="true" outlineLevel="0" collapsed="false">
      <c r="A532" s="15" t="s">
        <v>1992</v>
      </c>
      <c r="B532" s="15" t="s">
        <v>1967</v>
      </c>
      <c r="C532" s="15" t="s">
        <v>122</v>
      </c>
      <c r="D532" s="15" t="s">
        <v>59</v>
      </c>
      <c r="E532" s="15" t="s">
        <v>95</v>
      </c>
      <c r="G532" s="15" t="s">
        <v>62</v>
      </c>
      <c r="J532" s="15" t="s">
        <v>1993</v>
      </c>
      <c r="K532" s="15" t="s">
        <v>396</v>
      </c>
      <c r="L532" s="15" t="s">
        <v>1994</v>
      </c>
      <c r="M532" s="15" t="s">
        <v>65</v>
      </c>
      <c r="O532" s="16" t="n">
        <v>44154</v>
      </c>
      <c r="P532" s="39"/>
      <c r="Q532" s="90"/>
      <c r="R532" s="38" t="str">
        <f aca="false">IFERROR(Q532/VLOOKUP(P532,'Exchange rates to USD'!$L$2:$N$225,3,FALSE()),"")</f>
        <v/>
      </c>
    </row>
    <row r="533" customFormat="false" ht="13.25" hidden="false" customHeight="true" outlineLevel="0" collapsed="false">
      <c r="A533" s="35" t="s">
        <v>1995</v>
      </c>
      <c r="B533" s="35" t="s">
        <v>1967</v>
      </c>
      <c r="C533" s="35" t="s">
        <v>58</v>
      </c>
      <c r="D533" s="35" t="s">
        <v>59</v>
      </c>
      <c r="E533" s="35" t="s">
        <v>60</v>
      </c>
      <c r="F533" s="35"/>
      <c r="G533" s="35" t="s">
        <v>62</v>
      </c>
      <c r="H533" s="35" t="s">
        <v>110</v>
      </c>
      <c r="I533" s="35"/>
      <c r="J533" s="35" t="s">
        <v>1996</v>
      </c>
      <c r="K533" s="35" t="s">
        <v>396</v>
      </c>
      <c r="L533" s="35" t="s">
        <v>1997</v>
      </c>
      <c r="M533" s="35" t="s">
        <v>65</v>
      </c>
      <c r="N533" s="35"/>
      <c r="O533" s="36" t="n">
        <v>44154</v>
      </c>
      <c r="P533" s="63"/>
      <c r="Q533" s="92"/>
      <c r="R533" s="38" t="str">
        <f aca="false">IFERROR(Q533/VLOOKUP(P533,'Exchange rates to USD'!$L$2:$N$225,3,FALSE()),"")</f>
        <v/>
      </c>
    </row>
    <row r="534" customFormat="false" ht="13.25" hidden="false" customHeight="true" outlineLevel="0" collapsed="false">
      <c r="A534" s="35" t="s">
        <v>1998</v>
      </c>
      <c r="B534" s="35" t="s">
        <v>1967</v>
      </c>
      <c r="C534" s="35" t="s">
        <v>58</v>
      </c>
      <c r="D534" s="35" t="s">
        <v>59</v>
      </c>
      <c r="E534" s="35" t="s">
        <v>95</v>
      </c>
      <c r="F534" s="35" t="s">
        <v>1999</v>
      </c>
      <c r="G534" s="35" t="s">
        <v>62</v>
      </c>
      <c r="H534" s="35" t="s">
        <v>110</v>
      </c>
      <c r="I534" s="35"/>
      <c r="J534" s="35" t="s">
        <v>2000</v>
      </c>
      <c r="K534" s="35" t="s">
        <v>396</v>
      </c>
      <c r="L534" s="35" t="s">
        <v>2001</v>
      </c>
      <c r="M534" s="35" t="s">
        <v>70</v>
      </c>
      <c r="N534" s="35"/>
      <c r="O534" s="36" t="n">
        <v>44154</v>
      </c>
      <c r="P534" s="63" t="s">
        <v>643</v>
      </c>
      <c r="Q534" s="92" t="n">
        <f aca="false">50/3.839375</f>
        <v>13.0229529545825</v>
      </c>
      <c r="R534" s="38" t="n">
        <f aca="false">IFERROR(Q534/VLOOKUP(P534,'Exchange rates to USD'!$L$2:$N$225,3,FALSE()),"")</f>
        <v>13.0229529545825</v>
      </c>
    </row>
    <row r="535" customFormat="false" ht="13.25" hidden="false" customHeight="true" outlineLevel="0" collapsed="false">
      <c r="A535" s="35" t="s">
        <v>2002</v>
      </c>
      <c r="B535" s="35" t="s">
        <v>1967</v>
      </c>
      <c r="C535" s="35" t="s">
        <v>232</v>
      </c>
      <c r="D535" s="35" t="s">
        <v>80</v>
      </c>
      <c r="E535" s="35" t="s">
        <v>76</v>
      </c>
      <c r="F535" s="140"/>
      <c r="G535" s="35" t="s">
        <v>110</v>
      </c>
      <c r="H535" s="35" t="s">
        <v>62</v>
      </c>
      <c r="I535" s="35" t="s">
        <v>158</v>
      </c>
      <c r="J535" s="62" t="s">
        <v>2003</v>
      </c>
      <c r="K535" s="35" t="s">
        <v>2004</v>
      </c>
      <c r="L535" s="35" t="s">
        <v>2005</v>
      </c>
      <c r="M535" s="35" t="s">
        <v>70</v>
      </c>
      <c r="N535" s="35" t="s">
        <v>2006</v>
      </c>
      <c r="O535" s="16" t="n">
        <v>44264</v>
      </c>
      <c r="P535" s="63" t="s">
        <v>2007</v>
      </c>
      <c r="Q535" s="92" t="n">
        <v>1.7</v>
      </c>
      <c r="R535" s="82" t="n">
        <f aca="false">IFERROR(Q535/VLOOKUP(P535,'Exchange rates to USD'!$L$2:$N$225,3,FALSE()),"")</f>
        <v>0.452587549584063</v>
      </c>
    </row>
    <row r="536" customFormat="false" ht="13.25" hidden="false" customHeight="true" outlineLevel="0" collapsed="false">
      <c r="A536" s="15" t="s">
        <v>2008</v>
      </c>
      <c r="B536" s="15" t="s">
        <v>1967</v>
      </c>
      <c r="C536" s="35" t="s">
        <v>232</v>
      </c>
      <c r="D536" s="35" t="s">
        <v>80</v>
      </c>
      <c r="E536" s="35" t="s">
        <v>76</v>
      </c>
      <c r="F536" s="35" t="s">
        <v>2009</v>
      </c>
      <c r="G536" s="35" t="s">
        <v>110</v>
      </c>
      <c r="H536" s="35" t="s">
        <v>158</v>
      </c>
      <c r="I536" s="35" t="s">
        <v>62</v>
      </c>
      <c r="J536" s="62" t="s">
        <v>2010</v>
      </c>
      <c r="K536" s="86" t="s">
        <v>2011</v>
      </c>
      <c r="L536" s="35"/>
      <c r="M536" s="35" t="s">
        <v>93</v>
      </c>
      <c r="N536" s="35" t="s">
        <v>2012</v>
      </c>
      <c r="O536" s="16" t="n">
        <v>44264</v>
      </c>
      <c r="P536" s="63" t="s">
        <v>2007</v>
      </c>
      <c r="Q536" s="92" t="n">
        <v>2.2</v>
      </c>
      <c r="R536" s="82" t="n">
        <f aca="false">IFERROR(Q536/VLOOKUP(P536,'Exchange rates to USD'!$L$2:$N$225,3,FALSE()),"")</f>
        <v>0.585701534755847</v>
      </c>
    </row>
    <row r="537" customFormat="false" ht="13.25" hidden="false" customHeight="true" outlineLevel="0" collapsed="false">
      <c r="A537" s="15" t="s">
        <v>2013</v>
      </c>
      <c r="B537" s="15" t="s">
        <v>1967</v>
      </c>
      <c r="C537" s="35" t="s">
        <v>176</v>
      </c>
      <c r="D537" s="35" t="s">
        <v>108</v>
      </c>
      <c r="E537" s="35" t="s">
        <v>76</v>
      </c>
      <c r="F537" s="35" t="s">
        <v>2014</v>
      </c>
      <c r="G537" s="35" t="s">
        <v>158</v>
      </c>
      <c r="H537" s="35" t="s">
        <v>62</v>
      </c>
      <c r="I537" s="35" t="s">
        <v>110</v>
      </c>
      <c r="J537" s="62" t="s">
        <v>2015</v>
      </c>
      <c r="K537" s="35" t="s">
        <v>2004</v>
      </c>
      <c r="L537" s="34" t="s">
        <v>2016</v>
      </c>
      <c r="M537" s="35" t="s">
        <v>93</v>
      </c>
      <c r="N537" s="35"/>
      <c r="O537" s="16" t="n">
        <v>44264</v>
      </c>
      <c r="P537" s="63" t="s">
        <v>2007</v>
      </c>
      <c r="Q537" s="92" t="n">
        <v>2</v>
      </c>
      <c r="R537" s="82" t="n">
        <f aca="false">IFERROR(Q537/VLOOKUP(P537,'Exchange rates to USD'!$L$2:$N$225,3,FALSE()),"")</f>
        <v>0.532455940687133</v>
      </c>
    </row>
    <row r="538" customFormat="false" ht="13.25" hidden="false" customHeight="true" outlineLevel="0" collapsed="false">
      <c r="A538" s="35" t="s">
        <v>2017</v>
      </c>
      <c r="B538" s="35" t="s">
        <v>1967</v>
      </c>
      <c r="C538" s="35" t="s">
        <v>176</v>
      </c>
      <c r="D538" s="35" t="s">
        <v>108</v>
      </c>
      <c r="E538" s="35" t="s">
        <v>76</v>
      </c>
      <c r="F538" s="35" t="s">
        <v>2018</v>
      </c>
      <c r="G538" s="35" t="s">
        <v>158</v>
      </c>
      <c r="H538" s="35" t="s">
        <v>62</v>
      </c>
      <c r="I538" s="35" t="s">
        <v>110</v>
      </c>
      <c r="J538" s="62" t="s">
        <v>2019</v>
      </c>
      <c r="K538" s="35" t="s">
        <v>2004</v>
      </c>
      <c r="M538" s="35" t="s">
        <v>93</v>
      </c>
      <c r="N538" s="35"/>
      <c r="O538" s="16" t="n">
        <v>44264</v>
      </c>
      <c r="P538" s="63" t="s">
        <v>2007</v>
      </c>
      <c r="Q538" s="92" t="n">
        <v>3.6</v>
      </c>
      <c r="R538" s="82" t="n">
        <f aca="false">IFERROR(Q538/VLOOKUP(P538,'Exchange rates to USD'!$L$2:$N$225,3,FALSE()),"")</f>
        <v>0.95842069323684</v>
      </c>
    </row>
    <row r="539" customFormat="false" ht="13.25" hidden="false" customHeight="true" outlineLevel="0" collapsed="false">
      <c r="A539" s="35" t="s">
        <v>2020</v>
      </c>
      <c r="B539" s="35" t="s">
        <v>1967</v>
      </c>
      <c r="C539" s="35" t="s">
        <v>176</v>
      </c>
      <c r="D539" s="35" t="s">
        <v>108</v>
      </c>
      <c r="E539" s="35" t="s">
        <v>76</v>
      </c>
      <c r="F539" s="35" t="s">
        <v>2021</v>
      </c>
      <c r="G539" s="35" t="s">
        <v>158</v>
      </c>
      <c r="H539" s="35" t="s">
        <v>62</v>
      </c>
      <c r="I539" s="35" t="s">
        <v>110</v>
      </c>
      <c r="J539" s="62" t="s">
        <v>2022</v>
      </c>
      <c r="K539" s="35" t="s">
        <v>2004</v>
      </c>
      <c r="L539" s="34" t="s">
        <v>2023</v>
      </c>
      <c r="M539" s="35" t="s">
        <v>93</v>
      </c>
      <c r="N539" s="35"/>
      <c r="O539" s="16" t="n">
        <v>44264</v>
      </c>
      <c r="P539" s="63" t="s">
        <v>2007</v>
      </c>
      <c r="Q539" s="92" t="n">
        <v>0.5</v>
      </c>
      <c r="R539" s="82" t="n">
        <f aca="false">IFERROR(Q539/VLOOKUP(P539,'Exchange rates to USD'!$L$2:$N$225,3,FALSE()),"")</f>
        <v>0.133113985171783</v>
      </c>
    </row>
    <row r="540" customFormat="false" ht="13.25" hidden="false" customHeight="true" outlineLevel="0" collapsed="false">
      <c r="A540" s="15" t="s">
        <v>2024</v>
      </c>
      <c r="B540" s="15" t="s">
        <v>1967</v>
      </c>
      <c r="C540" s="35" t="s">
        <v>249</v>
      </c>
      <c r="D540" s="35" t="s">
        <v>115</v>
      </c>
      <c r="E540" s="35"/>
      <c r="F540" s="35" t="s">
        <v>2025</v>
      </c>
      <c r="G540" s="35" t="s">
        <v>158</v>
      </c>
      <c r="H540" s="35" t="s">
        <v>62</v>
      </c>
      <c r="I540" s="35" t="s">
        <v>110</v>
      </c>
      <c r="J540" s="62" t="s">
        <v>2026</v>
      </c>
      <c r="K540" s="35" t="s">
        <v>2004</v>
      </c>
      <c r="L540" s="34"/>
      <c r="M540" s="35" t="s">
        <v>93</v>
      </c>
      <c r="N540" s="35"/>
      <c r="O540" s="16" t="n">
        <v>44264</v>
      </c>
      <c r="P540" s="63" t="s">
        <v>2007</v>
      </c>
      <c r="Q540" s="92" t="n">
        <v>304</v>
      </c>
      <c r="R540" s="82" t="n">
        <f aca="false">IFERROR(Q540/VLOOKUP(P540,'Exchange rates to USD'!$L$2:$N$225,3,FALSE()),"")</f>
        <v>80.9333029844442</v>
      </c>
    </row>
    <row r="541" customFormat="false" ht="13.25" hidden="false" customHeight="true" outlineLevel="0" collapsed="false">
      <c r="A541" s="15" t="s">
        <v>2027</v>
      </c>
      <c r="B541" s="15" t="s">
        <v>1967</v>
      </c>
      <c r="C541" s="35" t="s">
        <v>232</v>
      </c>
      <c r="D541" s="35" t="s">
        <v>115</v>
      </c>
      <c r="E541" s="35"/>
      <c r="F541" s="35" t="s">
        <v>2028</v>
      </c>
      <c r="G541" s="35" t="s">
        <v>62</v>
      </c>
      <c r="H541" s="35" t="s">
        <v>158</v>
      </c>
      <c r="I541" s="35" t="s">
        <v>110</v>
      </c>
      <c r="J541" s="62" t="s">
        <v>2029</v>
      </c>
      <c r="K541" s="35" t="s">
        <v>2004</v>
      </c>
      <c r="L541" s="34"/>
      <c r="M541" s="35" t="s">
        <v>93</v>
      </c>
      <c r="N541" s="35"/>
      <c r="O541" s="16" t="n">
        <v>44264</v>
      </c>
      <c r="P541" s="63" t="s">
        <v>2007</v>
      </c>
      <c r="Q541" s="92" t="n">
        <v>1.5</v>
      </c>
      <c r="R541" s="82" t="n">
        <f aca="false">IFERROR(Q541/VLOOKUP(P541,'Exchange rates to USD'!$L$2:$N$225,3,FALSE()),"")</f>
        <v>0.39934195551535</v>
      </c>
    </row>
    <row r="542" customFormat="false" ht="13.25" hidden="false" customHeight="true" outlineLevel="0" collapsed="false">
      <c r="A542" s="35" t="s">
        <v>2030</v>
      </c>
      <c r="B542" s="35" t="s">
        <v>1967</v>
      </c>
      <c r="C542" s="35" t="s">
        <v>58</v>
      </c>
      <c r="D542" s="35" t="s">
        <v>80</v>
      </c>
      <c r="E542" s="35" t="s">
        <v>76</v>
      </c>
      <c r="F542" s="35" t="s">
        <v>2031</v>
      </c>
      <c r="G542" s="35" t="s">
        <v>62</v>
      </c>
      <c r="H542" s="35" t="s">
        <v>110</v>
      </c>
      <c r="I542" s="35" t="s">
        <v>105</v>
      </c>
      <c r="J542" s="141" t="s">
        <v>2032</v>
      </c>
      <c r="K542" s="86" t="s">
        <v>2033</v>
      </c>
      <c r="L542" s="34"/>
      <c r="M542" s="35" t="s">
        <v>70</v>
      </c>
      <c r="N542" s="35"/>
      <c r="O542" s="16" t="n">
        <v>44264</v>
      </c>
      <c r="P542" s="63" t="s">
        <v>240</v>
      </c>
      <c r="Q542" s="92" t="n">
        <v>1770</v>
      </c>
      <c r="R542" s="38" t="n">
        <f aca="false">IFERROR(Q542/VLOOKUP(P542,'Exchange rates to USD'!$L$2:$N$225,3,FALSE()),"")</f>
        <v>1951.72402570131</v>
      </c>
    </row>
    <row r="543" customFormat="false" ht="13.25" hidden="false" customHeight="true" outlineLevel="0" collapsed="false">
      <c r="A543" s="15" t="s">
        <v>2034</v>
      </c>
      <c r="B543" s="15" t="s">
        <v>1967</v>
      </c>
      <c r="C543" s="35" t="s">
        <v>122</v>
      </c>
      <c r="D543" s="35" t="s">
        <v>59</v>
      </c>
      <c r="E543" s="35" t="s">
        <v>95</v>
      </c>
      <c r="G543" s="35" t="s">
        <v>62</v>
      </c>
      <c r="H543" s="35" t="s">
        <v>110</v>
      </c>
      <c r="I543" s="35"/>
      <c r="J543" s="142" t="s">
        <v>2035</v>
      </c>
      <c r="K543" s="86" t="s">
        <v>2036</v>
      </c>
      <c r="M543" s="35" t="s">
        <v>93</v>
      </c>
      <c r="N543" s="35"/>
      <c r="O543" s="16" t="n">
        <v>44264</v>
      </c>
      <c r="P543" s="63"/>
      <c r="Q543" s="92"/>
      <c r="R543" s="38"/>
    </row>
    <row r="544" customFormat="false" ht="13.25" hidden="false" customHeight="true" outlineLevel="0" collapsed="false">
      <c r="A544" s="15" t="s">
        <v>2037</v>
      </c>
      <c r="B544" s="15" t="s">
        <v>1967</v>
      </c>
      <c r="C544" s="35" t="s">
        <v>58</v>
      </c>
      <c r="D544" s="35" t="s">
        <v>59</v>
      </c>
      <c r="E544" s="35" t="s">
        <v>95</v>
      </c>
      <c r="F544" s="35" t="s">
        <v>2038</v>
      </c>
      <c r="G544" s="35" t="s">
        <v>62</v>
      </c>
      <c r="H544" s="35" t="s">
        <v>110</v>
      </c>
      <c r="I544" s="35"/>
      <c r="J544" s="143" t="s">
        <v>2039</v>
      </c>
      <c r="K544" s="86" t="s">
        <v>2040</v>
      </c>
      <c r="M544" s="35" t="s">
        <v>93</v>
      </c>
      <c r="N544" s="35"/>
      <c r="O544" s="16" t="n">
        <v>44264</v>
      </c>
      <c r="P544" s="63" t="s">
        <v>2007</v>
      </c>
      <c r="Q544" s="92" t="n">
        <v>1</v>
      </c>
      <c r="R544" s="38" t="n">
        <f aca="false">IFERROR(Q544/VLOOKUP(P544,'Exchange rates to USD'!$L$2:$N$225,3,FALSE()),"")</f>
        <v>0.266227970343567</v>
      </c>
    </row>
    <row r="545" customFormat="false" ht="13.25" hidden="false" customHeight="true" outlineLevel="0" collapsed="false">
      <c r="A545" s="35" t="s">
        <v>2041</v>
      </c>
      <c r="B545" s="35" t="s">
        <v>1967</v>
      </c>
      <c r="C545" s="35" t="s">
        <v>122</v>
      </c>
      <c r="D545" s="35" t="s">
        <v>59</v>
      </c>
      <c r="E545" s="35" t="s">
        <v>95</v>
      </c>
      <c r="F545" s="35"/>
      <c r="G545" s="35" t="s">
        <v>62</v>
      </c>
      <c r="H545" s="35" t="s">
        <v>110</v>
      </c>
      <c r="I545" s="35"/>
      <c r="J545" s="144" t="s">
        <v>2042</v>
      </c>
      <c r="K545" s="145" t="s">
        <v>2043</v>
      </c>
      <c r="L545" s="146" t="s">
        <v>2044</v>
      </c>
      <c r="M545" s="35" t="s">
        <v>93</v>
      </c>
      <c r="N545" s="35"/>
      <c r="O545" s="16" t="n">
        <v>44264</v>
      </c>
      <c r="P545" s="63"/>
      <c r="Q545" s="92"/>
      <c r="R545" s="38"/>
    </row>
    <row r="546" customFormat="false" ht="13.25" hidden="false" customHeight="true" outlineLevel="0" collapsed="false">
      <c r="A546" s="55" t="s">
        <v>2045</v>
      </c>
      <c r="B546" s="55" t="s">
        <v>1967</v>
      </c>
      <c r="C546" s="55" t="s">
        <v>232</v>
      </c>
      <c r="D546" s="55" t="s">
        <v>80</v>
      </c>
      <c r="E546" s="55" t="s">
        <v>76</v>
      </c>
      <c r="F546" s="55"/>
      <c r="G546" s="55" t="s">
        <v>62</v>
      </c>
      <c r="H546" s="55" t="s">
        <v>110</v>
      </c>
      <c r="I546" s="55"/>
      <c r="J546" s="147" t="s">
        <v>2046</v>
      </c>
      <c r="K546" s="148" t="s">
        <v>2047</v>
      </c>
      <c r="L546" s="147" t="s">
        <v>2048</v>
      </c>
      <c r="M546" s="149" t="s">
        <v>93</v>
      </c>
      <c r="N546" s="55"/>
      <c r="O546" s="56" t="n">
        <v>44106</v>
      </c>
      <c r="P546" s="65"/>
      <c r="Q546" s="95"/>
      <c r="R546" s="58"/>
    </row>
    <row r="547" customFormat="false" ht="13.25" hidden="false" customHeight="true" outlineLevel="0" collapsed="false">
      <c r="A547" s="15" t="s">
        <v>2049</v>
      </c>
      <c r="B547" s="15" t="s">
        <v>2050</v>
      </c>
      <c r="C547" s="15" t="s">
        <v>232</v>
      </c>
      <c r="D547" s="15" t="s">
        <v>108</v>
      </c>
      <c r="E547" s="15" t="s">
        <v>233</v>
      </c>
      <c r="G547" s="15" t="s">
        <v>62</v>
      </c>
      <c r="J547" s="15" t="s">
        <v>2051</v>
      </c>
      <c r="M547" s="15" t="s">
        <v>93</v>
      </c>
      <c r="R547" s="38" t="str">
        <f aca="false">IFERROR(Q547/VLOOKUP(P547,'Exchange rates to USD'!$L$2:$N$225,3,FALSE()),"")</f>
        <v/>
      </c>
    </row>
    <row r="548" customFormat="false" ht="13.25" hidden="false" customHeight="true" outlineLevel="0" collapsed="false">
      <c r="A548" s="15" t="s">
        <v>2052</v>
      </c>
      <c r="B548" s="15" t="s">
        <v>2050</v>
      </c>
      <c r="C548" s="15" t="s">
        <v>232</v>
      </c>
      <c r="D548" s="15" t="s">
        <v>108</v>
      </c>
      <c r="E548" s="15" t="s">
        <v>60</v>
      </c>
      <c r="G548" s="15" t="s">
        <v>62</v>
      </c>
      <c r="J548" s="15" t="s">
        <v>2053</v>
      </c>
      <c r="M548" s="15" t="s">
        <v>113</v>
      </c>
      <c r="R548" s="38" t="str">
        <f aca="false">IFERROR(Q548/VLOOKUP(P548,'Exchange rates to USD'!$L$2:$N$225,3,FALSE()),"")</f>
        <v/>
      </c>
    </row>
    <row r="549" customFormat="false" ht="13.25" hidden="false" customHeight="true" outlineLevel="0" collapsed="false">
      <c r="A549" s="15" t="s">
        <v>2054</v>
      </c>
      <c r="B549" s="15" t="s">
        <v>2050</v>
      </c>
      <c r="C549" s="15" t="s">
        <v>232</v>
      </c>
      <c r="D549" s="15" t="s">
        <v>80</v>
      </c>
      <c r="E549" s="15" t="s">
        <v>76</v>
      </c>
      <c r="G549" s="15" t="s">
        <v>62</v>
      </c>
      <c r="H549" s="15" t="s">
        <v>96</v>
      </c>
      <c r="J549" s="15" t="s">
        <v>2055</v>
      </c>
      <c r="M549" s="15" t="s">
        <v>93</v>
      </c>
      <c r="R549" s="38" t="str">
        <f aca="false">IFERROR(Q549/VLOOKUP(P549,'Exchange rates to USD'!$L$2:$N$225,3,FALSE()),"")</f>
        <v/>
      </c>
    </row>
    <row r="550" customFormat="false" ht="13.25" hidden="false" customHeight="true" outlineLevel="0" collapsed="false">
      <c r="A550" s="15" t="s">
        <v>2056</v>
      </c>
      <c r="B550" s="15" t="s">
        <v>2050</v>
      </c>
      <c r="C550" s="15" t="s">
        <v>232</v>
      </c>
      <c r="D550" s="15" t="s">
        <v>80</v>
      </c>
      <c r="E550" s="15" t="s">
        <v>76</v>
      </c>
      <c r="G550" s="15" t="s">
        <v>77</v>
      </c>
      <c r="H550" s="15" t="s">
        <v>97</v>
      </c>
      <c r="J550" s="27" t="s">
        <v>2057</v>
      </c>
      <c r="K550" s="15" t="s">
        <v>2058</v>
      </c>
      <c r="M550" s="15" t="s">
        <v>93</v>
      </c>
      <c r="R550" s="38" t="str">
        <f aca="false">IFERROR(Q550/VLOOKUP(P550,'Exchange rates to USD'!$L$2:$N$225,3,FALSE()),"")</f>
        <v/>
      </c>
    </row>
    <row r="551" customFormat="false" ht="13.25" hidden="false" customHeight="true" outlineLevel="0" collapsed="false">
      <c r="A551" s="15" t="s">
        <v>2059</v>
      </c>
      <c r="B551" s="15" t="s">
        <v>2050</v>
      </c>
      <c r="C551" s="15" t="s">
        <v>232</v>
      </c>
      <c r="D551" s="15" t="s">
        <v>59</v>
      </c>
      <c r="E551" s="15" t="s">
        <v>90</v>
      </c>
      <c r="G551" s="15" t="s">
        <v>62</v>
      </c>
      <c r="J551" s="15" t="s">
        <v>2060</v>
      </c>
      <c r="K551" s="15" t="s">
        <v>2058</v>
      </c>
      <c r="M551" s="15" t="s">
        <v>113</v>
      </c>
      <c r="R551" s="38" t="str">
        <f aca="false">IFERROR(Q551/VLOOKUP(P551,'Exchange rates to USD'!$L$2:$N$225,3,FALSE()),"")</f>
        <v/>
      </c>
    </row>
    <row r="552" customFormat="false" ht="13.25" hidden="false" customHeight="true" outlineLevel="0" collapsed="false">
      <c r="A552" s="15" t="s">
        <v>2061</v>
      </c>
      <c r="B552" s="15" t="s">
        <v>2050</v>
      </c>
      <c r="C552" s="15" t="s">
        <v>58</v>
      </c>
      <c r="D552" s="15" t="s">
        <v>108</v>
      </c>
      <c r="E552" s="15" t="s">
        <v>76</v>
      </c>
      <c r="F552" s="15" t="s">
        <v>2062</v>
      </c>
      <c r="G552" s="15" t="s">
        <v>97</v>
      </c>
      <c r="H552" s="15" t="s">
        <v>96</v>
      </c>
      <c r="J552" s="15" t="s">
        <v>2063</v>
      </c>
      <c r="K552" s="15" t="s">
        <v>2058</v>
      </c>
      <c r="M552" s="15" t="s">
        <v>93</v>
      </c>
      <c r="O552" s="16" t="n">
        <v>44144</v>
      </c>
      <c r="P552" s="15" t="s">
        <v>240</v>
      </c>
      <c r="Q552" s="17" t="n">
        <v>140</v>
      </c>
      <c r="R552" s="38" t="n">
        <f aca="false">IFERROR(Q552/VLOOKUP(P552,'Exchange rates to USD'!$L$2:$N$225,3,FALSE()),"")</f>
        <v>154.373651750386</v>
      </c>
    </row>
    <row r="553" customFormat="false" ht="13.25" hidden="false" customHeight="true" outlineLevel="0" collapsed="false">
      <c r="A553" s="15" t="s">
        <v>2064</v>
      </c>
      <c r="B553" s="15" t="s">
        <v>2050</v>
      </c>
      <c r="C553" s="15" t="s">
        <v>75</v>
      </c>
      <c r="D553" s="15" t="s">
        <v>80</v>
      </c>
      <c r="E553" s="15" t="s">
        <v>76</v>
      </c>
      <c r="F553" s="15" t="s">
        <v>2065</v>
      </c>
      <c r="G553" s="15" t="s">
        <v>97</v>
      </c>
      <c r="J553" s="27" t="s">
        <v>2066</v>
      </c>
      <c r="K553" s="15" t="s">
        <v>2058</v>
      </c>
      <c r="M553" s="15" t="s">
        <v>93</v>
      </c>
      <c r="P553" s="15" t="s">
        <v>240</v>
      </c>
      <c r="Q553" s="17" t="n">
        <v>480</v>
      </c>
      <c r="R553" s="38" t="n">
        <f aca="false">IFERROR(Q553/VLOOKUP(P553,'Exchange rates to USD'!$L$2:$N$225,3,FALSE()),"")</f>
        <v>529.28109171561</v>
      </c>
    </row>
    <row r="554" customFormat="false" ht="13.25" hidden="false" customHeight="true" outlineLevel="0" collapsed="false">
      <c r="A554" s="15" t="s">
        <v>2067</v>
      </c>
      <c r="B554" s="15" t="s">
        <v>2050</v>
      </c>
      <c r="C554" s="15" t="s">
        <v>75</v>
      </c>
      <c r="D554" s="15" t="s">
        <v>80</v>
      </c>
      <c r="E554" s="15" t="s">
        <v>76</v>
      </c>
      <c r="F554" s="15" t="s">
        <v>2068</v>
      </c>
      <c r="G554" s="15" t="s">
        <v>97</v>
      </c>
      <c r="J554" s="27" t="s">
        <v>2069</v>
      </c>
      <c r="K554" s="15" t="s">
        <v>2058</v>
      </c>
      <c r="M554" s="15" t="s">
        <v>93</v>
      </c>
      <c r="P554" s="15" t="s">
        <v>240</v>
      </c>
      <c r="Q554" s="17" t="n">
        <v>724</v>
      </c>
      <c r="R554" s="38" t="n">
        <f aca="false">IFERROR(Q554/VLOOKUP(P554,'Exchange rates to USD'!$L$2:$N$225,3,FALSE()),"")</f>
        <v>798.332313337712</v>
      </c>
    </row>
    <row r="555" customFormat="false" ht="13.25" hidden="false" customHeight="true" outlineLevel="0" collapsed="false">
      <c r="A555" s="15" t="s">
        <v>2070</v>
      </c>
      <c r="B555" s="15" t="s">
        <v>2050</v>
      </c>
      <c r="C555" s="15" t="s">
        <v>75</v>
      </c>
      <c r="D555" s="15" t="s">
        <v>80</v>
      </c>
      <c r="E555" s="15" t="s">
        <v>76</v>
      </c>
      <c r="F555" s="15" t="s">
        <v>2071</v>
      </c>
      <c r="G555" s="15" t="s">
        <v>97</v>
      </c>
      <c r="J555" s="27" t="s">
        <v>2072</v>
      </c>
      <c r="K555" s="15" t="s">
        <v>2058</v>
      </c>
      <c r="M555" s="15" t="s">
        <v>93</v>
      </c>
      <c r="P555" s="15" t="s">
        <v>240</v>
      </c>
      <c r="Q555" s="17" t="n">
        <v>109</v>
      </c>
      <c r="R555" s="38" t="n">
        <f aca="false">IFERROR(Q555/VLOOKUP(P555,'Exchange rates to USD'!$L$2:$N$225,3,FALSE()),"")</f>
        <v>120.190914577087</v>
      </c>
    </row>
    <row r="556" customFormat="false" ht="13.25" hidden="false" customHeight="true" outlineLevel="0" collapsed="false">
      <c r="A556" s="15" t="s">
        <v>2073</v>
      </c>
      <c r="B556" s="15" t="s">
        <v>2050</v>
      </c>
      <c r="C556" s="15" t="s">
        <v>75</v>
      </c>
      <c r="D556" s="15" t="s">
        <v>80</v>
      </c>
      <c r="E556" s="15" t="s">
        <v>76</v>
      </c>
      <c r="F556" s="15" t="s">
        <v>2074</v>
      </c>
      <c r="G556" s="15" t="s">
        <v>97</v>
      </c>
      <c r="H556" s="15" t="s">
        <v>62</v>
      </c>
      <c r="I556" s="15" t="s">
        <v>110</v>
      </c>
      <c r="J556" s="15" t="s">
        <v>2075</v>
      </c>
      <c r="K556" s="15" t="s">
        <v>2058</v>
      </c>
      <c r="M556" s="15" t="s">
        <v>93</v>
      </c>
      <c r="P556" s="15" t="s">
        <v>240</v>
      </c>
      <c r="Q556" s="17" t="n">
        <v>204</v>
      </c>
      <c r="R556" s="38" t="n">
        <f aca="false">IFERROR(Q556/VLOOKUP(P556,'Exchange rates to USD'!$L$2:$N$225,3,FALSE()),"")</f>
        <v>224.944463979134</v>
      </c>
    </row>
    <row r="557" customFormat="false" ht="13.25" hidden="false" customHeight="true" outlineLevel="0" collapsed="false">
      <c r="A557" s="15" t="s">
        <v>2076</v>
      </c>
      <c r="B557" s="15" t="s">
        <v>2050</v>
      </c>
      <c r="C557" s="15" t="s">
        <v>58</v>
      </c>
      <c r="D557" s="15" t="s">
        <v>59</v>
      </c>
      <c r="E557" s="15" t="s">
        <v>76</v>
      </c>
      <c r="F557" s="15" t="s">
        <v>2077</v>
      </c>
      <c r="G557" s="15" t="s">
        <v>97</v>
      </c>
      <c r="H557" s="15" t="s">
        <v>62</v>
      </c>
      <c r="J557" s="15" t="s">
        <v>2078</v>
      </c>
      <c r="K557" s="15" t="s">
        <v>2058</v>
      </c>
      <c r="M557" s="15" t="s">
        <v>93</v>
      </c>
      <c r="P557" s="15" t="s">
        <v>240</v>
      </c>
      <c r="Q557" s="17" t="n">
        <v>130</v>
      </c>
      <c r="R557" s="38" t="n">
        <f aca="false">IFERROR(Q557/VLOOKUP(P557,'Exchange rates to USD'!$L$2:$N$225,3,FALSE()),"")</f>
        <v>143.346962339644</v>
      </c>
    </row>
    <row r="558" customFormat="false" ht="13.25" hidden="false" customHeight="true" outlineLevel="0" collapsed="false">
      <c r="A558" s="15" t="s">
        <v>2079</v>
      </c>
      <c r="B558" s="15" t="s">
        <v>2050</v>
      </c>
      <c r="C558" s="15" t="s">
        <v>58</v>
      </c>
      <c r="D558" s="15" t="s">
        <v>59</v>
      </c>
      <c r="E558" s="15" t="s">
        <v>76</v>
      </c>
      <c r="F558" s="15" t="s">
        <v>2080</v>
      </c>
      <c r="G558" s="15" t="s">
        <v>97</v>
      </c>
      <c r="H558" s="15" t="s">
        <v>158</v>
      </c>
      <c r="J558" s="15" t="s">
        <v>2081</v>
      </c>
      <c r="K558" s="15" t="s">
        <v>2058</v>
      </c>
      <c r="M558" s="15" t="s">
        <v>70</v>
      </c>
      <c r="P558" s="15" t="s">
        <v>240</v>
      </c>
      <c r="Q558" s="17" t="n">
        <v>580</v>
      </c>
      <c r="R558" s="38" t="n">
        <f aca="false">IFERROR(Q558/VLOOKUP(P558,'Exchange rates to USD'!$L$2:$N$225,3,FALSE()),"")</f>
        <v>639.547985823029</v>
      </c>
    </row>
    <row r="559" customFormat="false" ht="15.65" hidden="false" customHeight="true" outlineLevel="0" collapsed="false">
      <c r="A559" s="15" t="s">
        <v>2082</v>
      </c>
      <c r="B559" s="15" t="s">
        <v>2050</v>
      </c>
      <c r="C559" s="15" t="s">
        <v>58</v>
      </c>
      <c r="D559" s="15" t="s">
        <v>59</v>
      </c>
      <c r="E559" s="15" t="s">
        <v>76</v>
      </c>
      <c r="F559" s="15" t="s">
        <v>2083</v>
      </c>
      <c r="G559" s="15" t="s">
        <v>97</v>
      </c>
      <c r="H559" s="15" t="s">
        <v>158</v>
      </c>
      <c r="J559" s="15" t="s">
        <v>2084</v>
      </c>
      <c r="K559" s="15" t="s">
        <v>2058</v>
      </c>
      <c r="M559" s="15" t="s">
        <v>93</v>
      </c>
      <c r="P559" s="15" t="s">
        <v>240</v>
      </c>
      <c r="Q559" s="17" t="n">
        <v>600</v>
      </c>
      <c r="R559" s="38" t="n">
        <f aca="false">IFERROR(Q559/VLOOKUP(P559,'Exchange rates to USD'!$L$2:$N$225,3,FALSE()),"")</f>
        <v>661.601364644513</v>
      </c>
    </row>
    <row r="560" customFormat="false" ht="13.25" hidden="false" customHeight="true" outlineLevel="0" collapsed="false">
      <c r="A560" s="15" t="s">
        <v>2085</v>
      </c>
      <c r="B560" s="15" t="s">
        <v>2050</v>
      </c>
      <c r="C560" s="15" t="s">
        <v>249</v>
      </c>
      <c r="D560" s="15" t="s">
        <v>59</v>
      </c>
      <c r="E560" s="15" t="s">
        <v>76</v>
      </c>
      <c r="F560" s="15" t="s">
        <v>2086</v>
      </c>
      <c r="G560" s="15" t="s">
        <v>97</v>
      </c>
      <c r="H560" s="15" t="s">
        <v>62</v>
      </c>
      <c r="I560" s="15" t="s">
        <v>77</v>
      </c>
      <c r="J560" s="15" t="s">
        <v>2087</v>
      </c>
      <c r="K560" s="15" t="s">
        <v>2058</v>
      </c>
      <c r="M560" s="15" t="s">
        <v>93</v>
      </c>
      <c r="P560" s="15" t="s">
        <v>240</v>
      </c>
      <c r="Q560" s="17" t="n">
        <v>150</v>
      </c>
      <c r="R560" s="38" t="n">
        <f aca="false">IFERROR(Q560/VLOOKUP(P560,'Exchange rates to USD'!$L$2:$N$225,3,FALSE()),"")</f>
        <v>165.400341161128</v>
      </c>
    </row>
    <row r="561" customFormat="false" ht="13.25" hidden="false" customHeight="true" outlineLevel="0" collapsed="false">
      <c r="A561" s="15" t="s">
        <v>2088</v>
      </c>
      <c r="B561" s="15" t="s">
        <v>2050</v>
      </c>
      <c r="C561" s="15" t="s">
        <v>58</v>
      </c>
      <c r="D561" s="15" t="s">
        <v>59</v>
      </c>
      <c r="E561" s="15" t="s">
        <v>123</v>
      </c>
      <c r="F561" s="15" t="s">
        <v>2089</v>
      </c>
      <c r="G561" s="15" t="s">
        <v>97</v>
      </c>
      <c r="H561" s="15" t="s">
        <v>96</v>
      </c>
      <c r="I561" s="15" t="s">
        <v>62</v>
      </c>
      <c r="J561" s="15" t="s">
        <v>2090</v>
      </c>
      <c r="K561" s="15" t="s">
        <v>2058</v>
      </c>
      <c r="M561" s="15" t="s">
        <v>93</v>
      </c>
      <c r="P561" s="15" t="s">
        <v>240</v>
      </c>
      <c r="Q561" s="17" t="n">
        <v>75</v>
      </c>
      <c r="R561" s="38" t="n">
        <f aca="false">IFERROR(Q561/VLOOKUP(P561,'Exchange rates to USD'!$L$2:$N$225,3,FALSE()),"")</f>
        <v>82.7001705805641</v>
      </c>
    </row>
    <row r="562" customFormat="false" ht="13.25" hidden="false" customHeight="true" outlineLevel="0" collapsed="false">
      <c r="A562" s="15" t="s">
        <v>2091</v>
      </c>
      <c r="B562" s="15" t="s">
        <v>2050</v>
      </c>
      <c r="C562" s="15" t="s">
        <v>75</v>
      </c>
      <c r="D562" s="15" t="s">
        <v>59</v>
      </c>
      <c r="E562" s="15" t="s">
        <v>233</v>
      </c>
      <c r="F562" s="15" t="s">
        <v>2092</v>
      </c>
      <c r="G562" s="15" t="s">
        <v>110</v>
      </c>
      <c r="J562" s="15" t="s">
        <v>2093</v>
      </c>
      <c r="K562" s="15" t="s">
        <v>2058</v>
      </c>
      <c r="M562" s="15" t="s">
        <v>93</v>
      </c>
      <c r="P562" s="15" t="s">
        <v>240</v>
      </c>
      <c r="Q562" s="17" t="n">
        <v>3.85</v>
      </c>
      <c r="R562" s="38" t="n">
        <f aca="false">IFERROR(Q562/VLOOKUP(P562,'Exchange rates to USD'!$L$2:$N$225,3,FALSE()),"")</f>
        <v>4.24527542313562</v>
      </c>
    </row>
    <row r="563" customFormat="false" ht="13.25" hidden="false" customHeight="true" outlineLevel="0" collapsed="false">
      <c r="A563" s="15" t="s">
        <v>2094</v>
      </c>
      <c r="B563" s="15" t="s">
        <v>2050</v>
      </c>
      <c r="C563" s="15" t="s">
        <v>58</v>
      </c>
      <c r="D563" s="15" t="s">
        <v>80</v>
      </c>
      <c r="E563" s="15" t="s">
        <v>149</v>
      </c>
      <c r="F563" s="15" t="s">
        <v>2095</v>
      </c>
      <c r="G563" s="15" t="s">
        <v>96</v>
      </c>
      <c r="H563" s="15" t="s">
        <v>97</v>
      </c>
      <c r="I563" s="15" t="s">
        <v>77</v>
      </c>
      <c r="J563" s="15" t="s">
        <v>2096</v>
      </c>
      <c r="K563" s="15" t="s">
        <v>2058</v>
      </c>
      <c r="M563" s="15" t="s">
        <v>93</v>
      </c>
      <c r="P563" s="15" t="s">
        <v>240</v>
      </c>
      <c r="Q563" s="17" t="n">
        <v>6.901</v>
      </c>
      <c r="R563" s="38" t="n">
        <f aca="false">IFERROR(Q563/VLOOKUP(P563,'Exchange rates to USD'!$L$2:$N$225,3,FALSE()),"")</f>
        <v>7.60951836235297</v>
      </c>
    </row>
    <row r="564" customFormat="false" ht="13.25" hidden="false" customHeight="true" outlineLevel="0" collapsed="false">
      <c r="A564" s="15" t="s">
        <v>2097</v>
      </c>
      <c r="B564" s="15" t="s">
        <v>2050</v>
      </c>
      <c r="C564" s="15" t="s">
        <v>249</v>
      </c>
      <c r="D564" s="15" t="s">
        <v>80</v>
      </c>
      <c r="E564" s="15" t="s">
        <v>149</v>
      </c>
      <c r="F564" s="15" t="s">
        <v>2098</v>
      </c>
      <c r="G564" s="15" t="s">
        <v>96</v>
      </c>
      <c r="J564" s="27" t="s">
        <v>2099</v>
      </c>
      <c r="K564" s="15" t="s">
        <v>2058</v>
      </c>
      <c r="M564" s="15" t="s">
        <v>93</v>
      </c>
      <c r="P564" s="15" t="s">
        <v>240</v>
      </c>
      <c r="Q564" s="17" t="n">
        <v>223</v>
      </c>
      <c r="R564" s="38" t="n">
        <f aca="false">IFERROR(Q564/VLOOKUP(P564,'Exchange rates to USD'!$L$2:$N$225,3,FALSE()),"")</f>
        <v>245.895173859544</v>
      </c>
    </row>
    <row r="565" customFormat="false" ht="13.25" hidden="false" customHeight="true" outlineLevel="0" collapsed="false">
      <c r="A565" s="15" t="s">
        <v>2100</v>
      </c>
      <c r="B565" s="15" t="s">
        <v>2050</v>
      </c>
      <c r="C565" s="15" t="s">
        <v>58</v>
      </c>
      <c r="D565" s="15" t="s">
        <v>80</v>
      </c>
      <c r="E565" s="15" t="s">
        <v>149</v>
      </c>
      <c r="F565" s="15" t="s">
        <v>2101</v>
      </c>
      <c r="G565" s="15" t="s">
        <v>96</v>
      </c>
      <c r="H565" s="15" t="s">
        <v>97</v>
      </c>
      <c r="J565" s="15" t="s">
        <v>2102</v>
      </c>
      <c r="K565" s="15" t="s">
        <v>2058</v>
      </c>
      <c r="M565" s="15" t="s">
        <v>93</v>
      </c>
      <c r="P565" s="15" t="s">
        <v>240</v>
      </c>
      <c r="Q565" s="17" t="n">
        <v>535</v>
      </c>
      <c r="R565" s="38" t="n">
        <f aca="false">IFERROR(Q565/VLOOKUP(P565,'Exchange rates to USD'!$L$2:$N$225,3,FALSE()),"")</f>
        <v>589.927883474691</v>
      </c>
    </row>
    <row r="566" customFormat="false" ht="13.25" hidden="false" customHeight="true" outlineLevel="0" collapsed="false">
      <c r="A566" s="15" t="s">
        <v>2103</v>
      </c>
      <c r="B566" s="15" t="s">
        <v>2050</v>
      </c>
      <c r="C566" s="15" t="s">
        <v>58</v>
      </c>
      <c r="D566" s="15" t="s">
        <v>80</v>
      </c>
      <c r="E566" s="15" t="s">
        <v>76</v>
      </c>
      <c r="F566" s="15" t="s">
        <v>2104</v>
      </c>
      <c r="G566" s="15" t="s">
        <v>96</v>
      </c>
      <c r="H566" s="15" t="s">
        <v>812</v>
      </c>
      <c r="J566" s="15" t="s">
        <v>2105</v>
      </c>
      <c r="K566" s="15" t="s">
        <v>2058</v>
      </c>
      <c r="M566" s="15" t="s">
        <v>93</v>
      </c>
      <c r="P566" s="15" t="s">
        <v>240</v>
      </c>
      <c r="Q566" s="17" t="n">
        <v>2</v>
      </c>
      <c r="R566" s="38" t="n">
        <f aca="false">IFERROR(Q566/VLOOKUP(P566,'Exchange rates to USD'!$L$2:$N$225,3,FALSE()),"")</f>
        <v>2.20533788214838</v>
      </c>
    </row>
    <row r="567" customFormat="false" ht="13.25" hidden="false" customHeight="true" outlineLevel="0" collapsed="false">
      <c r="A567" s="15" t="s">
        <v>2106</v>
      </c>
      <c r="B567" s="15" t="s">
        <v>2050</v>
      </c>
      <c r="C567" s="15" t="s">
        <v>75</v>
      </c>
      <c r="D567" s="15" t="s">
        <v>59</v>
      </c>
      <c r="E567" s="15" t="s">
        <v>149</v>
      </c>
      <c r="F567" s="15" t="s">
        <v>2077</v>
      </c>
      <c r="G567" s="15" t="s">
        <v>96</v>
      </c>
      <c r="J567" s="15" t="s">
        <v>2107</v>
      </c>
      <c r="K567" s="15" t="s">
        <v>2058</v>
      </c>
      <c r="M567" s="15" t="s">
        <v>93</v>
      </c>
      <c r="P567" s="15" t="s">
        <v>240</v>
      </c>
      <c r="Q567" s="17" t="n">
        <v>130</v>
      </c>
      <c r="R567" s="38" t="n">
        <f aca="false">IFERROR(Q567/VLOOKUP(P567,'Exchange rates to USD'!$L$2:$N$225,3,FALSE()),"")</f>
        <v>143.346962339644</v>
      </c>
    </row>
    <row r="568" customFormat="false" ht="13.25" hidden="false" customHeight="true" outlineLevel="0" collapsed="false">
      <c r="A568" s="15" t="s">
        <v>2108</v>
      </c>
      <c r="B568" s="15" t="s">
        <v>2050</v>
      </c>
      <c r="C568" s="15" t="s">
        <v>75</v>
      </c>
      <c r="D568" s="15" t="s">
        <v>59</v>
      </c>
      <c r="E568" s="15" t="s">
        <v>149</v>
      </c>
      <c r="F568" s="15" t="s">
        <v>2089</v>
      </c>
      <c r="G568" s="15" t="s">
        <v>96</v>
      </c>
      <c r="H568" s="15" t="s">
        <v>812</v>
      </c>
      <c r="J568" s="15" t="s">
        <v>2109</v>
      </c>
      <c r="K568" s="15" t="s">
        <v>2058</v>
      </c>
      <c r="M568" s="15" t="s">
        <v>93</v>
      </c>
      <c r="P568" s="15" t="s">
        <v>240</v>
      </c>
      <c r="Q568" s="17" t="n">
        <v>75</v>
      </c>
      <c r="R568" s="38" t="n">
        <f aca="false">IFERROR(Q568/VLOOKUP(P568,'Exchange rates to USD'!$L$2:$N$225,3,FALSE()),"")</f>
        <v>82.7001705805641</v>
      </c>
    </row>
    <row r="569" customFormat="false" ht="13.25" hidden="false" customHeight="true" outlineLevel="0" collapsed="false">
      <c r="A569" s="15" t="s">
        <v>2110</v>
      </c>
      <c r="B569" s="15" t="s">
        <v>2050</v>
      </c>
      <c r="C569" s="15" t="s">
        <v>75</v>
      </c>
      <c r="D569" s="15" t="s">
        <v>59</v>
      </c>
      <c r="E569" s="15" t="s">
        <v>95</v>
      </c>
      <c r="F569" s="15" t="s">
        <v>2111</v>
      </c>
      <c r="G569" s="15" t="s">
        <v>110</v>
      </c>
      <c r="H569" s="15" t="s">
        <v>158</v>
      </c>
      <c r="J569" s="15" t="s">
        <v>2112</v>
      </c>
      <c r="K569" s="15" t="s">
        <v>2058</v>
      </c>
      <c r="M569" s="15" t="s">
        <v>93</v>
      </c>
      <c r="P569" s="15" t="s">
        <v>240</v>
      </c>
      <c r="Q569" s="17" t="n">
        <v>13.06</v>
      </c>
      <c r="R569" s="38" t="n">
        <f aca="false">IFERROR(Q569/VLOOKUP(P569,'Exchange rates to USD'!$L$2:$N$225,3,FALSE()),"")</f>
        <v>14.4008563704289</v>
      </c>
    </row>
    <row r="570" customFormat="false" ht="13.25" hidden="false" customHeight="true" outlineLevel="0" collapsed="false">
      <c r="A570" s="15" t="s">
        <v>2113</v>
      </c>
      <c r="B570" s="15" t="s">
        <v>2050</v>
      </c>
      <c r="C570" s="15" t="s">
        <v>75</v>
      </c>
      <c r="D570" s="15" t="s">
        <v>59</v>
      </c>
      <c r="E570" s="15" t="s">
        <v>60</v>
      </c>
      <c r="G570" s="15" t="s">
        <v>110</v>
      </c>
      <c r="J570" s="15" t="s">
        <v>2114</v>
      </c>
      <c r="K570" s="15" t="s">
        <v>2058</v>
      </c>
      <c r="M570" s="15" t="s">
        <v>93</v>
      </c>
      <c r="N570" s="15" t="s">
        <v>2115</v>
      </c>
      <c r="P570" s="15" t="s">
        <v>240</v>
      </c>
      <c r="Q570" s="17" t="n">
        <v>19.82</v>
      </c>
      <c r="R570" s="38" t="n">
        <f aca="false">IFERROR(Q570/VLOOKUP(P570,'Exchange rates to USD'!$L$2:$N$225,3,FALSE()),"")</f>
        <v>21.8548984120904</v>
      </c>
    </row>
    <row r="571" customFormat="false" ht="13.25" hidden="false" customHeight="true" outlineLevel="0" collapsed="false">
      <c r="A571" s="15" t="s">
        <v>2116</v>
      </c>
      <c r="B571" s="15" t="s">
        <v>2050</v>
      </c>
      <c r="C571" s="15" t="s">
        <v>58</v>
      </c>
      <c r="D571" s="15" t="s">
        <v>59</v>
      </c>
      <c r="E571" s="15" t="s">
        <v>263</v>
      </c>
      <c r="F571" s="15" t="s">
        <v>2117</v>
      </c>
      <c r="G571" s="15" t="s">
        <v>77</v>
      </c>
      <c r="H571" s="15" t="s">
        <v>110</v>
      </c>
      <c r="J571" s="15" t="s">
        <v>2118</v>
      </c>
      <c r="K571" s="15" t="s">
        <v>2058</v>
      </c>
      <c r="M571" s="15" t="s">
        <v>93</v>
      </c>
      <c r="P571" s="15" t="s">
        <v>240</v>
      </c>
      <c r="Q571" s="17" t="n">
        <v>80</v>
      </c>
      <c r="R571" s="38" t="n">
        <f aca="false">IFERROR(Q571/VLOOKUP(P571,'Exchange rates to USD'!$L$2:$N$225,3,FALSE()),"")</f>
        <v>88.2135152859351</v>
      </c>
    </row>
    <row r="572" customFormat="false" ht="13.25" hidden="false" customHeight="true" outlineLevel="0" collapsed="false">
      <c r="A572" s="15" t="s">
        <v>2119</v>
      </c>
      <c r="B572" s="15" t="s">
        <v>2050</v>
      </c>
      <c r="C572" s="15" t="s">
        <v>58</v>
      </c>
      <c r="D572" s="15" t="s">
        <v>59</v>
      </c>
      <c r="E572" s="15" t="s">
        <v>76</v>
      </c>
      <c r="F572" s="15" t="s">
        <v>2120</v>
      </c>
      <c r="G572" s="15" t="s">
        <v>97</v>
      </c>
      <c r="H572" s="15" t="s">
        <v>77</v>
      </c>
      <c r="I572" s="15" t="s">
        <v>62</v>
      </c>
      <c r="J572" s="15" t="s">
        <v>2121</v>
      </c>
      <c r="K572" s="15" t="s">
        <v>2058</v>
      </c>
      <c r="M572" s="15" t="s">
        <v>70</v>
      </c>
      <c r="P572" s="15" t="s">
        <v>240</v>
      </c>
      <c r="Q572" s="17" t="n">
        <v>495</v>
      </c>
      <c r="R572" s="38" t="n">
        <f aca="false">IFERROR(Q572/VLOOKUP(P572,'Exchange rates to USD'!$L$2:$N$225,3,FALSE()),"")</f>
        <v>545.821125831723</v>
      </c>
    </row>
    <row r="573" customFormat="false" ht="13.25" hidden="false" customHeight="true" outlineLevel="0" collapsed="false">
      <c r="A573" s="15" t="s">
        <v>2122</v>
      </c>
      <c r="B573" s="15" t="s">
        <v>2050</v>
      </c>
      <c r="C573" s="15" t="s">
        <v>58</v>
      </c>
      <c r="D573" s="15" t="s">
        <v>59</v>
      </c>
      <c r="E573" s="15" t="s">
        <v>76</v>
      </c>
      <c r="F573" s="15" t="s">
        <v>2123</v>
      </c>
      <c r="G573" s="15" t="s">
        <v>97</v>
      </c>
      <c r="H573" s="15" t="s">
        <v>77</v>
      </c>
      <c r="I573" s="15" t="s">
        <v>96</v>
      </c>
      <c r="J573" s="15" t="s">
        <v>2124</v>
      </c>
      <c r="K573" s="15" t="s">
        <v>2058</v>
      </c>
      <c r="M573" s="15" t="s">
        <v>93</v>
      </c>
      <c r="P573" s="15" t="s">
        <v>240</v>
      </c>
      <c r="Q573" s="17" t="n">
        <v>74</v>
      </c>
      <c r="R573" s="38" t="n">
        <f aca="false">IFERROR(Q573/VLOOKUP(P573,'Exchange rates to USD'!$L$2:$N$225,3,FALSE()),"")</f>
        <v>81.5975016394899</v>
      </c>
    </row>
    <row r="574" customFormat="false" ht="13.25" hidden="false" customHeight="true" outlineLevel="0" collapsed="false">
      <c r="A574" s="15" t="s">
        <v>2125</v>
      </c>
      <c r="B574" s="15" t="s">
        <v>2050</v>
      </c>
      <c r="C574" s="15" t="s">
        <v>58</v>
      </c>
      <c r="D574" s="15" t="s">
        <v>59</v>
      </c>
      <c r="E574" s="15" t="s">
        <v>76</v>
      </c>
      <c r="F574" s="15" t="s">
        <v>2126</v>
      </c>
      <c r="G574" s="15" t="s">
        <v>97</v>
      </c>
      <c r="H574" s="15" t="s">
        <v>77</v>
      </c>
      <c r="I574" s="15" t="s">
        <v>96</v>
      </c>
      <c r="J574" s="15" t="s">
        <v>2127</v>
      </c>
      <c r="K574" s="15" t="s">
        <v>2058</v>
      </c>
      <c r="M574" s="15" t="s">
        <v>93</v>
      </c>
      <c r="P574" s="15" t="s">
        <v>240</v>
      </c>
      <c r="Q574" s="17" t="n">
        <v>231</v>
      </c>
      <c r="R574" s="38" t="n">
        <f aca="false">IFERROR(Q574/VLOOKUP(P574,'Exchange rates to USD'!$L$2:$N$225,3,FALSE()),"")</f>
        <v>254.716525388137</v>
      </c>
    </row>
    <row r="575" customFormat="false" ht="13.25" hidden="false" customHeight="true" outlineLevel="0" collapsed="false">
      <c r="A575" s="15" t="s">
        <v>2128</v>
      </c>
      <c r="B575" s="15" t="s">
        <v>2050</v>
      </c>
      <c r="C575" s="15" t="s">
        <v>58</v>
      </c>
      <c r="D575" s="15" t="s">
        <v>115</v>
      </c>
      <c r="E575" s="15" t="s">
        <v>76</v>
      </c>
      <c r="F575" s="15" t="s">
        <v>2129</v>
      </c>
      <c r="G575" s="15" t="s">
        <v>77</v>
      </c>
      <c r="J575" s="15" t="s">
        <v>2130</v>
      </c>
      <c r="K575" s="15" t="s">
        <v>2058</v>
      </c>
      <c r="M575" s="15" t="s">
        <v>93</v>
      </c>
      <c r="P575" s="15" t="s">
        <v>240</v>
      </c>
      <c r="Q575" s="17" t="n">
        <v>120</v>
      </c>
      <c r="R575" s="38" t="n">
        <f aca="false">IFERROR(Q575/VLOOKUP(P575,'Exchange rates to USD'!$L$2:$N$225,3,FALSE()),"")</f>
        <v>132.320272928903</v>
      </c>
    </row>
    <row r="576" customFormat="false" ht="13.25" hidden="false" customHeight="true" outlineLevel="0" collapsed="false">
      <c r="A576" s="15" t="s">
        <v>2131</v>
      </c>
      <c r="B576" s="15" t="s">
        <v>2050</v>
      </c>
      <c r="C576" s="15" t="s">
        <v>58</v>
      </c>
      <c r="D576" s="15" t="s">
        <v>115</v>
      </c>
      <c r="E576" s="15" t="s">
        <v>76</v>
      </c>
      <c r="F576" s="15" t="s">
        <v>2132</v>
      </c>
      <c r="G576" s="15" t="s">
        <v>77</v>
      </c>
      <c r="J576" s="15" t="s">
        <v>2133</v>
      </c>
      <c r="K576" s="15" t="s">
        <v>2058</v>
      </c>
      <c r="M576" s="15" t="s">
        <v>93</v>
      </c>
      <c r="P576" s="15" t="s">
        <v>240</v>
      </c>
      <c r="Q576" s="17" t="n">
        <v>100</v>
      </c>
      <c r="R576" s="38" t="n">
        <f aca="false">IFERROR(Q576/VLOOKUP(P576,'Exchange rates to USD'!$L$2:$N$225,3,FALSE()),"")</f>
        <v>110.266894107419</v>
      </c>
    </row>
    <row r="577" customFormat="false" ht="13.25" hidden="false" customHeight="true" outlineLevel="0" collapsed="false">
      <c r="A577" s="15" t="s">
        <v>2134</v>
      </c>
      <c r="B577" s="15" t="s">
        <v>2050</v>
      </c>
      <c r="C577" s="15" t="s">
        <v>58</v>
      </c>
      <c r="D577" s="15" t="s">
        <v>80</v>
      </c>
      <c r="E577" s="15" t="s">
        <v>263</v>
      </c>
      <c r="F577" s="15" t="s">
        <v>2135</v>
      </c>
      <c r="G577" s="15" t="s">
        <v>158</v>
      </c>
      <c r="H577" s="15" t="s">
        <v>77</v>
      </c>
      <c r="I577" s="15" t="s">
        <v>110</v>
      </c>
      <c r="J577" s="15" t="s">
        <v>2136</v>
      </c>
      <c r="K577" s="15" t="s">
        <v>2058</v>
      </c>
      <c r="M577" s="15" t="s">
        <v>93</v>
      </c>
      <c r="P577" s="15" t="s">
        <v>240</v>
      </c>
      <c r="Q577" s="17" t="n">
        <v>100</v>
      </c>
      <c r="R577" s="38" t="n">
        <f aca="false">IFERROR(Q577/VLOOKUP(P577,'Exchange rates to USD'!$L$2:$N$225,3,FALSE()),"")</f>
        <v>110.266894107419</v>
      </c>
    </row>
    <row r="578" customFormat="false" ht="13.25" hidden="false" customHeight="true" outlineLevel="0" collapsed="false">
      <c r="A578" s="15" t="s">
        <v>2137</v>
      </c>
      <c r="B578" s="15" t="s">
        <v>2050</v>
      </c>
      <c r="C578" s="15" t="s">
        <v>58</v>
      </c>
      <c r="D578" s="15" t="s">
        <v>115</v>
      </c>
      <c r="E578" s="15" t="s">
        <v>263</v>
      </c>
      <c r="F578" s="15" t="s">
        <v>2138</v>
      </c>
      <c r="G578" s="15" t="s">
        <v>158</v>
      </c>
      <c r="H578" s="15" t="s">
        <v>77</v>
      </c>
      <c r="I578" s="15" t="s">
        <v>110</v>
      </c>
      <c r="J578" s="15" t="s">
        <v>2139</v>
      </c>
      <c r="K578" s="15" t="s">
        <v>2058</v>
      </c>
      <c r="M578" s="15" t="s">
        <v>93</v>
      </c>
      <c r="P578" s="15" t="s">
        <v>240</v>
      </c>
      <c r="Q578" s="17" t="n">
        <v>250</v>
      </c>
      <c r="R578" s="38" t="n">
        <f aca="false">IFERROR(Q578/VLOOKUP(P578,'Exchange rates to USD'!$L$2:$N$225,3,FALSE()),"")</f>
        <v>275.667235268547</v>
      </c>
    </row>
    <row r="579" customFormat="false" ht="13.25" hidden="false" customHeight="true" outlineLevel="0" collapsed="false">
      <c r="A579" s="15" t="s">
        <v>2140</v>
      </c>
      <c r="B579" s="15" t="s">
        <v>2050</v>
      </c>
      <c r="C579" s="15" t="s">
        <v>58</v>
      </c>
      <c r="D579" s="15" t="s">
        <v>115</v>
      </c>
      <c r="E579" s="15" t="s">
        <v>263</v>
      </c>
      <c r="F579" s="15" t="s">
        <v>2138</v>
      </c>
      <c r="G579" s="15" t="s">
        <v>158</v>
      </c>
      <c r="H579" s="15" t="s">
        <v>77</v>
      </c>
      <c r="I579" s="15" t="s">
        <v>110</v>
      </c>
      <c r="J579" s="15" t="s">
        <v>2141</v>
      </c>
      <c r="K579" s="15" t="s">
        <v>2058</v>
      </c>
      <c r="M579" s="15" t="s">
        <v>93</v>
      </c>
      <c r="P579" s="15" t="s">
        <v>240</v>
      </c>
      <c r="Q579" s="17" t="n">
        <v>250</v>
      </c>
      <c r="R579" s="38" t="n">
        <f aca="false">IFERROR(Q579/VLOOKUP(P579,'Exchange rates to USD'!$L$2:$N$225,3,FALSE()),"")</f>
        <v>275.667235268547</v>
      </c>
    </row>
    <row r="580" customFormat="false" ht="13.25" hidden="false" customHeight="true" outlineLevel="0" collapsed="false">
      <c r="A580" s="55" t="s">
        <v>2142</v>
      </c>
      <c r="B580" s="55" t="s">
        <v>2050</v>
      </c>
      <c r="C580" s="55" t="s">
        <v>58</v>
      </c>
      <c r="D580" s="55" t="s">
        <v>115</v>
      </c>
      <c r="E580" s="55" t="s">
        <v>263</v>
      </c>
      <c r="F580" s="55" t="s">
        <v>2132</v>
      </c>
      <c r="G580" s="55" t="s">
        <v>158</v>
      </c>
      <c r="H580" s="55" t="s">
        <v>77</v>
      </c>
      <c r="I580" s="55" t="s">
        <v>97</v>
      </c>
      <c r="J580" s="55" t="s">
        <v>2143</v>
      </c>
      <c r="K580" s="55" t="s">
        <v>2058</v>
      </c>
      <c r="M580" s="55" t="s">
        <v>93</v>
      </c>
      <c r="N580" s="55"/>
      <c r="O580" s="56"/>
      <c r="P580" s="55" t="s">
        <v>240</v>
      </c>
      <c r="Q580" s="60" t="n">
        <v>100</v>
      </c>
      <c r="R580" s="58" t="n">
        <f aca="false">IFERROR(Q580/VLOOKUP(P580,'Exchange rates to USD'!$L$2:$N$225,3,FALSE()),"")</f>
        <v>110.266894107419</v>
      </c>
    </row>
    <row r="581" customFormat="false" ht="13.25" hidden="false" customHeight="true" outlineLevel="0" collapsed="false">
      <c r="A581" s="15" t="s">
        <v>2144</v>
      </c>
      <c r="B581" s="15" t="s">
        <v>2145</v>
      </c>
      <c r="C581" s="15" t="s">
        <v>58</v>
      </c>
      <c r="D581" s="15" t="s">
        <v>80</v>
      </c>
      <c r="E581" s="15" t="s">
        <v>76</v>
      </c>
      <c r="F581" s="15" t="s">
        <v>2146</v>
      </c>
      <c r="G581" s="15" t="s">
        <v>105</v>
      </c>
      <c r="J581" s="15" t="s">
        <v>2147</v>
      </c>
      <c r="K581" s="15" t="s">
        <v>2148</v>
      </c>
      <c r="M581" s="15" t="s">
        <v>113</v>
      </c>
      <c r="P581" s="15" t="s">
        <v>240</v>
      </c>
      <c r="Q581" s="17" t="n">
        <v>2097</v>
      </c>
      <c r="R581" s="38" t="n">
        <f aca="false">IFERROR(Q581/VLOOKUP(P581,'Exchange rates to USD'!$L$2:$N$225,3,FALSE()),"")</f>
        <v>2312.29676943257</v>
      </c>
    </row>
    <row r="582" customFormat="false" ht="13.25" hidden="false" customHeight="true" outlineLevel="0" collapsed="false">
      <c r="A582" s="15" t="s">
        <v>2149</v>
      </c>
      <c r="B582" s="15" t="s">
        <v>2145</v>
      </c>
      <c r="C582" s="15" t="s">
        <v>232</v>
      </c>
      <c r="D582" s="15" t="s">
        <v>80</v>
      </c>
      <c r="E582" s="15" t="s">
        <v>76</v>
      </c>
      <c r="F582" s="15" t="s">
        <v>2150</v>
      </c>
      <c r="G582" s="15" t="s">
        <v>96</v>
      </c>
      <c r="H582" s="15" t="s">
        <v>77</v>
      </c>
      <c r="I582" s="15" t="s">
        <v>110</v>
      </c>
      <c r="J582" s="27" t="s">
        <v>2151</v>
      </c>
      <c r="K582" s="27" t="s">
        <v>2152</v>
      </c>
      <c r="M582" s="15" t="s">
        <v>65</v>
      </c>
      <c r="N582" s="15" t="s">
        <v>2153</v>
      </c>
      <c r="O582" s="16" t="n">
        <v>44140</v>
      </c>
      <c r="R582" s="38" t="str">
        <f aca="false">IFERROR(Q582/VLOOKUP(P582,'Exchange rates to USD'!$L$2:$N$225,3,FALSE()),"")</f>
        <v/>
      </c>
    </row>
    <row r="583" customFormat="false" ht="13.25" hidden="false" customHeight="true" outlineLevel="0" collapsed="false">
      <c r="A583" s="15" t="s">
        <v>2154</v>
      </c>
      <c r="B583" s="15" t="s">
        <v>2145</v>
      </c>
      <c r="C583" s="15" t="s">
        <v>122</v>
      </c>
      <c r="D583" s="15" t="s">
        <v>80</v>
      </c>
      <c r="E583" s="15" t="s">
        <v>76</v>
      </c>
      <c r="F583" s="15" t="s">
        <v>2150</v>
      </c>
      <c r="G583" s="15" t="s">
        <v>110</v>
      </c>
      <c r="J583" s="27" t="s">
        <v>2155</v>
      </c>
      <c r="K583" s="15" t="s">
        <v>2156</v>
      </c>
      <c r="M583" s="15" t="s">
        <v>70</v>
      </c>
      <c r="R583" s="38" t="str">
        <f aca="false">IFERROR(Q583/VLOOKUP(P583,'Exchange rates to USD'!$L$2:$N$225,3,FALSE()),"")</f>
        <v/>
      </c>
    </row>
    <row r="584" customFormat="false" ht="13.25" hidden="false" customHeight="true" outlineLevel="0" collapsed="false">
      <c r="A584" s="15" t="s">
        <v>2157</v>
      </c>
      <c r="B584" s="15" t="s">
        <v>2145</v>
      </c>
      <c r="C584" s="15" t="s">
        <v>122</v>
      </c>
      <c r="D584" s="15" t="s">
        <v>80</v>
      </c>
      <c r="E584" s="15" t="s">
        <v>95</v>
      </c>
      <c r="F584" s="15" t="s">
        <v>2150</v>
      </c>
      <c r="G584" s="15" t="s">
        <v>62</v>
      </c>
      <c r="J584" s="27" t="s">
        <v>2158</v>
      </c>
      <c r="K584" s="15" t="s">
        <v>2156</v>
      </c>
      <c r="M584" s="15" t="s">
        <v>65</v>
      </c>
      <c r="R584" s="38" t="str">
        <f aca="false">IFERROR(Q584/VLOOKUP(P584,'Exchange rates to USD'!$L$2:$N$225,3,FALSE()),"")</f>
        <v/>
      </c>
    </row>
    <row r="585" customFormat="false" ht="13.25" hidden="false" customHeight="true" outlineLevel="0" collapsed="false">
      <c r="A585" s="15" t="s">
        <v>2159</v>
      </c>
      <c r="B585" s="15" t="s">
        <v>2145</v>
      </c>
      <c r="C585" s="15" t="s">
        <v>122</v>
      </c>
      <c r="D585" s="15" t="s">
        <v>59</v>
      </c>
      <c r="E585" s="15" t="s">
        <v>123</v>
      </c>
      <c r="F585" s="15" t="s">
        <v>2150</v>
      </c>
      <c r="G585" s="15" t="s">
        <v>96</v>
      </c>
      <c r="H585" s="15" t="s">
        <v>77</v>
      </c>
      <c r="I585" s="15" t="s">
        <v>105</v>
      </c>
      <c r="J585" s="27" t="s">
        <v>2160</v>
      </c>
      <c r="K585" s="15" t="s">
        <v>2156</v>
      </c>
      <c r="M585" s="15" t="s">
        <v>93</v>
      </c>
      <c r="R585" s="38" t="str">
        <f aca="false">IFERROR(Q585/VLOOKUP(P585,'Exchange rates to USD'!$L$2:$N$225,3,FALSE()),"")</f>
        <v/>
      </c>
    </row>
    <row r="586" customFormat="false" ht="13.25" hidden="false" customHeight="true" outlineLevel="0" collapsed="false">
      <c r="A586" s="15" t="s">
        <v>2161</v>
      </c>
      <c r="B586" s="15" t="s">
        <v>2145</v>
      </c>
      <c r="C586" s="15" t="s">
        <v>122</v>
      </c>
      <c r="D586" s="15" t="s">
        <v>115</v>
      </c>
      <c r="E586" s="15" t="s">
        <v>149</v>
      </c>
      <c r="F586" s="15" t="s">
        <v>2150</v>
      </c>
      <c r="G586" s="15" t="s">
        <v>96</v>
      </c>
      <c r="J586" s="15" t="s">
        <v>2162</v>
      </c>
      <c r="K586" s="27" t="s">
        <v>2163</v>
      </c>
      <c r="M586" s="15" t="s">
        <v>93</v>
      </c>
      <c r="N586" s="15" t="s">
        <v>2164</v>
      </c>
      <c r="O586" s="16" t="n">
        <v>44140</v>
      </c>
      <c r="R586" s="38" t="str">
        <f aca="false">IFERROR(Q586/VLOOKUP(P586,'Exchange rates to USD'!$L$2:$N$225,3,FALSE()),"")</f>
        <v/>
      </c>
    </row>
    <row r="587" customFormat="false" ht="13.25" hidden="false" customHeight="true" outlineLevel="0" collapsed="false">
      <c r="A587" s="15" t="s">
        <v>2165</v>
      </c>
      <c r="B587" s="15" t="s">
        <v>2145</v>
      </c>
      <c r="C587" s="15" t="s">
        <v>232</v>
      </c>
      <c r="D587" s="15" t="s">
        <v>59</v>
      </c>
      <c r="E587" s="15" t="s">
        <v>76</v>
      </c>
      <c r="F587" s="15" t="s">
        <v>2166</v>
      </c>
      <c r="G587" s="15" t="s">
        <v>110</v>
      </c>
      <c r="H587" s="15" t="s">
        <v>62</v>
      </c>
      <c r="J587" s="27" t="s">
        <v>2167</v>
      </c>
      <c r="K587" s="27" t="s">
        <v>2168</v>
      </c>
      <c r="M587" s="15" t="s">
        <v>93</v>
      </c>
      <c r="N587" s="15" t="s">
        <v>2169</v>
      </c>
      <c r="O587" s="16" t="n">
        <v>44140</v>
      </c>
      <c r="P587" s="15" t="s">
        <v>240</v>
      </c>
      <c r="Q587" s="17" t="n">
        <v>1850</v>
      </c>
      <c r="R587" s="38" t="n">
        <f aca="false">IFERROR(Q587/VLOOKUP(P587,'Exchange rates to USD'!$L$2:$N$225,3,FALSE()),"")</f>
        <v>2039.93754098725</v>
      </c>
    </row>
    <row r="588" customFormat="false" ht="13.25" hidden="false" customHeight="true" outlineLevel="0" collapsed="false">
      <c r="A588" s="15" t="s">
        <v>2170</v>
      </c>
      <c r="B588" s="15" t="s">
        <v>2145</v>
      </c>
      <c r="C588" s="15" t="s">
        <v>232</v>
      </c>
      <c r="D588" s="15" t="s">
        <v>59</v>
      </c>
      <c r="E588" s="15" t="s">
        <v>149</v>
      </c>
      <c r="F588" s="15" t="s">
        <v>2171</v>
      </c>
      <c r="G588" s="15" t="s">
        <v>96</v>
      </c>
      <c r="J588" s="27" t="s">
        <v>2172</v>
      </c>
      <c r="M588" s="15" t="s">
        <v>93</v>
      </c>
      <c r="O588" s="16" t="n">
        <v>44140</v>
      </c>
      <c r="P588" s="15" t="s">
        <v>240</v>
      </c>
      <c r="Q588" s="17" t="n">
        <v>216</v>
      </c>
      <c r="R588" s="38" t="n">
        <f aca="false">IFERROR(Q588/VLOOKUP(P588,'Exchange rates to USD'!$L$2:$N$225,3,FALSE()),"")</f>
        <v>238.176491272025</v>
      </c>
    </row>
    <row r="589" customFormat="false" ht="13.25" hidden="false" customHeight="true" outlineLevel="0" collapsed="false">
      <c r="A589" s="15" t="s">
        <v>2173</v>
      </c>
      <c r="B589" s="15" t="s">
        <v>2145</v>
      </c>
      <c r="C589" s="15" t="s">
        <v>232</v>
      </c>
      <c r="D589" s="15" t="s">
        <v>59</v>
      </c>
      <c r="E589" s="15" t="s">
        <v>76</v>
      </c>
      <c r="F589" s="15" t="s">
        <v>2174</v>
      </c>
      <c r="G589" s="15" t="s">
        <v>77</v>
      </c>
      <c r="J589" s="27" t="s">
        <v>2175</v>
      </c>
      <c r="M589" s="15" t="s">
        <v>93</v>
      </c>
      <c r="O589" s="16" t="n">
        <v>44140</v>
      </c>
      <c r="P589" s="15" t="s">
        <v>240</v>
      </c>
      <c r="Q589" s="17" t="n">
        <v>581</v>
      </c>
      <c r="R589" s="38" t="n">
        <f aca="false">IFERROR(Q589/VLOOKUP(P589,'Exchange rates to USD'!$L$2:$N$225,3,FALSE()),"")</f>
        <v>640.650654764103</v>
      </c>
    </row>
    <row r="590" customFormat="false" ht="13.25" hidden="false" customHeight="true" outlineLevel="0" collapsed="false">
      <c r="A590" s="15" t="s">
        <v>2176</v>
      </c>
      <c r="B590" s="35" t="s">
        <v>2145</v>
      </c>
      <c r="C590" s="35" t="s">
        <v>232</v>
      </c>
      <c r="D590" s="35" t="s">
        <v>59</v>
      </c>
      <c r="E590" s="35" t="s">
        <v>233</v>
      </c>
      <c r="F590" s="35" t="s">
        <v>2177</v>
      </c>
      <c r="G590" s="35" t="s">
        <v>62</v>
      </c>
      <c r="H590" s="35" t="s">
        <v>2178</v>
      </c>
      <c r="I590" s="35"/>
      <c r="J590" s="62" t="s">
        <v>2179</v>
      </c>
      <c r="K590" s="35"/>
      <c r="L590" s="35"/>
      <c r="M590" s="35" t="s">
        <v>113</v>
      </c>
      <c r="N590" s="35"/>
      <c r="O590" s="36" t="n">
        <v>44140</v>
      </c>
      <c r="P590" s="35" t="s">
        <v>240</v>
      </c>
      <c r="Q590" s="37" t="n">
        <v>9094</v>
      </c>
      <c r="R590" s="38" t="n">
        <f aca="false">IFERROR(Q590/VLOOKUP(P590,'Exchange rates to USD'!$L$2:$N$225,3,FALSE()),"")</f>
        <v>10027.6713501287</v>
      </c>
    </row>
    <row r="591" s="35" customFormat="true" ht="13.25" hidden="false" customHeight="true" outlineLevel="0" collapsed="false">
      <c r="A591" s="15" t="s">
        <v>2180</v>
      </c>
      <c r="B591" s="35" t="s">
        <v>2145</v>
      </c>
      <c r="C591" s="35" t="s">
        <v>232</v>
      </c>
      <c r="D591" s="35" t="s">
        <v>59</v>
      </c>
      <c r="E591" s="35" t="s">
        <v>76</v>
      </c>
      <c r="F591" s="15" t="s">
        <v>2181</v>
      </c>
      <c r="G591" s="35" t="s">
        <v>62</v>
      </c>
      <c r="I591" s="15"/>
      <c r="J591" s="15" t="s">
        <v>2182</v>
      </c>
      <c r="M591" s="35" t="s">
        <v>93</v>
      </c>
      <c r="O591" s="36" t="n">
        <v>44294</v>
      </c>
      <c r="P591" s="15" t="s">
        <v>240</v>
      </c>
      <c r="Q591" s="37"/>
      <c r="R591" s="38"/>
      <c r="U591" s="15"/>
      <c r="V591" s="15"/>
      <c r="W591" s="15"/>
    </row>
    <row r="592" s="35" customFormat="true" ht="13.25" hidden="false" customHeight="true" outlineLevel="0" collapsed="false">
      <c r="A592" s="15" t="s">
        <v>2183</v>
      </c>
      <c r="B592" s="35" t="s">
        <v>2145</v>
      </c>
      <c r="C592" s="35" t="s">
        <v>232</v>
      </c>
      <c r="D592" s="35" t="s">
        <v>59</v>
      </c>
      <c r="E592" s="35" t="s">
        <v>76</v>
      </c>
      <c r="F592" s="35" t="s">
        <v>2184</v>
      </c>
      <c r="G592" s="35" t="s">
        <v>62</v>
      </c>
      <c r="J592" s="35" t="s">
        <v>2185</v>
      </c>
      <c r="M592" s="35" t="s">
        <v>93</v>
      </c>
      <c r="O592" s="36" t="n">
        <v>44294</v>
      </c>
      <c r="P592" s="35" t="s">
        <v>240</v>
      </c>
      <c r="Q592" s="37" t="n">
        <v>700</v>
      </c>
      <c r="R592" s="38" t="n">
        <f aca="false">IFERROR(Q592/VLOOKUP(P592,'Exchange rates to USD'!$L$2:$N$225,3,FALSE()),"")</f>
        <v>771.868258751932</v>
      </c>
      <c r="U592" s="15"/>
      <c r="V592" s="15"/>
      <c r="W592" s="15"/>
    </row>
    <row r="593" s="35" customFormat="true" ht="13.25" hidden="false" customHeight="true" outlineLevel="0" collapsed="false">
      <c r="A593" s="15" t="s">
        <v>2186</v>
      </c>
      <c r="B593" s="35" t="s">
        <v>2145</v>
      </c>
      <c r="C593" s="35" t="s">
        <v>232</v>
      </c>
      <c r="D593" s="35" t="s">
        <v>59</v>
      </c>
      <c r="E593" s="35" t="s">
        <v>76</v>
      </c>
      <c r="F593" s="35" t="s">
        <v>2187</v>
      </c>
      <c r="G593" s="55" t="s">
        <v>158</v>
      </c>
      <c r="H593" s="35" t="s">
        <v>62</v>
      </c>
      <c r="J593" s="35" t="s">
        <v>2188</v>
      </c>
      <c r="M593" s="35" t="s">
        <v>93</v>
      </c>
      <c r="O593" s="36" t="n">
        <v>44294</v>
      </c>
      <c r="P593" s="15" t="s">
        <v>240</v>
      </c>
      <c r="Q593" s="37" t="n">
        <v>150</v>
      </c>
      <c r="R593" s="38" t="n">
        <f aca="false">IFERROR(Q593/VLOOKUP(P593,'Exchange rates to USD'!$L$2:$N$225,3,FALSE()),"")</f>
        <v>165.400341161128</v>
      </c>
      <c r="U593" s="15"/>
      <c r="V593" s="15"/>
      <c r="W593" s="15"/>
    </row>
    <row r="594" s="35" customFormat="true" ht="13.25" hidden="false" customHeight="true" outlineLevel="0" collapsed="false">
      <c r="A594" s="15" t="s">
        <v>2189</v>
      </c>
      <c r="B594" s="35" t="s">
        <v>2145</v>
      </c>
      <c r="C594" s="35" t="s">
        <v>232</v>
      </c>
      <c r="D594" s="35" t="s">
        <v>59</v>
      </c>
      <c r="E594" s="35" t="s">
        <v>76</v>
      </c>
      <c r="F594" s="35" t="s">
        <v>2190</v>
      </c>
      <c r="G594" s="35" t="s">
        <v>62</v>
      </c>
      <c r="H594" s="15" t="s">
        <v>110</v>
      </c>
      <c r="J594" s="62" t="s">
        <v>2191</v>
      </c>
      <c r="M594" s="35" t="s">
        <v>93</v>
      </c>
      <c r="O594" s="36" t="n">
        <v>44294</v>
      </c>
      <c r="P594" s="35" t="s">
        <v>240</v>
      </c>
      <c r="Q594" s="37" t="n">
        <v>300</v>
      </c>
      <c r="R594" s="38" t="n">
        <f aca="false">IFERROR(Q594/VLOOKUP(P594,'Exchange rates to USD'!$L$2:$N$225,3,FALSE()),"")</f>
        <v>330.800682322256</v>
      </c>
      <c r="U594" s="15"/>
      <c r="V594" s="15"/>
      <c r="W594" s="15"/>
    </row>
    <row r="595" s="35" customFormat="true" ht="13.25" hidden="false" customHeight="true" outlineLevel="0" collapsed="false">
      <c r="A595" s="15" t="s">
        <v>2192</v>
      </c>
      <c r="B595" s="35" t="s">
        <v>2145</v>
      </c>
      <c r="C595" s="35" t="s">
        <v>232</v>
      </c>
      <c r="D595" s="35" t="s">
        <v>59</v>
      </c>
      <c r="E595" s="35" t="s">
        <v>233</v>
      </c>
      <c r="F595" s="35" t="s">
        <v>2193</v>
      </c>
      <c r="G595" s="35" t="s">
        <v>62</v>
      </c>
      <c r="H595" s="15" t="s">
        <v>110</v>
      </c>
      <c r="J595" s="35" t="s">
        <v>2194</v>
      </c>
      <c r="M595" s="35" t="s">
        <v>93</v>
      </c>
      <c r="O595" s="36" t="n">
        <v>44294</v>
      </c>
      <c r="P595" s="15" t="s">
        <v>240</v>
      </c>
      <c r="Q595" s="37" t="n">
        <v>750</v>
      </c>
      <c r="R595" s="38" t="n">
        <f aca="false">IFERROR(Q595/VLOOKUP(P595,'Exchange rates to USD'!$L$2:$N$225,3,FALSE()),"")</f>
        <v>827.001705805641</v>
      </c>
      <c r="U595" s="15"/>
      <c r="V595" s="15"/>
      <c r="W595" s="15"/>
    </row>
    <row r="596" s="35" customFormat="true" ht="13.25" hidden="false" customHeight="true" outlineLevel="0" collapsed="false">
      <c r="A596" s="15" t="s">
        <v>2195</v>
      </c>
      <c r="B596" s="35" t="s">
        <v>2145</v>
      </c>
      <c r="C596" s="35" t="s">
        <v>232</v>
      </c>
      <c r="D596" s="35" t="s">
        <v>59</v>
      </c>
      <c r="E596" s="35" t="s">
        <v>76</v>
      </c>
      <c r="F596" s="35" t="s">
        <v>2196</v>
      </c>
      <c r="G596" s="35" t="s">
        <v>62</v>
      </c>
      <c r="H596" s="15" t="s">
        <v>110</v>
      </c>
      <c r="J596" s="35" t="s">
        <v>2197</v>
      </c>
      <c r="M596" s="35" t="s">
        <v>93</v>
      </c>
      <c r="O596" s="36" t="n">
        <v>44294</v>
      </c>
      <c r="P596" s="35" t="s">
        <v>240</v>
      </c>
      <c r="Q596" s="37" t="n">
        <v>220</v>
      </c>
      <c r="R596" s="38" t="n">
        <f aca="false">IFERROR(Q596/VLOOKUP(P596,'Exchange rates to USD'!$L$2:$N$225,3,FALSE()),"")</f>
        <v>242.587167036321</v>
      </c>
      <c r="U596" s="15"/>
      <c r="V596" s="15"/>
      <c r="W596" s="15"/>
    </row>
    <row r="597" customFormat="false" ht="13.25" hidden="false" customHeight="true" outlineLevel="0" collapsed="false">
      <c r="A597" s="150" t="s">
        <v>2198</v>
      </c>
      <c r="B597" s="150" t="s">
        <v>2199</v>
      </c>
      <c r="C597" s="150" t="s">
        <v>58</v>
      </c>
      <c r="D597" s="150" t="s">
        <v>80</v>
      </c>
      <c r="E597" s="150" t="s">
        <v>76</v>
      </c>
      <c r="F597" s="150" t="s">
        <v>2200</v>
      </c>
      <c r="G597" s="150"/>
      <c r="H597" s="150"/>
      <c r="I597" s="150"/>
      <c r="J597" s="150" t="s">
        <v>2201</v>
      </c>
      <c r="K597" s="150" t="s">
        <v>2202</v>
      </c>
      <c r="L597" s="150" t="s">
        <v>2203</v>
      </c>
      <c r="M597" s="150" t="s">
        <v>70</v>
      </c>
      <c r="N597" s="150" t="s">
        <v>2204</v>
      </c>
      <c r="O597" s="151" t="n">
        <v>44179</v>
      </c>
      <c r="P597" s="150" t="s">
        <v>240</v>
      </c>
      <c r="Q597" s="150" t="n">
        <v>2305</v>
      </c>
      <c r="R597" s="152" t="n">
        <f aca="false">IFERROR(Q597/VLOOKUP(P597,'[1]Exchange rates to USD'!$L$2:$N$225,3,FALSE()),"")</f>
        <v>2541.651909176</v>
      </c>
    </row>
    <row r="598" customFormat="false" ht="13.25" hidden="false" customHeight="true" outlineLevel="0" collapsed="false">
      <c r="A598" s="15" t="s">
        <v>2205</v>
      </c>
      <c r="B598" s="15" t="s">
        <v>2206</v>
      </c>
      <c r="C598" s="15" t="s">
        <v>122</v>
      </c>
      <c r="D598" s="15" t="s">
        <v>59</v>
      </c>
      <c r="E598" s="15" t="s">
        <v>123</v>
      </c>
      <c r="G598" s="15" t="s">
        <v>62</v>
      </c>
      <c r="H598" s="15" t="s">
        <v>110</v>
      </c>
      <c r="I598" s="15" t="s">
        <v>96</v>
      </c>
      <c r="J598" s="15" t="s">
        <v>2207</v>
      </c>
      <c r="K598" s="27" t="s">
        <v>2208</v>
      </c>
      <c r="M598" s="15" t="s">
        <v>70</v>
      </c>
      <c r="R598" s="38" t="str">
        <f aca="false">IFERROR(Q598/VLOOKUP(P598,'Exchange rates to USD'!$L$2:$N$225,3,FALSE()),"")</f>
        <v/>
      </c>
    </row>
    <row r="599" customFormat="false" ht="13.25" hidden="false" customHeight="true" outlineLevel="0" collapsed="false">
      <c r="A599" s="15" t="s">
        <v>2209</v>
      </c>
      <c r="B599" s="15" t="s">
        <v>2206</v>
      </c>
      <c r="C599" s="15" t="s">
        <v>176</v>
      </c>
      <c r="D599" s="15" t="s">
        <v>59</v>
      </c>
      <c r="E599" s="15" t="s">
        <v>76</v>
      </c>
      <c r="G599" s="15" t="s">
        <v>96</v>
      </c>
      <c r="H599" s="15" t="s">
        <v>812</v>
      </c>
      <c r="J599" s="15" t="s">
        <v>2210</v>
      </c>
      <c r="K599" s="15" t="s">
        <v>2211</v>
      </c>
      <c r="L599" s="15" t="s">
        <v>2212</v>
      </c>
      <c r="M599" s="15" t="s">
        <v>70</v>
      </c>
      <c r="R599" s="38" t="str">
        <f aca="false">IFERROR(Q599/VLOOKUP(P599,'Exchange rates to USD'!$L$2:$N$225,3,FALSE()),"")</f>
        <v/>
      </c>
    </row>
    <row r="600" customFormat="false" ht="13.25" hidden="false" customHeight="true" outlineLevel="0" collapsed="false">
      <c r="A600" s="15" t="s">
        <v>2213</v>
      </c>
      <c r="B600" s="15" t="s">
        <v>2206</v>
      </c>
      <c r="C600" s="15" t="s">
        <v>58</v>
      </c>
      <c r="D600" s="15" t="s">
        <v>59</v>
      </c>
      <c r="E600" s="15" t="s">
        <v>76</v>
      </c>
      <c r="G600" s="15" t="s">
        <v>77</v>
      </c>
      <c r="H600" s="15" t="s">
        <v>105</v>
      </c>
      <c r="J600" s="15" t="s">
        <v>2214</v>
      </c>
      <c r="K600" s="15" t="s">
        <v>2215</v>
      </c>
      <c r="M600" s="15" t="s">
        <v>70</v>
      </c>
      <c r="R600" s="38" t="str">
        <f aca="false">IFERROR(Q600/VLOOKUP(P600,'Exchange rates to USD'!$L$2:$N$225,3,FALSE()),"")</f>
        <v/>
      </c>
    </row>
    <row r="601" customFormat="false" ht="13.25" hidden="false" customHeight="true" outlineLevel="0" collapsed="false">
      <c r="A601" s="15" t="s">
        <v>2216</v>
      </c>
      <c r="B601" s="15" t="s">
        <v>2206</v>
      </c>
      <c r="C601" s="15" t="s">
        <v>75</v>
      </c>
      <c r="D601" s="15" t="s">
        <v>59</v>
      </c>
      <c r="E601" s="15" t="s">
        <v>95</v>
      </c>
      <c r="G601" s="15" t="s">
        <v>62</v>
      </c>
      <c r="H601" s="15" t="s">
        <v>110</v>
      </c>
      <c r="I601" s="15" t="s">
        <v>105</v>
      </c>
      <c r="J601" s="27" t="s">
        <v>2217</v>
      </c>
      <c r="K601" s="15" t="s">
        <v>2218</v>
      </c>
      <c r="M601" s="15" t="s">
        <v>70</v>
      </c>
      <c r="R601" s="38" t="str">
        <f aca="false">IFERROR(Q601/VLOOKUP(P601,'Exchange rates to USD'!$L$2:$N$225,3,FALSE()),"")</f>
        <v/>
      </c>
    </row>
    <row r="602" customFormat="false" ht="13.25" hidden="false" customHeight="true" outlineLevel="0" collapsed="false">
      <c r="A602" s="15" t="s">
        <v>2219</v>
      </c>
      <c r="B602" s="15" t="s">
        <v>2206</v>
      </c>
      <c r="C602" s="15" t="s">
        <v>122</v>
      </c>
      <c r="D602" s="15" t="s">
        <v>59</v>
      </c>
      <c r="E602" s="15" t="s">
        <v>76</v>
      </c>
      <c r="G602" s="15" t="s">
        <v>77</v>
      </c>
      <c r="H602" s="15" t="s">
        <v>62</v>
      </c>
      <c r="J602" s="15" t="s">
        <v>2220</v>
      </c>
      <c r="K602" s="15" t="s">
        <v>2221</v>
      </c>
      <c r="M602" s="15" t="s">
        <v>70</v>
      </c>
      <c r="R602" s="38" t="str">
        <f aca="false">IFERROR(Q602/VLOOKUP(P602,'Exchange rates to USD'!$L$2:$N$225,3,FALSE()),"")</f>
        <v/>
      </c>
    </row>
    <row r="603" customFormat="false" ht="13.25" hidden="false" customHeight="true" outlineLevel="0" collapsed="false">
      <c r="A603" s="15" t="s">
        <v>2222</v>
      </c>
      <c r="B603" s="15" t="s">
        <v>2206</v>
      </c>
      <c r="C603" s="15" t="s">
        <v>75</v>
      </c>
      <c r="D603" s="15" t="s">
        <v>59</v>
      </c>
      <c r="E603" s="15" t="s">
        <v>95</v>
      </c>
      <c r="G603" s="15" t="s">
        <v>110</v>
      </c>
      <c r="H603" s="15" t="s">
        <v>62</v>
      </c>
      <c r="I603" s="15" t="s">
        <v>105</v>
      </c>
      <c r="J603" s="15" t="s">
        <v>2223</v>
      </c>
      <c r="K603" s="15" t="s">
        <v>2224</v>
      </c>
      <c r="M603" s="15" t="s">
        <v>70</v>
      </c>
      <c r="R603" s="38" t="str">
        <f aca="false">IFERROR(Q603/VLOOKUP(P603,'Exchange rates to USD'!$L$2:$N$225,3,FALSE()),"")</f>
        <v/>
      </c>
    </row>
    <row r="604" customFormat="false" ht="13.25" hidden="false" customHeight="true" outlineLevel="0" collapsed="false">
      <c r="A604" s="15" t="s">
        <v>2225</v>
      </c>
      <c r="B604" s="15" t="s">
        <v>2206</v>
      </c>
      <c r="C604" s="15" t="s">
        <v>122</v>
      </c>
      <c r="D604" s="15" t="s">
        <v>59</v>
      </c>
      <c r="E604" s="15" t="s">
        <v>76</v>
      </c>
      <c r="G604" s="15" t="s">
        <v>96</v>
      </c>
      <c r="H604" s="15" t="s">
        <v>105</v>
      </c>
      <c r="J604" s="15" t="s">
        <v>2226</v>
      </c>
      <c r="K604" s="15" t="s">
        <v>2227</v>
      </c>
      <c r="M604" s="15" t="s">
        <v>70</v>
      </c>
      <c r="R604" s="38" t="str">
        <f aca="false">IFERROR(Q604/VLOOKUP(P604,'Exchange rates to USD'!$L$2:$N$225,3,FALSE()),"")</f>
        <v/>
      </c>
    </row>
    <row r="605" customFormat="false" ht="13.25" hidden="false" customHeight="true" outlineLevel="0" collapsed="false">
      <c r="A605" s="15" t="s">
        <v>2228</v>
      </c>
      <c r="B605" s="15" t="s">
        <v>2206</v>
      </c>
      <c r="C605" s="15" t="s">
        <v>122</v>
      </c>
      <c r="D605" s="15" t="s">
        <v>108</v>
      </c>
      <c r="E605" s="15" t="s">
        <v>76</v>
      </c>
      <c r="G605" s="15" t="s">
        <v>62</v>
      </c>
      <c r="H605" s="15" t="s">
        <v>77</v>
      </c>
      <c r="I605" s="15" t="s">
        <v>96</v>
      </c>
      <c r="J605" s="15" t="s">
        <v>2229</v>
      </c>
      <c r="K605" s="15" t="s">
        <v>2230</v>
      </c>
      <c r="M605" s="15" t="s">
        <v>70</v>
      </c>
      <c r="R605" s="38" t="str">
        <f aca="false">IFERROR(Q605/VLOOKUP(P605,'Exchange rates to USD'!$L$2:$N$225,3,FALSE()),"")</f>
        <v/>
      </c>
    </row>
    <row r="606" customFormat="false" ht="13.25" hidden="false" customHeight="true" outlineLevel="0" collapsed="false">
      <c r="A606" s="15" t="s">
        <v>2231</v>
      </c>
      <c r="B606" s="15" t="s">
        <v>2206</v>
      </c>
      <c r="C606" s="15" t="s">
        <v>122</v>
      </c>
      <c r="D606" s="15" t="s">
        <v>80</v>
      </c>
      <c r="E606" s="15" t="s">
        <v>76</v>
      </c>
      <c r="G606" s="15" t="s">
        <v>77</v>
      </c>
      <c r="H606" s="15" t="s">
        <v>105</v>
      </c>
      <c r="J606" s="15" t="s">
        <v>2232</v>
      </c>
      <c r="K606" s="15" t="s">
        <v>2233</v>
      </c>
      <c r="M606" s="15" t="s">
        <v>93</v>
      </c>
      <c r="R606" s="38" t="str">
        <f aca="false">IFERROR(Q606/VLOOKUP(P606,'Exchange rates to USD'!$L$2:$N$225,3,FALSE()),"")</f>
        <v/>
      </c>
    </row>
    <row r="607" customFormat="false" ht="13.25" hidden="false" customHeight="true" outlineLevel="0" collapsed="false">
      <c r="A607" s="15" t="s">
        <v>2234</v>
      </c>
      <c r="B607" s="15" t="s">
        <v>2206</v>
      </c>
      <c r="C607" s="15" t="s">
        <v>122</v>
      </c>
      <c r="D607" s="15" t="s">
        <v>59</v>
      </c>
      <c r="E607" s="15" t="s">
        <v>95</v>
      </c>
      <c r="G607" s="15" t="s">
        <v>110</v>
      </c>
      <c r="H607" s="15" t="s">
        <v>105</v>
      </c>
      <c r="J607" s="15" t="s">
        <v>2235</v>
      </c>
      <c r="K607" s="15" t="s">
        <v>2236</v>
      </c>
      <c r="M607" s="15" t="s">
        <v>93</v>
      </c>
      <c r="R607" s="38" t="str">
        <f aca="false">IFERROR(Q607/VLOOKUP(P607,'Exchange rates to USD'!$L$2:$N$225,3,FALSE()),"")</f>
        <v/>
      </c>
    </row>
    <row r="608" customFormat="false" ht="13.25" hidden="false" customHeight="true" outlineLevel="0" collapsed="false">
      <c r="A608" s="15" t="s">
        <v>2237</v>
      </c>
      <c r="B608" s="15" t="s">
        <v>2206</v>
      </c>
      <c r="C608" s="15" t="s">
        <v>58</v>
      </c>
      <c r="D608" s="15" t="s">
        <v>59</v>
      </c>
      <c r="E608" s="15" t="s">
        <v>233</v>
      </c>
      <c r="F608" s="15" t="s">
        <v>2238</v>
      </c>
      <c r="G608" s="15" t="s">
        <v>62</v>
      </c>
      <c r="H608" s="15" t="s">
        <v>110</v>
      </c>
      <c r="I608" s="15" t="s">
        <v>105</v>
      </c>
      <c r="J608" s="15" t="s">
        <v>2239</v>
      </c>
      <c r="K608" s="15" t="s">
        <v>2240</v>
      </c>
      <c r="M608" s="15" t="s">
        <v>93</v>
      </c>
      <c r="P608" s="15" t="s">
        <v>240</v>
      </c>
      <c r="Q608" s="17" t="n">
        <v>100</v>
      </c>
      <c r="R608" s="38" t="n">
        <f aca="false">IFERROR(Q608/VLOOKUP(P608,'Exchange rates to USD'!$L$2:$N$225,3,FALSE()),"")</f>
        <v>110.266894107419</v>
      </c>
    </row>
    <row r="609" customFormat="false" ht="13.25" hidden="false" customHeight="true" outlineLevel="0" collapsed="false">
      <c r="A609" s="15" t="s">
        <v>2241</v>
      </c>
      <c r="B609" s="15" t="s">
        <v>2206</v>
      </c>
      <c r="C609" s="15" t="s">
        <v>122</v>
      </c>
      <c r="D609" s="15" t="s">
        <v>80</v>
      </c>
      <c r="E609" s="15" t="s">
        <v>76</v>
      </c>
      <c r="G609" s="15" t="s">
        <v>62</v>
      </c>
      <c r="H609" s="15" t="s">
        <v>105</v>
      </c>
      <c r="J609" s="15" t="s">
        <v>2242</v>
      </c>
      <c r="K609" s="15" t="s">
        <v>2243</v>
      </c>
      <c r="M609" s="15" t="s">
        <v>93</v>
      </c>
      <c r="R609" s="38" t="str">
        <f aca="false">IFERROR(Q609/VLOOKUP(P609,'Exchange rates to USD'!$L$2:$N$225,3,FALSE()),"")</f>
        <v/>
      </c>
    </row>
    <row r="610" customFormat="false" ht="13.25" hidden="false" customHeight="true" outlineLevel="0" collapsed="false">
      <c r="A610" s="15" t="s">
        <v>2244</v>
      </c>
      <c r="B610" s="15" t="s">
        <v>2206</v>
      </c>
      <c r="C610" s="15" t="s">
        <v>122</v>
      </c>
      <c r="D610" s="15" t="s">
        <v>59</v>
      </c>
      <c r="E610" s="15" t="s">
        <v>233</v>
      </c>
      <c r="G610" s="15" t="s">
        <v>110</v>
      </c>
      <c r="H610" s="15" t="s">
        <v>105</v>
      </c>
      <c r="J610" s="15" t="s">
        <v>2245</v>
      </c>
      <c r="K610" s="15" t="s">
        <v>2246</v>
      </c>
      <c r="M610" s="15" t="s">
        <v>70</v>
      </c>
      <c r="R610" s="38" t="str">
        <f aca="false">IFERROR(Q610/VLOOKUP(P610,'Exchange rates to USD'!$L$2:$N$225,3,FALSE()),"")</f>
        <v/>
      </c>
    </row>
    <row r="611" customFormat="false" ht="13.25" hidden="false" customHeight="true" outlineLevel="0" collapsed="false">
      <c r="A611" s="15" t="s">
        <v>2247</v>
      </c>
      <c r="B611" s="15" t="s">
        <v>2206</v>
      </c>
      <c r="C611" s="15" t="s">
        <v>58</v>
      </c>
      <c r="D611" s="15" t="s">
        <v>59</v>
      </c>
      <c r="E611" s="15" t="s">
        <v>95</v>
      </c>
      <c r="G611" s="15" t="s">
        <v>62</v>
      </c>
      <c r="H611" s="15" t="s">
        <v>105</v>
      </c>
      <c r="J611" s="27" t="s">
        <v>2248</v>
      </c>
      <c r="K611" s="15" t="s">
        <v>2249</v>
      </c>
      <c r="L611" s="15" t="s">
        <v>2250</v>
      </c>
      <c r="M611" s="15" t="s">
        <v>70</v>
      </c>
      <c r="R611" s="38" t="str">
        <f aca="false">IFERROR(Q611/VLOOKUP(P611,'Exchange rates to USD'!$L$2:$N$225,3,FALSE()),"")</f>
        <v/>
      </c>
    </row>
    <row r="612" customFormat="false" ht="13.25" hidden="false" customHeight="true" outlineLevel="0" collapsed="false">
      <c r="A612" s="15" t="s">
        <v>2251</v>
      </c>
      <c r="B612" s="15" t="s">
        <v>2206</v>
      </c>
      <c r="C612" s="15" t="s">
        <v>58</v>
      </c>
      <c r="D612" s="15" t="s">
        <v>108</v>
      </c>
      <c r="E612" s="15" t="s">
        <v>95</v>
      </c>
      <c r="F612" s="15" t="s">
        <v>2252</v>
      </c>
      <c r="G612" s="15" t="s">
        <v>62</v>
      </c>
      <c r="H612" s="15" t="s">
        <v>105</v>
      </c>
      <c r="J612" s="27" t="s">
        <v>2253</v>
      </c>
      <c r="K612" s="15" t="s">
        <v>2254</v>
      </c>
      <c r="L612" s="15" t="s">
        <v>2255</v>
      </c>
      <c r="M612" s="15" t="s">
        <v>93</v>
      </c>
      <c r="O612" s="16" t="n">
        <v>44084</v>
      </c>
      <c r="P612" s="15" t="s">
        <v>240</v>
      </c>
      <c r="Q612" s="17" t="n">
        <v>316</v>
      </c>
      <c r="R612" s="38" t="n">
        <f aca="false">IFERROR(Q612/VLOOKUP(P612,'Exchange rates to USD'!$L$2:$N$225,3,FALSE()),"")</f>
        <v>348.443385379443</v>
      </c>
    </row>
    <row r="613" customFormat="false" ht="13.25" hidden="false" customHeight="true" outlineLevel="0" collapsed="false">
      <c r="A613" s="15" t="s">
        <v>2256</v>
      </c>
      <c r="B613" s="15" t="s">
        <v>2206</v>
      </c>
      <c r="C613" s="15" t="s">
        <v>176</v>
      </c>
      <c r="D613" s="15" t="s">
        <v>80</v>
      </c>
      <c r="E613" s="15" t="s">
        <v>76</v>
      </c>
      <c r="F613" s="15" t="s">
        <v>2257</v>
      </c>
      <c r="G613" s="15" t="s">
        <v>77</v>
      </c>
      <c r="H613" s="15" t="s">
        <v>105</v>
      </c>
      <c r="J613" s="15" t="s">
        <v>2258</v>
      </c>
      <c r="K613" s="15" t="s">
        <v>2259</v>
      </c>
      <c r="M613" s="15" t="s">
        <v>93</v>
      </c>
      <c r="O613" s="16" t="n">
        <v>44126</v>
      </c>
      <c r="P613" s="15" t="s">
        <v>240</v>
      </c>
      <c r="Q613" s="17" t="n">
        <v>10.7</v>
      </c>
      <c r="R613" s="38" t="n">
        <f aca="false">IFERROR(Q613/VLOOKUP(P613,'Exchange rates to USD'!$L$2:$N$225,3,FALSE()),"")</f>
        <v>11.7985576694938</v>
      </c>
    </row>
    <row r="614" customFormat="false" ht="13.25" hidden="false" customHeight="true" outlineLevel="0" collapsed="false">
      <c r="A614" s="15" t="s">
        <v>2260</v>
      </c>
      <c r="B614" s="15" t="s">
        <v>2206</v>
      </c>
      <c r="C614" s="15" t="s">
        <v>58</v>
      </c>
      <c r="D614" s="15" t="s">
        <v>59</v>
      </c>
      <c r="E614" s="15" t="s">
        <v>123</v>
      </c>
      <c r="F614" s="15" t="s">
        <v>2261</v>
      </c>
      <c r="G614" s="15" t="s">
        <v>77</v>
      </c>
      <c r="H614" s="15" t="s">
        <v>105</v>
      </c>
      <c r="J614" s="15" t="s">
        <v>2262</v>
      </c>
      <c r="K614" s="15" t="s">
        <v>2263</v>
      </c>
      <c r="M614" s="15" t="s">
        <v>93</v>
      </c>
      <c r="N614" s="15" t="s">
        <v>2264</v>
      </c>
      <c r="O614" s="16" t="n">
        <v>44126</v>
      </c>
      <c r="P614" s="15" t="s">
        <v>240</v>
      </c>
      <c r="Q614" s="17" t="n">
        <v>4.3</v>
      </c>
      <c r="R614" s="38" t="n">
        <f aca="false">IFERROR(Q614/VLOOKUP(P614,'Exchange rates to USD'!$L$2:$N$225,3,FALSE()),"")</f>
        <v>4.74147644661901</v>
      </c>
    </row>
    <row r="615" customFormat="false" ht="13.25" hidden="false" customHeight="true" outlineLevel="0" collapsed="false">
      <c r="A615" s="15" t="s">
        <v>2265</v>
      </c>
      <c r="B615" s="15" t="s">
        <v>2206</v>
      </c>
      <c r="C615" s="15" t="s">
        <v>58</v>
      </c>
      <c r="D615" s="15" t="s">
        <v>59</v>
      </c>
      <c r="E615" s="15" t="s">
        <v>95</v>
      </c>
      <c r="F615" s="15" t="s">
        <v>2266</v>
      </c>
      <c r="G615" s="15" t="s">
        <v>62</v>
      </c>
      <c r="H615" s="15" t="s">
        <v>110</v>
      </c>
      <c r="J615" s="15" t="s">
        <v>2267</v>
      </c>
      <c r="K615" s="27" t="s">
        <v>2268</v>
      </c>
      <c r="M615" s="15" t="s">
        <v>2269</v>
      </c>
      <c r="O615" s="16" t="n">
        <v>44150</v>
      </c>
      <c r="P615" s="15" t="s">
        <v>643</v>
      </c>
      <c r="Q615" s="17" t="n">
        <v>7400</v>
      </c>
      <c r="R615" s="38" t="n">
        <f aca="false">IFERROR(Q615/VLOOKUP(P615,'Exchange rates to USD'!$L$2:$N$225,3,FALSE()),"")</f>
        <v>7400</v>
      </c>
    </row>
    <row r="616" customFormat="false" ht="13.25" hidden="false" customHeight="true" outlineLevel="0" collapsed="false">
      <c r="A616" s="15" t="s">
        <v>2270</v>
      </c>
      <c r="B616" s="15" t="s">
        <v>2206</v>
      </c>
      <c r="C616" s="15" t="s">
        <v>58</v>
      </c>
      <c r="D616" s="15" t="s">
        <v>59</v>
      </c>
      <c r="E616" s="15" t="s">
        <v>233</v>
      </c>
      <c r="F616" s="15" t="s">
        <v>2271</v>
      </c>
      <c r="G616" s="15" t="s">
        <v>62</v>
      </c>
      <c r="H616" s="15" t="s">
        <v>110</v>
      </c>
      <c r="J616" s="15" t="s">
        <v>2272</v>
      </c>
      <c r="K616" s="27" t="s">
        <v>2273</v>
      </c>
      <c r="L616" s="15" t="s">
        <v>2274</v>
      </c>
      <c r="M616" s="15" t="s">
        <v>70</v>
      </c>
      <c r="O616" s="16" t="n">
        <v>44150</v>
      </c>
      <c r="P616" s="15" t="s">
        <v>643</v>
      </c>
      <c r="Q616" s="17" t="n">
        <v>881</v>
      </c>
      <c r="R616" s="38" t="n">
        <f aca="false">IFERROR(Q616/VLOOKUP(P616,'Exchange rates to USD'!$L$2:$N$225,3,FALSE()),"")</f>
        <v>881</v>
      </c>
    </row>
    <row r="617" customFormat="false" ht="13.25" hidden="false" customHeight="true" outlineLevel="0" collapsed="false">
      <c r="A617" s="15" t="s">
        <v>2275</v>
      </c>
      <c r="B617" s="15" t="s">
        <v>2206</v>
      </c>
      <c r="C617" s="15" t="s">
        <v>58</v>
      </c>
      <c r="D617" s="15" t="s">
        <v>59</v>
      </c>
      <c r="E617" s="15" t="s">
        <v>233</v>
      </c>
      <c r="F617" s="15" t="s">
        <v>2276</v>
      </c>
      <c r="G617" s="15" t="s">
        <v>62</v>
      </c>
      <c r="H617" s="15" t="s">
        <v>110</v>
      </c>
      <c r="J617" s="15" t="s">
        <v>2277</v>
      </c>
      <c r="K617" s="27" t="s">
        <v>2278</v>
      </c>
      <c r="M617" s="15" t="s">
        <v>70</v>
      </c>
      <c r="O617" s="16" t="n">
        <v>44150</v>
      </c>
      <c r="P617" s="15" t="s">
        <v>643</v>
      </c>
      <c r="Q617" s="17" t="n">
        <v>303</v>
      </c>
      <c r="R617" s="38" t="n">
        <f aca="false">IFERROR(Q617/VLOOKUP(P617,'Exchange rates to USD'!$L$2:$N$225,3,FALSE()),"")</f>
        <v>303</v>
      </c>
    </row>
    <row r="618" customFormat="false" ht="13.25" hidden="false" customHeight="true" outlineLevel="0" collapsed="false">
      <c r="A618" s="15" t="s">
        <v>2279</v>
      </c>
      <c r="B618" s="15" t="s">
        <v>2206</v>
      </c>
      <c r="C618" s="15" t="s">
        <v>58</v>
      </c>
      <c r="D618" s="15" t="s">
        <v>59</v>
      </c>
      <c r="E618" s="15" t="s">
        <v>60</v>
      </c>
      <c r="F618" s="15" t="s">
        <v>2280</v>
      </c>
      <c r="G618" s="15" t="s">
        <v>62</v>
      </c>
      <c r="J618" s="15" t="s">
        <v>2281</v>
      </c>
      <c r="M618" s="15" t="s">
        <v>65</v>
      </c>
      <c r="O618" s="16" t="n">
        <v>44150</v>
      </c>
      <c r="P618" s="15" t="s">
        <v>643</v>
      </c>
      <c r="Q618" s="17" t="n">
        <v>1110</v>
      </c>
      <c r="R618" s="38" t="n">
        <f aca="false">IFERROR(Q618/VLOOKUP(P618,'Exchange rates to USD'!$L$2:$N$225,3,FALSE()),"")</f>
        <v>1110</v>
      </c>
    </row>
    <row r="619" customFormat="false" ht="13.25" hidden="false" customHeight="true" outlineLevel="0" collapsed="false">
      <c r="A619" s="15" t="s">
        <v>2282</v>
      </c>
      <c r="B619" s="15" t="s">
        <v>2206</v>
      </c>
      <c r="C619" s="15" t="s">
        <v>58</v>
      </c>
      <c r="D619" s="15" t="s">
        <v>59</v>
      </c>
      <c r="E619" s="15" t="s">
        <v>2283</v>
      </c>
      <c r="F619" s="15" t="s">
        <v>2284</v>
      </c>
      <c r="G619" s="15" t="s">
        <v>62</v>
      </c>
      <c r="J619" s="27" t="s">
        <v>2285</v>
      </c>
      <c r="K619" s="15" t="s">
        <v>2286</v>
      </c>
      <c r="M619" s="15" t="s">
        <v>93</v>
      </c>
      <c r="O619" s="16" t="n">
        <v>44151</v>
      </c>
      <c r="P619" s="15" t="s">
        <v>643</v>
      </c>
      <c r="Q619" s="17" t="n">
        <v>330.3</v>
      </c>
      <c r="R619" s="38" t="n">
        <f aca="false">IFERROR(Q619/VLOOKUP(P619,'Exchange rates to USD'!$L$2:$N$225,3,FALSE()),"")</f>
        <v>330.3</v>
      </c>
    </row>
    <row r="620" customFormat="false" ht="13.25" hidden="false" customHeight="true" outlineLevel="0" collapsed="false">
      <c r="A620" s="55" t="s">
        <v>2287</v>
      </c>
      <c r="B620" s="55" t="s">
        <v>2206</v>
      </c>
      <c r="C620" s="15" t="s">
        <v>75</v>
      </c>
      <c r="D620" s="55" t="s">
        <v>59</v>
      </c>
      <c r="E620" s="55" t="s">
        <v>95</v>
      </c>
      <c r="F620" s="55" t="s">
        <v>2288</v>
      </c>
      <c r="G620" s="55" t="s">
        <v>62</v>
      </c>
      <c r="H620" s="55"/>
      <c r="I620" s="55"/>
      <c r="J620" s="55" t="s">
        <v>2289</v>
      </c>
      <c r="K620" s="66" t="s">
        <v>2290</v>
      </c>
      <c r="L620" s="55"/>
      <c r="M620" s="55" t="s">
        <v>93</v>
      </c>
      <c r="N620" s="55"/>
      <c r="O620" s="56" t="n">
        <v>44152</v>
      </c>
      <c r="P620" s="55" t="s">
        <v>643</v>
      </c>
      <c r="Q620" s="60" t="n">
        <v>271</v>
      </c>
      <c r="R620" s="58" t="n">
        <f aca="false">IFERROR(Q620/VLOOKUP(P620,'Exchange rates to USD'!$L$2:$N$225,3,FALSE()),"")</f>
        <v>271</v>
      </c>
    </row>
    <row r="621" customFormat="false" ht="13.25" hidden="false" customHeight="true" outlineLevel="0" collapsed="false">
      <c r="A621" s="15" t="s">
        <v>2291</v>
      </c>
      <c r="B621" s="15" t="s">
        <v>2292</v>
      </c>
      <c r="C621" s="15" t="s">
        <v>58</v>
      </c>
      <c r="D621" s="15" t="s">
        <v>59</v>
      </c>
      <c r="E621" s="15" t="s">
        <v>60</v>
      </c>
      <c r="F621" s="15" t="s">
        <v>2293</v>
      </c>
      <c r="G621" s="15" t="s">
        <v>62</v>
      </c>
      <c r="J621" s="15" t="s">
        <v>2294</v>
      </c>
      <c r="K621" s="15" t="s">
        <v>2295</v>
      </c>
      <c r="M621" s="15" t="s">
        <v>65</v>
      </c>
      <c r="N621" s="15" t="s">
        <v>2296</v>
      </c>
      <c r="O621" s="16" t="s">
        <v>1039</v>
      </c>
      <c r="P621" s="15" t="s">
        <v>2297</v>
      </c>
      <c r="Q621" s="17" t="n">
        <v>5000</v>
      </c>
      <c r="R621" s="38" t="n">
        <f aca="false">IFERROR(Q621/VLOOKUP(P621,'Exchange rates to USD'!$L$2:$N$225,3,FALSE()),"")</f>
        <v>517.542608413246</v>
      </c>
    </row>
    <row r="622" customFormat="false" ht="13.25" hidden="false" customHeight="true" outlineLevel="0" collapsed="false">
      <c r="A622" s="15" t="s">
        <v>2298</v>
      </c>
      <c r="B622" s="15" t="s">
        <v>2292</v>
      </c>
      <c r="C622" s="15" t="s">
        <v>176</v>
      </c>
      <c r="D622" s="15" t="s">
        <v>59</v>
      </c>
      <c r="E622" s="15" t="s">
        <v>263</v>
      </c>
      <c r="F622" s="15" t="s">
        <v>2299</v>
      </c>
      <c r="G622" s="15" t="s">
        <v>62</v>
      </c>
      <c r="H622" s="15" t="s">
        <v>77</v>
      </c>
      <c r="I622" s="15" t="s">
        <v>105</v>
      </c>
      <c r="J622" s="15" t="s">
        <v>2300</v>
      </c>
      <c r="K622" s="15" t="s">
        <v>2301</v>
      </c>
      <c r="M622" s="15" t="s">
        <v>93</v>
      </c>
      <c r="O622" s="16" t="s">
        <v>1039</v>
      </c>
      <c r="P622" s="15" t="s">
        <v>2297</v>
      </c>
      <c r="Q622" s="17" t="n">
        <v>150</v>
      </c>
      <c r="R622" s="38" t="n">
        <f aca="false">IFERROR(Q622/VLOOKUP(P622,'Exchange rates to USD'!$L$2:$N$225,3,FALSE()),"")</f>
        <v>15.5262782523974</v>
      </c>
    </row>
    <row r="623" customFormat="false" ht="13.25" hidden="false" customHeight="true" outlineLevel="0" collapsed="false">
      <c r="A623" s="15" t="s">
        <v>2302</v>
      </c>
      <c r="B623" s="15" t="s">
        <v>2292</v>
      </c>
      <c r="C623" s="15" t="s">
        <v>122</v>
      </c>
      <c r="D623" s="15" t="s">
        <v>59</v>
      </c>
      <c r="E623" s="15" t="s">
        <v>90</v>
      </c>
      <c r="J623" s="15" t="s">
        <v>2303</v>
      </c>
      <c r="K623" s="15" t="s">
        <v>2304</v>
      </c>
      <c r="M623" s="15" t="s">
        <v>70</v>
      </c>
      <c r="O623" s="16" t="s">
        <v>1039</v>
      </c>
      <c r="R623" s="38" t="str">
        <f aca="false">IFERROR(Q623/VLOOKUP(P623,'Exchange rates to USD'!$L$2:$N$225,3,FALSE()),"")</f>
        <v/>
      </c>
    </row>
    <row r="624" customFormat="false" ht="13.25" hidden="false" customHeight="true" outlineLevel="0" collapsed="false">
      <c r="A624" s="15" t="s">
        <v>2305</v>
      </c>
      <c r="B624" s="15" t="s">
        <v>2292</v>
      </c>
      <c r="C624" s="15" t="s">
        <v>58</v>
      </c>
      <c r="D624" s="15" t="s">
        <v>59</v>
      </c>
      <c r="E624" s="15" t="s">
        <v>95</v>
      </c>
      <c r="G624" s="15" t="s">
        <v>62</v>
      </c>
      <c r="H624" s="15" t="s">
        <v>110</v>
      </c>
      <c r="J624" s="15" t="s">
        <v>2306</v>
      </c>
      <c r="K624" s="15" t="s">
        <v>2307</v>
      </c>
      <c r="M624" s="15" t="s">
        <v>93</v>
      </c>
      <c r="O624" s="16" t="s">
        <v>1039</v>
      </c>
      <c r="R624" s="38" t="str">
        <f aca="false">IFERROR(Q624/VLOOKUP(P624,'Exchange rates to USD'!$L$2:$N$225,3,FALSE()),"")</f>
        <v/>
      </c>
    </row>
    <row r="625" customFormat="false" ht="13.25" hidden="false" customHeight="true" outlineLevel="0" collapsed="false">
      <c r="A625" s="15" t="s">
        <v>2308</v>
      </c>
      <c r="B625" s="15" t="s">
        <v>2292</v>
      </c>
      <c r="C625" s="15" t="s">
        <v>249</v>
      </c>
      <c r="D625" s="15" t="s">
        <v>59</v>
      </c>
      <c r="E625" s="15" t="s">
        <v>95</v>
      </c>
      <c r="F625" s="15" t="s">
        <v>2309</v>
      </c>
      <c r="G625" s="15" t="s">
        <v>62</v>
      </c>
      <c r="H625" s="15" t="s">
        <v>110</v>
      </c>
      <c r="J625" s="15" t="s">
        <v>2310</v>
      </c>
      <c r="K625" s="15" t="s">
        <v>2307</v>
      </c>
      <c r="M625" s="15" t="s">
        <v>93</v>
      </c>
      <c r="O625" s="16" t="s">
        <v>1039</v>
      </c>
      <c r="P625" s="15" t="s">
        <v>2297</v>
      </c>
      <c r="Q625" s="17" t="n">
        <v>120</v>
      </c>
      <c r="R625" s="38" t="n">
        <f aca="false">IFERROR(Q625/VLOOKUP(P625,'Exchange rates to USD'!$L$2:$N$225,3,FALSE()),"")</f>
        <v>12.4210226019179</v>
      </c>
    </row>
    <row r="626" customFormat="false" ht="13.25" hidden="false" customHeight="true" outlineLevel="0" collapsed="false">
      <c r="A626" s="15" t="s">
        <v>2311</v>
      </c>
      <c r="B626" s="15" t="s">
        <v>2292</v>
      </c>
      <c r="C626" s="59" t="s">
        <v>232</v>
      </c>
      <c r="D626" s="15" t="s">
        <v>59</v>
      </c>
      <c r="E626" s="15" t="s">
        <v>116</v>
      </c>
      <c r="F626" s="15" t="s">
        <v>2312</v>
      </c>
      <c r="G626" s="15" t="s">
        <v>62</v>
      </c>
      <c r="H626" s="15" t="s">
        <v>110</v>
      </c>
      <c r="J626" s="15" t="s">
        <v>2313</v>
      </c>
      <c r="K626" s="15" t="s">
        <v>2314</v>
      </c>
      <c r="M626" s="15" t="s">
        <v>93</v>
      </c>
      <c r="O626" s="16" t="s">
        <v>1039</v>
      </c>
      <c r="P626" s="15" t="s">
        <v>2297</v>
      </c>
      <c r="Q626" s="17" t="n">
        <v>900</v>
      </c>
      <c r="R626" s="38" t="n">
        <f aca="false">IFERROR(Q626/VLOOKUP(P626,'Exchange rates to USD'!$L$2:$N$225,3,FALSE()),"")</f>
        <v>93.1576695143843</v>
      </c>
    </row>
    <row r="627" customFormat="false" ht="13.25" hidden="false" customHeight="true" outlineLevel="0" collapsed="false">
      <c r="A627" s="15" t="s">
        <v>2315</v>
      </c>
      <c r="B627" s="15" t="s">
        <v>2292</v>
      </c>
      <c r="C627" s="59" t="s">
        <v>232</v>
      </c>
      <c r="D627" s="15" t="s">
        <v>59</v>
      </c>
      <c r="E627" s="15" t="s">
        <v>116</v>
      </c>
      <c r="F627" s="15" t="s">
        <v>2316</v>
      </c>
      <c r="G627" s="15" t="s">
        <v>62</v>
      </c>
      <c r="H627" s="15" t="s">
        <v>110</v>
      </c>
      <c r="J627" s="15" t="s">
        <v>2317</v>
      </c>
      <c r="K627" s="15" t="s">
        <v>2314</v>
      </c>
      <c r="M627" s="15" t="s">
        <v>70</v>
      </c>
      <c r="O627" s="16" t="s">
        <v>1039</v>
      </c>
      <c r="P627" s="15" t="s">
        <v>2297</v>
      </c>
      <c r="Q627" s="17" t="n">
        <v>1100</v>
      </c>
      <c r="R627" s="38" t="n">
        <f aca="false">IFERROR(Q627/VLOOKUP(P627,'Exchange rates to USD'!$L$2:$N$225,3,FALSE()),"")</f>
        <v>113.859373850914</v>
      </c>
    </row>
    <row r="628" customFormat="false" ht="13.25" hidden="false" customHeight="true" outlineLevel="0" collapsed="false">
      <c r="A628" s="15" t="s">
        <v>2318</v>
      </c>
      <c r="B628" s="15" t="s">
        <v>2292</v>
      </c>
      <c r="C628" s="59" t="s">
        <v>232</v>
      </c>
      <c r="D628" s="15" t="s">
        <v>59</v>
      </c>
      <c r="E628" s="15" t="s">
        <v>233</v>
      </c>
      <c r="F628" s="15" t="s">
        <v>2319</v>
      </c>
      <c r="G628" s="15" t="s">
        <v>62</v>
      </c>
      <c r="H628" s="15" t="s">
        <v>110</v>
      </c>
      <c r="J628" s="15" t="s">
        <v>2320</v>
      </c>
      <c r="K628" s="15" t="s">
        <v>2314</v>
      </c>
      <c r="M628" s="15" t="s">
        <v>93</v>
      </c>
      <c r="O628" s="16" t="s">
        <v>1039</v>
      </c>
      <c r="P628" s="15" t="s">
        <v>2297</v>
      </c>
      <c r="Q628" s="17" t="n">
        <v>1220</v>
      </c>
      <c r="R628" s="38" t="n">
        <f aca="false">IFERROR(Q628/VLOOKUP(P628,'Exchange rates to USD'!$L$2:$N$225,3,FALSE()),"")</f>
        <v>126.280396452832</v>
      </c>
    </row>
    <row r="629" customFormat="false" ht="13.25" hidden="false" customHeight="true" outlineLevel="0" collapsed="false">
      <c r="A629" s="15" t="s">
        <v>2321</v>
      </c>
      <c r="B629" s="15" t="s">
        <v>2292</v>
      </c>
      <c r="C629" s="59" t="s">
        <v>232</v>
      </c>
      <c r="D629" s="15" t="s">
        <v>59</v>
      </c>
      <c r="E629" s="15" t="s">
        <v>233</v>
      </c>
      <c r="F629" s="15" t="s">
        <v>2322</v>
      </c>
      <c r="G629" s="15" t="s">
        <v>62</v>
      </c>
      <c r="H629" s="15" t="s">
        <v>110</v>
      </c>
      <c r="J629" s="15" t="s">
        <v>2323</v>
      </c>
      <c r="K629" s="15" t="s">
        <v>2314</v>
      </c>
      <c r="M629" s="15" t="s">
        <v>93</v>
      </c>
      <c r="O629" s="16" t="s">
        <v>1039</v>
      </c>
      <c r="P629" s="15" t="s">
        <v>2297</v>
      </c>
      <c r="Q629" s="17" t="n">
        <v>150</v>
      </c>
      <c r="R629" s="38" t="n">
        <f aca="false">IFERROR(Q629/VLOOKUP(P629,'Exchange rates to USD'!$L$2:$N$225,3,FALSE()),"")</f>
        <v>15.5262782523974</v>
      </c>
    </row>
    <row r="630" customFormat="false" ht="13.25" hidden="false" customHeight="true" outlineLevel="0" collapsed="false">
      <c r="A630" s="15" t="s">
        <v>2324</v>
      </c>
      <c r="B630" s="15" t="s">
        <v>2292</v>
      </c>
      <c r="C630" s="59" t="s">
        <v>232</v>
      </c>
      <c r="F630" s="15" t="s">
        <v>2325</v>
      </c>
      <c r="G630" s="15" t="s">
        <v>62</v>
      </c>
      <c r="H630" s="15" t="s">
        <v>110</v>
      </c>
      <c r="J630" s="15" t="s">
        <v>2326</v>
      </c>
      <c r="K630" s="15" t="s">
        <v>2314</v>
      </c>
      <c r="M630" s="15" t="s">
        <v>93</v>
      </c>
      <c r="O630" s="16" t="s">
        <v>1039</v>
      </c>
      <c r="P630" s="15" t="s">
        <v>2297</v>
      </c>
      <c r="Q630" s="17" t="n">
        <v>330</v>
      </c>
      <c r="R630" s="38" t="n">
        <f aca="false">IFERROR(Q630/VLOOKUP(P630,'Exchange rates to USD'!$L$2:$N$225,3,FALSE()),"")</f>
        <v>34.1578121552742</v>
      </c>
    </row>
    <row r="631" customFormat="false" ht="13.25" hidden="false" customHeight="true" outlineLevel="0" collapsed="false">
      <c r="A631" s="15" t="s">
        <v>2327</v>
      </c>
      <c r="B631" s="15" t="s">
        <v>2292</v>
      </c>
      <c r="C631" s="59" t="s">
        <v>232</v>
      </c>
      <c r="D631" s="15" t="s">
        <v>115</v>
      </c>
      <c r="F631" s="15" t="s">
        <v>2322</v>
      </c>
      <c r="G631" s="15" t="s">
        <v>62</v>
      </c>
      <c r="H631" s="15" t="s">
        <v>110</v>
      </c>
      <c r="J631" s="15" t="s">
        <v>2328</v>
      </c>
      <c r="K631" s="15" t="s">
        <v>2314</v>
      </c>
      <c r="M631" s="15" t="s">
        <v>93</v>
      </c>
      <c r="O631" s="16" t="s">
        <v>1039</v>
      </c>
      <c r="P631" s="15" t="s">
        <v>2297</v>
      </c>
      <c r="Q631" s="17" t="n">
        <v>150</v>
      </c>
      <c r="R631" s="38" t="n">
        <f aca="false">IFERROR(Q631/VLOOKUP(P631,'Exchange rates to USD'!$L$2:$N$225,3,FALSE()),"")</f>
        <v>15.5262782523974</v>
      </c>
    </row>
    <row r="632" customFormat="false" ht="13.25" hidden="false" customHeight="true" outlineLevel="0" collapsed="false">
      <c r="A632" s="15" t="s">
        <v>2329</v>
      </c>
      <c r="B632" s="15" t="s">
        <v>2292</v>
      </c>
      <c r="C632" s="59" t="s">
        <v>232</v>
      </c>
      <c r="D632" s="15" t="s">
        <v>59</v>
      </c>
      <c r="E632" s="15" t="s">
        <v>233</v>
      </c>
      <c r="F632" s="15" t="s">
        <v>2330</v>
      </c>
      <c r="G632" s="15" t="s">
        <v>62</v>
      </c>
      <c r="H632" s="15" t="s">
        <v>110</v>
      </c>
      <c r="J632" s="15" t="s">
        <v>2331</v>
      </c>
      <c r="K632" s="15" t="s">
        <v>2314</v>
      </c>
      <c r="M632" s="15" t="s">
        <v>93</v>
      </c>
      <c r="O632" s="16" t="s">
        <v>1039</v>
      </c>
      <c r="P632" s="15" t="s">
        <v>2297</v>
      </c>
      <c r="Q632" s="17" t="n">
        <v>500</v>
      </c>
      <c r="R632" s="38" t="n">
        <f aca="false">IFERROR(Q632/VLOOKUP(P632,'Exchange rates to USD'!$L$2:$N$225,3,FALSE()),"")</f>
        <v>51.7542608413246</v>
      </c>
    </row>
    <row r="633" customFormat="false" ht="13.25" hidden="false" customHeight="true" outlineLevel="0" collapsed="false">
      <c r="A633" s="15" t="s">
        <v>2332</v>
      </c>
      <c r="B633" s="15" t="s">
        <v>2292</v>
      </c>
      <c r="C633" s="59" t="s">
        <v>232</v>
      </c>
      <c r="D633" s="15" t="s">
        <v>59</v>
      </c>
      <c r="E633" s="15" t="s">
        <v>233</v>
      </c>
      <c r="F633" s="15" t="s">
        <v>2333</v>
      </c>
      <c r="G633" s="15" t="s">
        <v>62</v>
      </c>
      <c r="H633" s="15" t="s">
        <v>110</v>
      </c>
      <c r="J633" s="15" t="s">
        <v>2334</v>
      </c>
      <c r="K633" s="15" t="s">
        <v>2314</v>
      </c>
      <c r="M633" s="15" t="s">
        <v>93</v>
      </c>
      <c r="O633" s="16" t="s">
        <v>1039</v>
      </c>
      <c r="P633" s="15" t="s">
        <v>2297</v>
      </c>
      <c r="Q633" s="17" t="n">
        <v>2000</v>
      </c>
      <c r="R633" s="38" t="n">
        <f aca="false">IFERROR(Q633/VLOOKUP(P633,'Exchange rates to USD'!$L$2:$N$225,3,FALSE()),"")</f>
        <v>207.017043365298</v>
      </c>
    </row>
    <row r="634" customFormat="false" ht="13.25" hidden="false" customHeight="true" outlineLevel="0" collapsed="false">
      <c r="A634" s="15" t="s">
        <v>2335</v>
      </c>
      <c r="B634" s="15" t="s">
        <v>2292</v>
      </c>
      <c r="C634" s="59" t="s">
        <v>232</v>
      </c>
      <c r="D634" s="15" t="s">
        <v>59</v>
      </c>
      <c r="E634" s="15" t="s">
        <v>233</v>
      </c>
      <c r="F634" s="15" t="s">
        <v>2330</v>
      </c>
      <c r="G634" s="15" t="s">
        <v>62</v>
      </c>
      <c r="H634" s="15" t="s">
        <v>110</v>
      </c>
      <c r="J634" s="15" t="s">
        <v>2336</v>
      </c>
      <c r="K634" s="15" t="s">
        <v>2314</v>
      </c>
      <c r="M634" s="15" t="s">
        <v>93</v>
      </c>
      <c r="O634" s="16" t="s">
        <v>1039</v>
      </c>
      <c r="P634" s="15" t="s">
        <v>2297</v>
      </c>
      <c r="Q634" s="17" t="n">
        <v>500</v>
      </c>
      <c r="R634" s="38" t="n">
        <f aca="false">IFERROR(Q634/VLOOKUP(P634,'Exchange rates to USD'!$L$2:$N$225,3,FALSE()),"")</f>
        <v>51.7542608413246</v>
      </c>
    </row>
    <row r="635" customFormat="false" ht="13.25" hidden="false" customHeight="true" outlineLevel="0" collapsed="false">
      <c r="A635" s="15" t="s">
        <v>2337</v>
      </c>
      <c r="B635" s="15" t="s">
        <v>2292</v>
      </c>
      <c r="C635" s="59" t="s">
        <v>232</v>
      </c>
      <c r="D635" s="15" t="s">
        <v>115</v>
      </c>
      <c r="F635" s="15" t="s">
        <v>2338</v>
      </c>
      <c r="G635" s="15" t="s">
        <v>77</v>
      </c>
      <c r="H635" s="15" t="s">
        <v>62</v>
      </c>
      <c r="J635" s="15" t="s">
        <v>2339</v>
      </c>
      <c r="K635" s="15" t="s">
        <v>2314</v>
      </c>
      <c r="M635" s="15" t="s">
        <v>93</v>
      </c>
      <c r="O635" s="16" t="s">
        <v>1039</v>
      </c>
      <c r="P635" s="15" t="s">
        <v>2297</v>
      </c>
      <c r="Q635" s="17" t="n">
        <v>1590</v>
      </c>
      <c r="R635" s="38" t="n">
        <f aca="false">IFERROR(Q635/VLOOKUP(P635,'Exchange rates to USD'!$L$2:$N$225,3,FALSE()),"")</f>
        <v>164.578549475412</v>
      </c>
    </row>
    <row r="636" customFormat="false" ht="13.25" hidden="false" customHeight="true" outlineLevel="0" collapsed="false">
      <c r="A636" s="15" t="s">
        <v>2340</v>
      </c>
      <c r="B636" s="15" t="s">
        <v>2292</v>
      </c>
      <c r="C636" s="59" t="s">
        <v>232</v>
      </c>
      <c r="D636" s="15" t="s">
        <v>80</v>
      </c>
      <c r="F636" s="15" t="s">
        <v>2341</v>
      </c>
      <c r="G636" s="15" t="s">
        <v>62</v>
      </c>
      <c r="H636" s="15" t="s">
        <v>110</v>
      </c>
      <c r="J636" s="15" t="s">
        <v>2342</v>
      </c>
      <c r="K636" s="15" t="s">
        <v>2314</v>
      </c>
      <c r="M636" s="15" t="s">
        <v>93</v>
      </c>
      <c r="O636" s="16" t="s">
        <v>1039</v>
      </c>
      <c r="P636" s="15" t="s">
        <v>2297</v>
      </c>
      <c r="Q636" s="17" t="n">
        <v>1880</v>
      </c>
      <c r="R636" s="38" t="n">
        <f aca="false">IFERROR(Q636/VLOOKUP(P636,'Exchange rates to USD'!$L$2:$N$225,3,FALSE()),"")</f>
        <v>194.596020763381</v>
      </c>
    </row>
    <row r="637" customFormat="false" ht="13.25" hidden="false" customHeight="true" outlineLevel="0" collapsed="false">
      <c r="A637" s="15" t="s">
        <v>2343</v>
      </c>
      <c r="B637" s="15" t="s">
        <v>2292</v>
      </c>
      <c r="C637" s="59" t="s">
        <v>232</v>
      </c>
      <c r="D637" s="15" t="s">
        <v>59</v>
      </c>
      <c r="E637" s="15" t="s">
        <v>263</v>
      </c>
      <c r="F637" s="15" t="s">
        <v>2344</v>
      </c>
      <c r="G637" s="15" t="s">
        <v>77</v>
      </c>
      <c r="H637" s="15" t="s">
        <v>158</v>
      </c>
      <c r="J637" s="15" t="s">
        <v>2345</v>
      </c>
      <c r="K637" s="15" t="s">
        <v>2314</v>
      </c>
      <c r="M637" s="15" t="s">
        <v>93</v>
      </c>
      <c r="O637" s="16" t="s">
        <v>1039</v>
      </c>
      <c r="P637" s="15" t="s">
        <v>2297</v>
      </c>
      <c r="Q637" s="17" t="n">
        <v>600</v>
      </c>
      <c r="R637" s="38" t="n">
        <f aca="false">IFERROR(Q637/VLOOKUP(P637,'Exchange rates to USD'!$L$2:$N$225,3,FALSE()),"")</f>
        <v>62.1051130095895</v>
      </c>
    </row>
    <row r="638" customFormat="false" ht="13.25" hidden="false" customHeight="true" outlineLevel="0" collapsed="false">
      <c r="A638" s="15" t="s">
        <v>2346</v>
      </c>
      <c r="B638" s="15" t="s">
        <v>2292</v>
      </c>
      <c r="C638" s="15" t="s">
        <v>75</v>
      </c>
      <c r="D638" s="15" t="s">
        <v>59</v>
      </c>
      <c r="E638" s="15" t="s">
        <v>76</v>
      </c>
      <c r="F638" s="15" t="s">
        <v>2347</v>
      </c>
      <c r="G638" s="15" t="s">
        <v>110</v>
      </c>
      <c r="H638" s="15" t="s">
        <v>77</v>
      </c>
      <c r="J638" s="15" t="s">
        <v>2348</v>
      </c>
      <c r="K638" s="15" t="s">
        <v>2314</v>
      </c>
      <c r="M638" s="15" t="s">
        <v>93</v>
      </c>
      <c r="O638" s="16" t="s">
        <v>1039</v>
      </c>
      <c r="P638" s="15" t="s">
        <v>2297</v>
      </c>
      <c r="Q638" s="17" t="n">
        <v>200</v>
      </c>
      <c r="R638" s="38" t="n">
        <f aca="false">IFERROR(Q638/VLOOKUP(P638,'Exchange rates to USD'!$L$2:$N$225,3,FALSE()),"")</f>
        <v>20.7017043365298</v>
      </c>
    </row>
    <row r="639" customFormat="false" ht="13.25" hidden="false" customHeight="true" outlineLevel="0" collapsed="false">
      <c r="A639" s="55" t="s">
        <v>2349</v>
      </c>
      <c r="B639" s="55" t="s">
        <v>2292</v>
      </c>
      <c r="C639" s="59" t="s">
        <v>232</v>
      </c>
      <c r="D639" s="55" t="s">
        <v>80</v>
      </c>
      <c r="E639" s="55" t="s">
        <v>76</v>
      </c>
      <c r="F639" s="55" t="s">
        <v>2350</v>
      </c>
      <c r="G639" s="55" t="s">
        <v>96</v>
      </c>
      <c r="H639" s="55" t="s">
        <v>812</v>
      </c>
      <c r="I639" s="55"/>
      <c r="J639" s="55" t="s">
        <v>2351</v>
      </c>
      <c r="K639" s="55" t="s">
        <v>2314</v>
      </c>
      <c r="L639" s="55"/>
      <c r="M639" s="55" t="s">
        <v>93</v>
      </c>
      <c r="N639" s="55"/>
      <c r="O639" s="16" t="s">
        <v>1039</v>
      </c>
      <c r="P639" s="55" t="s">
        <v>2297</v>
      </c>
      <c r="Q639" s="60" t="n">
        <v>150</v>
      </c>
      <c r="R639" s="58" t="n">
        <f aca="false">IFERROR(Q639/VLOOKUP(P639,'Exchange rates to USD'!$L$2:$N$225,3,FALSE()),"")</f>
        <v>15.5262782523974</v>
      </c>
    </row>
    <row r="640" customFormat="false" ht="13.25" hidden="false" customHeight="true" outlineLevel="0" collapsed="false">
      <c r="A640" s="15" t="s">
        <v>2352</v>
      </c>
      <c r="B640" s="15" t="s">
        <v>2353</v>
      </c>
      <c r="C640" s="15" t="s">
        <v>58</v>
      </c>
      <c r="D640" s="15" t="s">
        <v>80</v>
      </c>
      <c r="E640" s="15" t="s">
        <v>76</v>
      </c>
      <c r="F640" s="15" t="s">
        <v>2354</v>
      </c>
      <c r="J640" s="27" t="s">
        <v>2355</v>
      </c>
      <c r="K640" s="34" t="s">
        <v>2356</v>
      </c>
      <c r="L640" s="15" t="s">
        <v>2357</v>
      </c>
      <c r="M640" s="15" t="s">
        <v>70</v>
      </c>
      <c r="N640" s="15" t="s">
        <v>2358</v>
      </c>
      <c r="P640" s="39" t="s">
        <v>643</v>
      </c>
      <c r="Q640" s="39" t="n">
        <v>59100</v>
      </c>
      <c r="R640" s="38" t="n">
        <f aca="false">IFERROR(Q640/VLOOKUP(P640,'Exchange rates to USD'!$L$2:$N$225,3,FALSE()),"")</f>
        <v>59100</v>
      </c>
    </row>
    <row r="641" customFormat="false" ht="13.25" hidden="false" customHeight="true" outlineLevel="0" collapsed="false">
      <c r="A641" s="15" t="s">
        <v>2359</v>
      </c>
      <c r="B641" s="15" t="s">
        <v>2353</v>
      </c>
      <c r="C641" s="15" t="s">
        <v>58</v>
      </c>
      <c r="D641" s="15" t="s">
        <v>59</v>
      </c>
      <c r="E641" s="15" t="s">
        <v>233</v>
      </c>
      <c r="F641" s="15" t="s">
        <v>2360</v>
      </c>
      <c r="G641" s="15" t="s">
        <v>62</v>
      </c>
      <c r="H641" s="15" t="s">
        <v>110</v>
      </c>
      <c r="J641" s="27" t="s">
        <v>2361</v>
      </c>
      <c r="K641" s="15" t="s">
        <v>2362</v>
      </c>
      <c r="L641" s="15" t="s">
        <v>2362</v>
      </c>
      <c r="M641" s="15" t="s">
        <v>93</v>
      </c>
      <c r="N641" s="15" t="s">
        <v>2363</v>
      </c>
      <c r="P641" s="39" t="s">
        <v>643</v>
      </c>
      <c r="Q641" s="39" t="n">
        <v>873</v>
      </c>
      <c r="R641" s="38" t="n">
        <f aca="false">IFERROR(Q641/VLOOKUP(P641,'Exchange rates to USD'!$L$2:$N$225,3,FALSE()),"")</f>
        <v>873</v>
      </c>
    </row>
    <row r="642" customFormat="false" ht="13.25" hidden="false" customHeight="true" outlineLevel="0" collapsed="false">
      <c r="A642" s="15" t="s">
        <v>2364</v>
      </c>
      <c r="B642" s="15" t="s">
        <v>2353</v>
      </c>
      <c r="C642" s="15" t="s">
        <v>58</v>
      </c>
      <c r="D642" s="15" t="s">
        <v>59</v>
      </c>
      <c r="E642" s="15" t="s">
        <v>60</v>
      </c>
      <c r="F642" s="15" t="s">
        <v>2365</v>
      </c>
      <c r="G642" s="15" t="s">
        <v>62</v>
      </c>
      <c r="J642" s="27" t="s">
        <v>2366</v>
      </c>
      <c r="K642" s="15" t="s">
        <v>2367</v>
      </c>
      <c r="L642" s="15" t="s">
        <v>2368</v>
      </c>
      <c r="M642" s="15" t="s">
        <v>65</v>
      </c>
      <c r="N642" s="15" t="s">
        <v>2369</v>
      </c>
      <c r="P642" s="39" t="s">
        <v>643</v>
      </c>
      <c r="Q642" s="39" t="n">
        <v>1980</v>
      </c>
      <c r="R642" s="38" t="n">
        <f aca="false">IFERROR(Q642/VLOOKUP(P642,'Exchange rates to USD'!$L$2:$N$225,3,FALSE()),"")</f>
        <v>1980</v>
      </c>
    </row>
    <row r="643" customFormat="false" ht="13.25" hidden="false" customHeight="true" outlineLevel="0" collapsed="false">
      <c r="A643" s="15" t="s">
        <v>2370</v>
      </c>
      <c r="B643" s="15" t="s">
        <v>2353</v>
      </c>
      <c r="C643" s="15" t="s">
        <v>58</v>
      </c>
      <c r="D643" s="15" t="s">
        <v>59</v>
      </c>
      <c r="E643" s="15" t="s">
        <v>95</v>
      </c>
      <c r="F643" s="15" t="s">
        <v>2371</v>
      </c>
      <c r="G643" s="15" t="s">
        <v>62</v>
      </c>
      <c r="H643" s="15" t="s">
        <v>105</v>
      </c>
      <c r="J643" s="27" t="s">
        <v>2372</v>
      </c>
      <c r="K643" s="15" t="s">
        <v>2373</v>
      </c>
      <c r="M643" s="15" t="s">
        <v>93</v>
      </c>
      <c r="P643" s="39" t="s">
        <v>643</v>
      </c>
      <c r="Q643" s="39" t="n">
        <v>47</v>
      </c>
      <c r="R643" s="38" t="n">
        <f aca="false">IFERROR(Q643/VLOOKUP(P643,'Exchange rates to USD'!$L$2:$N$225,3,FALSE()),"")</f>
        <v>47</v>
      </c>
    </row>
    <row r="644" customFormat="false" ht="13.25" hidden="false" customHeight="true" outlineLevel="0" collapsed="false">
      <c r="A644" s="15" t="s">
        <v>2374</v>
      </c>
      <c r="B644" s="15" t="s">
        <v>2353</v>
      </c>
      <c r="C644" s="15" t="s">
        <v>249</v>
      </c>
      <c r="D644" s="15" t="s">
        <v>80</v>
      </c>
      <c r="E644" s="15" t="s">
        <v>95</v>
      </c>
      <c r="F644" s="15" t="s">
        <v>2375</v>
      </c>
      <c r="G644" s="15" t="s">
        <v>62</v>
      </c>
      <c r="J644" s="27" t="s">
        <v>2376</v>
      </c>
      <c r="K644" s="15" t="s">
        <v>2373</v>
      </c>
      <c r="L644" s="15" t="s">
        <v>2357</v>
      </c>
      <c r="M644" s="15" t="s">
        <v>113</v>
      </c>
      <c r="N644" s="15" t="s">
        <v>2377</v>
      </c>
      <c r="P644" s="39" t="s">
        <v>643</v>
      </c>
      <c r="Q644" s="39" t="n">
        <v>168</v>
      </c>
      <c r="R644" s="38" t="n">
        <f aca="false">IFERROR(Q644/VLOOKUP(P644,'Exchange rates to USD'!$L$2:$N$225,3,FALSE()),"")</f>
        <v>168</v>
      </c>
    </row>
    <row r="645" customFormat="false" ht="13.25" hidden="false" customHeight="true" outlineLevel="0" collapsed="false">
      <c r="A645" s="15" t="s">
        <v>2378</v>
      </c>
      <c r="B645" s="15" t="s">
        <v>2353</v>
      </c>
      <c r="C645" s="15" t="s">
        <v>122</v>
      </c>
      <c r="D645" s="15" t="s">
        <v>80</v>
      </c>
      <c r="E645" s="15" t="s">
        <v>60</v>
      </c>
      <c r="F645" s="15" t="s">
        <v>2379</v>
      </c>
      <c r="G645" s="15" t="s">
        <v>62</v>
      </c>
      <c r="H645" s="15" t="s">
        <v>77</v>
      </c>
      <c r="I645" s="15" t="s">
        <v>110</v>
      </c>
      <c r="J645" s="27" t="s">
        <v>2380</v>
      </c>
      <c r="K645" s="15" t="s">
        <v>2381</v>
      </c>
      <c r="M645" s="15" t="s">
        <v>113</v>
      </c>
      <c r="N645" s="15" t="s">
        <v>2382</v>
      </c>
      <c r="P645" s="39" t="s">
        <v>643</v>
      </c>
      <c r="Q645" s="39"/>
      <c r="R645" s="38" t="n">
        <f aca="false">IFERROR(Q645/VLOOKUP(P645,'Exchange rates to USD'!$L$2:$N$225,3,FALSE()),"")</f>
        <v>0</v>
      </c>
    </row>
    <row r="646" customFormat="false" ht="13.25" hidden="false" customHeight="true" outlineLevel="0" collapsed="false">
      <c r="A646" s="15" t="s">
        <v>2383</v>
      </c>
      <c r="B646" s="15" t="s">
        <v>2353</v>
      </c>
      <c r="C646" s="15" t="s">
        <v>249</v>
      </c>
      <c r="D646" s="15" t="s">
        <v>80</v>
      </c>
      <c r="E646" s="15" t="s">
        <v>95</v>
      </c>
      <c r="F646" s="15" t="s">
        <v>2384</v>
      </c>
      <c r="G646" s="15" t="s">
        <v>62</v>
      </c>
      <c r="J646" s="27" t="s">
        <v>2385</v>
      </c>
      <c r="K646" s="15" t="s">
        <v>2367</v>
      </c>
      <c r="M646" s="15" t="s">
        <v>93</v>
      </c>
      <c r="N646" s="15" t="s">
        <v>2386</v>
      </c>
      <c r="P646" s="39" t="s">
        <v>643</v>
      </c>
      <c r="Q646" s="39" t="n">
        <v>221.1</v>
      </c>
      <c r="R646" s="38" t="n">
        <f aca="false">IFERROR(Q646/VLOOKUP(P646,'Exchange rates to USD'!$L$2:$N$225,3,FALSE()),"")</f>
        <v>221.1</v>
      </c>
    </row>
    <row r="647" customFormat="false" ht="13.25" hidden="false" customHeight="true" outlineLevel="0" collapsed="false">
      <c r="A647" s="15" t="s">
        <v>2387</v>
      </c>
      <c r="B647" s="15" t="s">
        <v>2353</v>
      </c>
      <c r="C647" s="15" t="s">
        <v>75</v>
      </c>
      <c r="D647" s="15" t="s">
        <v>80</v>
      </c>
      <c r="E647" s="15" t="s">
        <v>76</v>
      </c>
      <c r="F647" s="15" t="s">
        <v>2388</v>
      </c>
      <c r="G647" s="15" t="s">
        <v>62</v>
      </c>
      <c r="H647" s="15" t="s">
        <v>158</v>
      </c>
      <c r="J647" s="27" t="s">
        <v>2389</v>
      </c>
      <c r="K647" s="15" t="s">
        <v>2390</v>
      </c>
      <c r="L647" s="15" t="s">
        <v>2391</v>
      </c>
      <c r="M647" s="15" t="s">
        <v>93</v>
      </c>
      <c r="N647" s="15" t="s">
        <v>2392</v>
      </c>
      <c r="P647" s="39" t="s">
        <v>643</v>
      </c>
      <c r="Q647" s="39" t="n">
        <v>500</v>
      </c>
      <c r="R647" s="38" t="n">
        <f aca="false">IFERROR(Q647/VLOOKUP(P647,'Exchange rates to USD'!$L$2:$N$225,3,FALSE()),"")</f>
        <v>500</v>
      </c>
    </row>
    <row r="648" customFormat="false" ht="13.25" hidden="false" customHeight="true" outlineLevel="0" collapsed="false">
      <c r="A648" s="15" t="s">
        <v>2393</v>
      </c>
      <c r="B648" s="15" t="s">
        <v>2353</v>
      </c>
      <c r="C648" s="15" t="s">
        <v>232</v>
      </c>
      <c r="D648" s="15" t="s">
        <v>59</v>
      </c>
      <c r="E648" s="15" t="s">
        <v>76</v>
      </c>
      <c r="F648" s="15" t="s">
        <v>2394</v>
      </c>
      <c r="G648" s="15" t="s">
        <v>62</v>
      </c>
      <c r="J648" s="27" t="s">
        <v>2395</v>
      </c>
      <c r="K648" s="15" t="s">
        <v>2396</v>
      </c>
      <c r="M648" s="15" t="s">
        <v>70</v>
      </c>
      <c r="N648" s="15" t="s">
        <v>2397</v>
      </c>
      <c r="P648" s="39" t="s">
        <v>643</v>
      </c>
      <c r="Q648" s="39" t="n">
        <v>150</v>
      </c>
      <c r="R648" s="38" t="n">
        <f aca="false">IFERROR(Q648/VLOOKUP(P648,'Exchange rates to USD'!$L$2:$N$225,3,FALSE()),"")</f>
        <v>150</v>
      </c>
    </row>
    <row r="649" customFormat="false" ht="13.25" hidden="false" customHeight="true" outlineLevel="0" collapsed="false">
      <c r="A649" s="55" t="s">
        <v>2398</v>
      </c>
      <c r="B649" s="55" t="s">
        <v>2353</v>
      </c>
      <c r="C649" s="55" t="s">
        <v>58</v>
      </c>
      <c r="D649" s="55" t="s">
        <v>80</v>
      </c>
      <c r="E649" s="55" t="s">
        <v>76</v>
      </c>
      <c r="F649" s="55" t="s">
        <v>2399</v>
      </c>
      <c r="G649" s="55" t="s">
        <v>62</v>
      </c>
      <c r="H649" s="55" t="s">
        <v>158</v>
      </c>
      <c r="I649" s="55"/>
      <c r="J649" s="66" t="s">
        <v>2400</v>
      </c>
      <c r="K649" s="55" t="s">
        <v>2401</v>
      </c>
      <c r="L649" s="55"/>
      <c r="M649" s="55" t="s">
        <v>70</v>
      </c>
      <c r="N649" s="55" t="s">
        <v>2402</v>
      </c>
      <c r="O649" s="56"/>
      <c r="P649" s="65" t="s">
        <v>643</v>
      </c>
      <c r="Q649" s="65" t="n">
        <v>70</v>
      </c>
      <c r="R649" s="58" t="n">
        <f aca="false">IFERROR(Q649/VLOOKUP(P649,'Exchange rates to USD'!$L$2:$N$225,3,FALSE()),"")</f>
        <v>70</v>
      </c>
    </row>
    <row r="650" customFormat="false" ht="13.25" hidden="false" customHeight="true" outlineLevel="0" collapsed="false">
      <c r="A650" s="15" t="s">
        <v>2403</v>
      </c>
      <c r="B650" s="15" t="s">
        <v>2404</v>
      </c>
      <c r="C650" s="15" t="s">
        <v>75</v>
      </c>
      <c r="D650" s="15" t="s">
        <v>59</v>
      </c>
      <c r="E650" s="15" t="s">
        <v>60</v>
      </c>
      <c r="G650" s="15" t="s">
        <v>62</v>
      </c>
      <c r="J650" s="15" t="s">
        <v>2405</v>
      </c>
      <c r="K650" s="15" t="s">
        <v>2406</v>
      </c>
      <c r="L650" s="15" t="s">
        <v>2407</v>
      </c>
      <c r="M650" s="15" t="s">
        <v>65</v>
      </c>
      <c r="O650" s="16" t="n">
        <v>44141</v>
      </c>
    </row>
    <row r="651" customFormat="false" ht="13.25" hidden="false" customHeight="true" outlineLevel="0" collapsed="false">
      <c r="A651" s="15" t="s">
        <v>2408</v>
      </c>
      <c r="B651" s="15" t="s">
        <v>2404</v>
      </c>
      <c r="C651" s="15" t="s">
        <v>232</v>
      </c>
      <c r="D651" s="15" t="s">
        <v>80</v>
      </c>
      <c r="F651" s="15" t="s">
        <v>2409</v>
      </c>
      <c r="G651" s="15" t="s">
        <v>96</v>
      </c>
      <c r="J651" s="27" t="s">
        <v>2410</v>
      </c>
      <c r="K651" s="15" t="s">
        <v>2411</v>
      </c>
      <c r="M651" s="15" t="s">
        <v>93</v>
      </c>
      <c r="O651" s="16" t="n">
        <v>44141</v>
      </c>
    </row>
    <row r="652" customFormat="false" ht="13.25" hidden="false" customHeight="true" outlineLevel="0" collapsed="false">
      <c r="A652" s="15" t="s">
        <v>2412</v>
      </c>
      <c r="B652" s="15" t="s">
        <v>2404</v>
      </c>
      <c r="C652" s="15" t="s">
        <v>232</v>
      </c>
      <c r="D652" s="15" t="s">
        <v>59</v>
      </c>
      <c r="E652" s="15" t="s">
        <v>123</v>
      </c>
      <c r="F652" s="15" t="s">
        <v>2409</v>
      </c>
      <c r="G652" s="15" t="s">
        <v>105</v>
      </c>
      <c r="J652" s="15" t="s">
        <v>2413</v>
      </c>
      <c r="K652" s="15" t="s">
        <v>2411</v>
      </c>
      <c r="M652" s="15" t="s">
        <v>113</v>
      </c>
      <c r="O652" s="16" t="n">
        <v>44141</v>
      </c>
    </row>
    <row r="653" customFormat="false" ht="13.25" hidden="false" customHeight="true" outlineLevel="0" collapsed="false">
      <c r="A653" s="15" t="s">
        <v>2414</v>
      </c>
      <c r="B653" s="15" t="s">
        <v>2404</v>
      </c>
      <c r="C653" s="15" t="s">
        <v>122</v>
      </c>
      <c r="D653" s="15" t="s">
        <v>80</v>
      </c>
      <c r="E653" s="15" t="s">
        <v>76</v>
      </c>
      <c r="F653" s="15" t="s">
        <v>2409</v>
      </c>
      <c r="J653" s="15" t="s">
        <v>2415</v>
      </c>
      <c r="K653" s="15" t="s">
        <v>2411</v>
      </c>
      <c r="M653" s="15" t="s">
        <v>70</v>
      </c>
      <c r="O653" s="16" t="n">
        <v>44141</v>
      </c>
    </row>
    <row r="654" customFormat="false" ht="13.25" hidden="false" customHeight="true" outlineLevel="0" collapsed="false">
      <c r="A654" s="15" t="s">
        <v>2416</v>
      </c>
      <c r="B654" s="15" t="s">
        <v>2404</v>
      </c>
      <c r="C654" s="15" t="s">
        <v>122</v>
      </c>
      <c r="D654" s="15" t="s">
        <v>59</v>
      </c>
      <c r="E654" s="15" t="s">
        <v>95</v>
      </c>
      <c r="G654" s="15" t="s">
        <v>62</v>
      </c>
      <c r="J654" s="15" t="s">
        <v>2417</v>
      </c>
      <c r="K654" s="15" t="s">
        <v>2418</v>
      </c>
      <c r="M654" s="15" t="s">
        <v>93</v>
      </c>
      <c r="O654" s="16" t="n">
        <v>44150</v>
      </c>
    </row>
    <row r="655" customFormat="false" ht="13.25" hidden="false" customHeight="true" outlineLevel="0" collapsed="false">
      <c r="A655" s="35" t="s">
        <v>2419</v>
      </c>
      <c r="B655" s="35" t="s">
        <v>2404</v>
      </c>
      <c r="C655" s="35" t="s">
        <v>122</v>
      </c>
      <c r="D655" s="35" t="s">
        <v>59</v>
      </c>
      <c r="E655" s="35" t="s">
        <v>95</v>
      </c>
      <c r="F655" s="35"/>
      <c r="G655" s="35" t="s">
        <v>62</v>
      </c>
      <c r="H655" s="35"/>
      <c r="I655" s="35"/>
      <c r="J655" s="35" t="s">
        <v>2420</v>
      </c>
      <c r="K655" s="62" t="s">
        <v>2421</v>
      </c>
      <c r="L655" s="35"/>
      <c r="M655" s="35" t="s">
        <v>93</v>
      </c>
      <c r="N655" s="35"/>
      <c r="O655" s="36" t="n">
        <v>44150</v>
      </c>
      <c r="P655" s="35"/>
      <c r="Q655" s="37"/>
      <c r="R655" s="37"/>
      <c r="T655" s="153"/>
    </row>
    <row r="656" s="96" customFormat="true" ht="13.25" hidden="false" customHeight="true" outlineLevel="0" collapsed="false">
      <c r="A656" s="96" t="s">
        <v>2422</v>
      </c>
      <c r="B656" s="96" t="s">
        <v>2423</v>
      </c>
      <c r="C656" s="96" t="s">
        <v>58</v>
      </c>
      <c r="D656" s="96" t="s">
        <v>59</v>
      </c>
      <c r="E656" s="96" t="s">
        <v>116</v>
      </c>
      <c r="F656" s="96" t="s">
        <v>2424</v>
      </c>
      <c r="G656" s="96" t="s">
        <v>62</v>
      </c>
      <c r="J656" s="96" t="s">
        <v>2425</v>
      </c>
      <c r="K656" s="154" t="s">
        <v>2426</v>
      </c>
      <c r="M656" s="96" t="s">
        <v>93</v>
      </c>
      <c r="O656" s="155" t="n">
        <v>44294</v>
      </c>
      <c r="P656" s="96" t="s">
        <v>2427</v>
      </c>
      <c r="Q656" s="37" t="n">
        <v>500</v>
      </c>
      <c r="R656" s="38" t="n">
        <f aca="false">IFERROR(Q656/VLOOKUP(P656,'Exchange rates to USD'!$L$2:$N$225,3,FALSE()),"")</f>
        <v>637.04128074595</v>
      </c>
      <c r="U656" s="15"/>
      <c r="V656" s="15"/>
      <c r="W656" s="15"/>
    </row>
    <row r="657" s="35" customFormat="true" ht="13.25" hidden="false" customHeight="true" outlineLevel="0" collapsed="false">
      <c r="A657" s="35" t="s">
        <v>2428</v>
      </c>
      <c r="B657" s="35" t="s">
        <v>2423</v>
      </c>
      <c r="C657" s="35" t="s">
        <v>58</v>
      </c>
      <c r="D657" s="35" t="s">
        <v>59</v>
      </c>
      <c r="E657" s="35" t="s">
        <v>116</v>
      </c>
      <c r="F657" s="35" t="s">
        <v>2429</v>
      </c>
      <c r="G657" s="35" t="s">
        <v>62</v>
      </c>
      <c r="J657" s="35" t="s">
        <v>2430</v>
      </c>
      <c r="K657" s="34" t="s">
        <v>2431</v>
      </c>
      <c r="M657" s="35" t="s">
        <v>93</v>
      </c>
      <c r="O657" s="36"/>
      <c r="P657" s="35" t="s">
        <v>2427</v>
      </c>
      <c r="Q657" s="37" t="n">
        <v>320</v>
      </c>
      <c r="R657" s="38" t="n">
        <f aca="false">IFERROR(Q657/VLOOKUP(P657,'Exchange rates to USD'!$L$2:$N$225,3,FALSE()),"")</f>
        <v>407.706419677408</v>
      </c>
      <c r="T657" s="156"/>
      <c r="U657" s="15"/>
      <c r="V657" s="15"/>
      <c r="W657" s="15"/>
    </row>
    <row r="658" customFormat="false" ht="13.25" hidden="false" customHeight="true" outlineLevel="0" collapsed="false">
      <c r="A658" s="15" t="s">
        <v>2432</v>
      </c>
      <c r="B658" s="35" t="s">
        <v>2423</v>
      </c>
      <c r="C658" s="15" t="s">
        <v>58</v>
      </c>
      <c r="D658" s="15" t="s">
        <v>59</v>
      </c>
      <c r="E658" s="15" t="s">
        <v>116</v>
      </c>
      <c r="F658" s="15" t="s">
        <v>2433</v>
      </c>
      <c r="G658" s="15" t="s">
        <v>62</v>
      </c>
      <c r="J658" s="15" t="s">
        <v>2434</v>
      </c>
      <c r="K658" s="15" t="s">
        <v>2435</v>
      </c>
      <c r="M658" s="15" t="s">
        <v>93</v>
      </c>
      <c r="P658" s="15" t="s">
        <v>643</v>
      </c>
      <c r="Q658" s="17" t="n">
        <v>1400</v>
      </c>
      <c r="R658" s="38" t="n">
        <f aca="false">IFERROR(Q658/VLOOKUP(P658,'Exchange rates to USD'!$L$2:$N$225,3,FALSE()),"")</f>
        <v>1400</v>
      </c>
      <c r="T658" s="157"/>
    </row>
    <row r="659" customFormat="false" ht="13.25" hidden="false" customHeight="true" outlineLevel="0" collapsed="false">
      <c r="A659" s="15" t="s">
        <v>2436</v>
      </c>
      <c r="B659" s="35" t="s">
        <v>2423</v>
      </c>
      <c r="C659" s="15" t="s">
        <v>58</v>
      </c>
      <c r="D659" s="15" t="s">
        <v>59</v>
      </c>
      <c r="E659" s="15" t="s">
        <v>90</v>
      </c>
      <c r="F659" s="15" t="s">
        <v>2437</v>
      </c>
      <c r="G659" s="15" t="s">
        <v>62</v>
      </c>
      <c r="H659" s="15" t="s">
        <v>110</v>
      </c>
      <c r="J659" s="15" t="s">
        <v>2438</v>
      </c>
      <c r="K659" s="15" t="s">
        <v>2439</v>
      </c>
      <c r="M659" s="15" t="s">
        <v>93</v>
      </c>
      <c r="O659" s="16" t="n">
        <v>44141</v>
      </c>
      <c r="P659" s="15" t="s">
        <v>643</v>
      </c>
      <c r="Q659" s="17" t="n">
        <v>182.52</v>
      </c>
      <c r="R659" s="38" t="n">
        <f aca="false">IFERROR(Q659/VLOOKUP(P659,'Exchange rates to USD'!$L$2:$N$225,3,FALSE()),"")</f>
        <v>182.52</v>
      </c>
      <c r="T659" s="158"/>
    </row>
    <row r="660" customFormat="false" ht="13.25" hidden="false" customHeight="true" outlineLevel="0" collapsed="false">
      <c r="A660" s="15" t="s">
        <v>2440</v>
      </c>
      <c r="B660" s="35" t="s">
        <v>2423</v>
      </c>
      <c r="C660" s="15" t="s">
        <v>249</v>
      </c>
      <c r="D660" s="15" t="s">
        <v>59</v>
      </c>
      <c r="E660" s="15" t="s">
        <v>90</v>
      </c>
      <c r="F660" s="15" t="s">
        <v>2441</v>
      </c>
      <c r="G660" s="15" t="s">
        <v>62</v>
      </c>
      <c r="H660" s="15" t="s">
        <v>96</v>
      </c>
      <c r="J660" s="15" t="s">
        <v>2442</v>
      </c>
      <c r="K660" s="15" t="s">
        <v>2439</v>
      </c>
      <c r="M660" s="15" t="s">
        <v>93</v>
      </c>
      <c r="O660" s="16" t="n">
        <v>44141</v>
      </c>
      <c r="P660" s="15" t="s">
        <v>643</v>
      </c>
      <c r="Q660" s="17" t="n">
        <v>195.66</v>
      </c>
      <c r="R660" s="38" t="n">
        <f aca="false">IFERROR(Q660/VLOOKUP(P660,'Exchange rates to USD'!$L$2:$N$225,3,FALSE()),"")</f>
        <v>195.66</v>
      </c>
      <c r="T660" s="158"/>
    </row>
    <row r="661" customFormat="false" ht="13.25" hidden="false" customHeight="true" outlineLevel="0" collapsed="false">
      <c r="A661" s="15" t="s">
        <v>2443</v>
      </c>
      <c r="B661" s="35" t="s">
        <v>2423</v>
      </c>
      <c r="C661" s="15" t="s">
        <v>249</v>
      </c>
      <c r="D661" s="15" t="s">
        <v>59</v>
      </c>
      <c r="E661" s="15" t="s">
        <v>116</v>
      </c>
      <c r="F661" s="15" t="s">
        <v>2444</v>
      </c>
      <c r="G661" s="15" t="s">
        <v>62</v>
      </c>
      <c r="H661" s="15" t="s">
        <v>96</v>
      </c>
      <c r="J661" s="15" t="s">
        <v>2445</v>
      </c>
      <c r="K661" s="15" t="s">
        <v>2439</v>
      </c>
      <c r="M661" s="15" t="s">
        <v>93</v>
      </c>
      <c r="O661" s="16" t="n">
        <v>44141</v>
      </c>
      <c r="P661" s="15" t="s">
        <v>643</v>
      </c>
      <c r="Q661" s="17" t="n">
        <v>34.14</v>
      </c>
      <c r="R661" s="38" t="n">
        <f aca="false">IFERROR(Q661/VLOOKUP(P661,'Exchange rates to USD'!$L$2:$N$225,3,FALSE()),"")</f>
        <v>34.14</v>
      </c>
      <c r="T661" s="158"/>
    </row>
    <row r="662" customFormat="false" ht="13.25" hidden="false" customHeight="true" outlineLevel="0" collapsed="false">
      <c r="A662" s="15" t="s">
        <v>2446</v>
      </c>
      <c r="B662" s="35" t="s">
        <v>2423</v>
      </c>
      <c r="C662" s="15" t="s">
        <v>249</v>
      </c>
      <c r="D662" s="15" t="s">
        <v>59</v>
      </c>
      <c r="E662" s="15" t="s">
        <v>116</v>
      </c>
      <c r="F662" s="15" t="s">
        <v>2447</v>
      </c>
      <c r="G662" s="15" t="s">
        <v>62</v>
      </c>
      <c r="H662" s="15" t="s">
        <v>96</v>
      </c>
      <c r="J662" s="15" t="s">
        <v>2448</v>
      </c>
      <c r="K662" s="15" t="s">
        <v>2439</v>
      </c>
      <c r="M662" s="15" t="s">
        <v>93</v>
      </c>
      <c r="O662" s="16" t="n">
        <v>44141</v>
      </c>
      <c r="P662" s="15" t="s">
        <v>643</v>
      </c>
      <c r="Q662" s="17" t="n">
        <v>13.13</v>
      </c>
      <c r="R662" s="38" t="n">
        <f aca="false">IFERROR(Q662/VLOOKUP(P662,'Exchange rates to USD'!$L$2:$N$225,3,FALSE()),"")</f>
        <v>13.13</v>
      </c>
      <c r="T662" s="158"/>
    </row>
    <row r="663" customFormat="false" ht="13.25" hidden="false" customHeight="true" outlineLevel="0" collapsed="false">
      <c r="A663" s="15" t="s">
        <v>2449</v>
      </c>
      <c r="B663" s="35" t="s">
        <v>2423</v>
      </c>
      <c r="C663" s="15" t="s">
        <v>249</v>
      </c>
      <c r="D663" s="15" t="s">
        <v>80</v>
      </c>
      <c r="E663" s="15" t="s">
        <v>76</v>
      </c>
      <c r="F663" s="15" t="s">
        <v>2450</v>
      </c>
      <c r="G663" s="15" t="s">
        <v>62</v>
      </c>
      <c r="J663" s="15" t="s">
        <v>2451</v>
      </c>
      <c r="K663" s="15" t="s">
        <v>2439</v>
      </c>
      <c r="M663" s="15" t="s">
        <v>93</v>
      </c>
      <c r="O663" s="16" t="n">
        <v>44141</v>
      </c>
      <c r="P663" s="15" t="s">
        <v>643</v>
      </c>
      <c r="Q663" s="17" t="n">
        <v>19.7</v>
      </c>
      <c r="R663" s="38" t="n">
        <f aca="false">IFERROR(Q663/VLOOKUP(P663,'Exchange rates to USD'!$L$2:$N$225,3,FALSE()),"")</f>
        <v>19.7</v>
      </c>
      <c r="T663" s="158"/>
    </row>
    <row r="664" s="35" customFormat="true" ht="13.25" hidden="false" customHeight="true" outlineLevel="0" collapsed="false">
      <c r="A664" s="35" t="s">
        <v>2452</v>
      </c>
      <c r="B664" s="35" t="s">
        <v>2423</v>
      </c>
      <c r="C664" s="35" t="s">
        <v>122</v>
      </c>
      <c r="D664" s="35" t="s">
        <v>80</v>
      </c>
      <c r="E664" s="35" t="s">
        <v>76</v>
      </c>
      <c r="G664" s="35" t="s">
        <v>62</v>
      </c>
      <c r="J664" s="35" t="s">
        <v>2453</v>
      </c>
      <c r="K664" s="34" t="s">
        <v>2454</v>
      </c>
      <c r="M664" s="35" t="s">
        <v>113</v>
      </c>
      <c r="O664" s="36" t="n">
        <v>44294</v>
      </c>
      <c r="P664" s="35" t="s">
        <v>2427</v>
      </c>
      <c r="Q664" s="159"/>
      <c r="R664" s="38"/>
      <c r="U664" s="15"/>
      <c r="V664" s="15"/>
      <c r="W664" s="15"/>
    </row>
    <row r="665" customFormat="false" ht="13.25" hidden="false" customHeight="true" outlineLevel="0" collapsed="false">
      <c r="A665" s="15" t="s">
        <v>2455</v>
      </c>
      <c r="B665" s="35" t="s">
        <v>2423</v>
      </c>
      <c r="C665" s="15" t="s">
        <v>58</v>
      </c>
      <c r="D665" s="15" t="s">
        <v>80</v>
      </c>
      <c r="E665" s="15" t="s">
        <v>76</v>
      </c>
      <c r="F665" s="15" t="s">
        <v>2456</v>
      </c>
      <c r="G665" s="15" t="s">
        <v>62</v>
      </c>
      <c r="J665" s="15" t="s">
        <v>2457</v>
      </c>
      <c r="K665" s="15" t="s">
        <v>2458</v>
      </c>
      <c r="L665" s="15" t="s">
        <v>2459</v>
      </c>
      <c r="M665" s="15" t="s">
        <v>113</v>
      </c>
      <c r="N665" s="15" t="s">
        <v>2460</v>
      </c>
      <c r="O665" s="16" t="n">
        <v>44141</v>
      </c>
      <c r="P665" s="15" t="s">
        <v>643</v>
      </c>
      <c r="Q665" s="17" t="n">
        <v>7340</v>
      </c>
      <c r="R665" s="38" t="n">
        <f aca="false">IFERROR(Q665/VLOOKUP(P665,'Exchange rates to USD'!$L$2:$N$225,3,FALSE()),"")</f>
        <v>7340</v>
      </c>
      <c r="T665" s="158"/>
    </row>
    <row r="666" customFormat="false" ht="13" hidden="false" customHeight="true" outlineLevel="0" collapsed="false">
      <c r="A666" s="15" t="s">
        <v>2461</v>
      </c>
      <c r="B666" s="35" t="s">
        <v>2423</v>
      </c>
      <c r="C666" s="15" t="s">
        <v>58</v>
      </c>
      <c r="D666" s="15" t="s">
        <v>59</v>
      </c>
      <c r="E666" s="15" t="s">
        <v>233</v>
      </c>
      <c r="F666" s="15" t="s">
        <v>2462</v>
      </c>
      <c r="G666" s="15" t="s">
        <v>62</v>
      </c>
      <c r="J666" s="15" t="s">
        <v>2463</v>
      </c>
      <c r="K666" s="34" t="s">
        <v>2464</v>
      </c>
      <c r="M666" s="15" t="s">
        <v>93</v>
      </c>
      <c r="O666" s="16" t="n">
        <v>44293</v>
      </c>
      <c r="P666" s="15" t="s">
        <v>2427</v>
      </c>
      <c r="Q666" s="17" t="n">
        <v>13400</v>
      </c>
      <c r="R666" s="38" t="n">
        <f aca="false">IFERROR(Q666/VLOOKUP(P666,'Exchange rates to USD'!$L$2:$N$225,3,FALSE()),"")</f>
        <v>17072.7063239914</v>
      </c>
      <c r="T666" s="153"/>
    </row>
    <row r="667" customFormat="false" ht="13.25" hidden="false" customHeight="true" outlineLevel="0" collapsed="false">
      <c r="A667" s="15" t="s">
        <v>2465</v>
      </c>
      <c r="B667" s="35" t="s">
        <v>2423</v>
      </c>
      <c r="C667" s="15" t="s">
        <v>58</v>
      </c>
      <c r="D667" s="15" t="s">
        <v>59</v>
      </c>
      <c r="E667" s="15" t="s">
        <v>116</v>
      </c>
      <c r="F667" s="15" t="s">
        <v>2466</v>
      </c>
      <c r="G667" s="15" t="s">
        <v>62</v>
      </c>
      <c r="J667" s="15" t="s">
        <v>2467</v>
      </c>
      <c r="K667" s="15" t="s">
        <v>2468</v>
      </c>
      <c r="L667" s="15" t="s">
        <v>2469</v>
      </c>
      <c r="M667" s="15" t="s">
        <v>93</v>
      </c>
      <c r="O667" s="16" t="n">
        <v>44207</v>
      </c>
      <c r="P667" s="15" t="s">
        <v>2427</v>
      </c>
      <c r="Q667" s="17" t="n">
        <v>110</v>
      </c>
      <c r="R667" s="38" t="n">
        <f aca="false">IFERROR(Q667/VLOOKUP(P667,'Exchange rates to USD'!$L$2:$N$225,3,FALSE()),"")</f>
        <v>140.149081764109</v>
      </c>
      <c r="T667" s="158"/>
    </row>
    <row r="668" customFormat="false" ht="13.25" hidden="false" customHeight="true" outlineLevel="0" collapsed="false">
      <c r="A668" s="15" t="s">
        <v>2470</v>
      </c>
      <c r="B668" s="35" t="s">
        <v>2423</v>
      </c>
      <c r="C668" s="15" t="s">
        <v>249</v>
      </c>
      <c r="D668" s="15" t="s">
        <v>59</v>
      </c>
      <c r="E668" s="15" t="s">
        <v>233</v>
      </c>
      <c r="F668" s="15" t="s">
        <v>2471</v>
      </c>
      <c r="G668" s="15" t="s">
        <v>62</v>
      </c>
      <c r="J668" s="15" t="s">
        <v>2472</v>
      </c>
      <c r="K668" s="34" t="s">
        <v>2473</v>
      </c>
      <c r="M668" s="15" t="s">
        <v>93</v>
      </c>
      <c r="O668" s="16" t="n">
        <v>44207</v>
      </c>
      <c r="P668" s="15" t="s">
        <v>2427</v>
      </c>
      <c r="Q668" s="17" t="n">
        <v>73.5</v>
      </c>
      <c r="R668" s="38" t="n">
        <f aca="false">IFERROR(Q668/VLOOKUP(P668,'Exchange rates to USD'!$L$2:$N$225,3,FALSE()),"")</f>
        <v>93.6450682696546</v>
      </c>
      <c r="T668" s="158"/>
    </row>
    <row r="669" customFormat="false" ht="13.25" hidden="false" customHeight="true" outlineLevel="0" collapsed="false">
      <c r="A669" s="35" t="s">
        <v>2474</v>
      </c>
      <c r="B669" s="35" t="s">
        <v>2423</v>
      </c>
      <c r="C669" s="15" t="s">
        <v>58</v>
      </c>
      <c r="D669" s="15" t="s">
        <v>59</v>
      </c>
      <c r="E669" s="15" t="s">
        <v>90</v>
      </c>
      <c r="F669" s="15" t="s">
        <v>2475</v>
      </c>
      <c r="G669" s="15" t="s">
        <v>62</v>
      </c>
      <c r="J669" s="15" t="s">
        <v>2476</v>
      </c>
      <c r="K669" s="15" t="s">
        <v>2477</v>
      </c>
      <c r="M669" s="15" t="s">
        <v>70</v>
      </c>
      <c r="N669" s="15" t="s">
        <v>2478</v>
      </c>
      <c r="O669" s="16" t="n">
        <v>44294</v>
      </c>
      <c r="P669" s="15" t="s">
        <v>643</v>
      </c>
      <c r="Q669" s="17" t="n">
        <v>495.72</v>
      </c>
      <c r="R669" s="38" t="n">
        <f aca="false">IFERROR(Q669/VLOOKUP(P669,'Exchange rates to USD'!$L$2:$N$225,3,FALSE()),"")</f>
        <v>495.72</v>
      </c>
      <c r="S669" s="15" t="s">
        <v>2479</v>
      </c>
      <c r="T669" s="153"/>
    </row>
    <row r="670" customFormat="false" ht="13.25" hidden="false" customHeight="true" outlineLevel="0" collapsed="false">
      <c r="A670" s="15" t="s">
        <v>2480</v>
      </c>
      <c r="B670" s="35" t="s">
        <v>2423</v>
      </c>
      <c r="C670" s="15" t="s">
        <v>58</v>
      </c>
      <c r="D670" s="15" t="s">
        <v>59</v>
      </c>
      <c r="E670" s="15" t="s">
        <v>90</v>
      </c>
      <c r="F670" s="15" t="s">
        <v>2481</v>
      </c>
      <c r="G670" s="15" t="s">
        <v>62</v>
      </c>
      <c r="J670" s="15" t="s">
        <v>2482</v>
      </c>
      <c r="K670" s="15" t="s">
        <v>2477</v>
      </c>
      <c r="M670" s="15" t="s">
        <v>70</v>
      </c>
      <c r="N670" s="15" t="s">
        <v>2478</v>
      </c>
      <c r="O670" s="16" t="n">
        <v>44294</v>
      </c>
      <c r="P670" s="15" t="s">
        <v>643</v>
      </c>
      <c r="Q670" s="17" t="n">
        <v>181.77</v>
      </c>
      <c r="R670" s="38" t="n">
        <f aca="false">IFERROR(Q670/VLOOKUP(P670,'Exchange rates to USD'!$L$2:$N$225,3,FALSE()),"")</f>
        <v>181.77</v>
      </c>
      <c r="S670" s="15" t="s">
        <v>2479</v>
      </c>
      <c r="T670" s="153"/>
    </row>
    <row r="671" customFormat="false" ht="13.25" hidden="false" customHeight="true" outlineLevel="0" collapsed="false">
      <c r="A671" s="15" t="s">
        <v>2483</v>
      </c>
      <c r="B671" s="35" t="s">
        <v>2423</v>
      </c>
      <c r="C671" s="15" t="s">
        <v>58</v>
      </c>
      <c r="D671" s="15" t="s">
        <v>59</v>
      </c>
      <c r="E671" s="15" t="s">
        <v>90</v>
      </c>
      <c r="F671" s="15" t="s">
        <v>2484</v>
      </c>
      <c r="G671" s="15" t="s">
        <v>62</v>
      </c>
      <c r="J671" s="15" t="s">
        <v>2485</v>
      </c>
      <c r="K671" s="15" t="s">
        <v>2477</v>
      </c>
      <c r="M671" s="15" t="s">
        <v>70</v>
      </c>
      <c r="N671" s="15" t="s">
        <v>2478</v>
      </c>
      <c r="O671" s="16" t="n">
        <v>44143</v>
      </c>
      <c r="P671" s="15" t="s">
        <v>643</v>
      </c>
      <c r="Q671" s="17" t="n">
        <v>991.45</v>
      </c>
      <c r="R671" s="38" t="n">
        <f aca="false">IFERROR(Q671/VLOOKUP(P671,'Exchange rates to USD'!$L$2:$N$225,3,FALSE()),"")</f>
        <v>991.45</v>
      </c>
      <c r="S671" s="15" t="s">
        <v>2479</v>
      </c>
      <c r="T671" s="153"/>
    </row>
    <row r="672" customFormat="false" ht="13.25" hidden="false" customHeight="true" outlineLevel="0" collapsed="false">
      <c r="A672" s="15" t="s">
        <v>2486</v>
      </c>
      <c r="B672" s="35" t="s">
        <v>2423</v>
      </c>
      <c r="C672" s="15" t="s">
        <v>58</v>
      </c>
      <c r="D672" s="15" t="s">
        <v>59</v>
      </c>
      <c r="E672" s="15" t="s">
        <v>90</v>
      </c>
      <c r="F672" s="15" t="s">
        <v>2484</v>
      </c>
      <c r="G672" s="15" t="s">
        <v>62</v>
      </c>
      <c r="J672" s="15" t="s">
        <v>2487</v>
      </c>
      <c r="K672" s="15" t="s">
        <v>2477</v>
      </c>
      <c r="M672" s="15" t="s">
        <v>70</v>
      </c>
      <c r="N672" s="15" t="s">
        <v>2478</v>
      </c>
      <c r="O672" s="16" t="n">
        <v>44143</v>
      </c>
      <c r="P672" s="15" t="s">
        <v>643</v>
      </c>
      <c r="Q672" s="17" t="n">
        <v>991.45</v>
      </c>
      <c r="R672" s="38" t="n">
        <f aca="false">IFERROR(Q672/VLOOKUP(P672,'Exchange rates to USD'!$L$2:$N$225,3,FALSE()),"")</f>
        <v>991.45</v>
      </c>
      <c r="S672" s="15" t="s">
        <v>2479</v>
      </c>
      <c r="T672" s="153"/>
    </row>
    <row r="673" customFormat="false" ht="13.25" hidden="false" customHeight="true" outlineLevel="0" collapsed="false">
      <c r="A673" s="15" t="s">
        <v>2488</v>
      </c>
      <c r="B673" s="35" t="s">
        <v>2423</v>
      </c>
      <c r="C673" s="15" t="s">
        <v>58</v>
      </c>
      <c r="D673" s="15" t="s">
        <v>59</v>
      </c>
      <c r="E673" s="15" t="s">
        <v>60</v>
      </c>
      <c r="F673" s="15" t="s">
        <v>2484</v>
      </c>
      <c r="G673" s="15" t="s">
        <v>62</v>
      </c>
      <c r="J673" s="15" t="s">
        <v>2489</v>
      </c>
      <c r="K673" s="15" t="s">
        <v>2477</v>
      </c>
      <c r="M673" s="15" t="s">
        <v>70</v>
      </c>
      <c r="N673" s="15" t="s">
        <v>2478</v>
      </c>
      <c r="O673" s="16" t="n">
        <v>44143</v>
      </c>
      <c r="P673" s="15" t="s">
        <v>643</v>
      </c>
      <c r="Q673" s="17" t="n">
        <v>991.45</v>
      </c>
      <c r="R673" s="38" t="n">
        <f aca="false">IFERROR(Q673/VLOOKUP(P673,'Exchange rates to USD'!$L$2:$N$225,3,FALSE()),"")</f>
        <v>991.45</v>
      </c>
      <c r="S673" s="15" t="s">
        <v>2479</v>
      </c>
      <c r="T673" s="153"/>
    </row>
    <row r="674" customFormat="false" ht="13.25" hidden="false" customHeight="true" outlineLevel="0" collapsed="false">
      <c r="A674" s="15" t="s">
        <v>2490</v>
      </c>
      <c r="B674" s="35" t="s">
        <v>2423</v>
      </c>
      <c r="C674" s="15" t="s">
        <v>58</v>
      </c>
      <c r="D674" s="15" t="s">
        <v>59</v>
      </c>
      <c r="E674" s="15" t="s">
        <v>60</v>
      </c>
      <c r="F674" s="15" t="s">
        <v>2484</v>
      </c>
      <c r="G674" s="15" t="s">
        <v>62</v>
      </c>
      <c r="J674" s="15" t="s">
        <v>2491</v>
      </c>
      <c r="K674" s="15" t="s">
        <v>2477</v>
      </c>
      <c r="M674" s="15" t="s">
        <v>70</v>
      </c>
      <c r="N674" s="15" t="s">
        <v>2478</v>
      </c>
      <c r="O674" s="16" t="n">
        <v>44143</v>
      </c>
      <c r="P674" s="15" t="s">
        <v>643</v>
      </c>
      <c r="Q674" s="17" t="n">
        <v>991.45</v>
      </c>
      <c r="R674" s="38" t="n">
        <f aca="false">IFERROR(Q674/VLOOKUP(P674,'Exchange rates to USD'!$L$2:$N$225,3,FALSE()),"")</f>
        <v>991.45</v>
      </c>
      <c r="S674" s="15" t="s">
        <v>2479</v>
      </c>
      <c r="T674" s="153"/>
    </row>
    <row r="675" customFormat="false" ht="13.25" hidden="false" customHeight="true" outlineLevel="0" collapsed="false">
      <c r="A675" s="15" t="s">
        <v>2492</v>
      </c>
      <c r="B675" s="35" t="s">
        <v>2423</v>
      </c>
      <c r="C675" s="15" t="s">
        <v>58</v>
      </c>
      <c r="D675" s="15" t="s">
        <v>59</v>
      </c>
      <c r="E675" s="15" t="s">
        <v>60</v>
      </c>
      <c r="F675" s="15" t="s">
        <v>2475</v>
      </c>
      <c r="G675" s="15" t="s">
        <v>62</v>
      </c>
      <c r="J675" s="15" t="s">
        <v>2493</v>
      </c>
      <c r="K675" s="15" t="s">
        <v>2477</v>
      </c>
      <c r="M675" s="15" t="s">
        <v>70</v>
      </c>
      <c r="N675" s="15" t="s">
        <v>2478</v>
      </c>
      <c r="O675" s="16" t="n">
        <v>44143</v>
      </c>
      <c r="P675" s="15" t="s">
        <v>643</v>
      </c>
      <c r="Q675" s="17" t="n">
        <v>495.72</v>
      </c>
      <c r="R675" s="38" t="n">
        <f aca="false">IFERROR(Q675/VLOOKUP(P675,'Exchange rates to USD'!$L$2:$N$225,3,FALSE()),"")</f>
        <v>495.72</v>
      </c>
      <c r="S675" s="15" t="s">
        <v>2479</v>
      </c>
      <c r="T675" s="153"/>
    </row>
    <row r="676" customFormat="false" ht="12.5" hidden="false" customHeight="true" outlineLevel="0" collapsed="false">
      <c r="A676" s="35" t="s">
        <v>2494</v>
      </c>
      <c r="B676" s="35" t="s">
        <v>2423</v>
      </c>
      <c r="C676" s="15" t="s">
        <v>58</v>
      </c>
      <c r="D676" s="15" t="s">
        <v>59</v>
      </c>
      <c r="E676" s="15" t="s">
        <v>60</v>
      </c>
      <c r="F676" s="15" t="s">
        <v>2475</v>
      </c>
      <c r="G676" s="15" t="s">
        <v>62</v>
      </c>
      <c r="J676" s="15" t="s">
        <v>2495</v>
      </c>
      <c r="K676" s="15" t="s">
        <v>2477</v>
      </c>
      <c r="M676" s="15" t="s">
        <v>70</v>
      </c>
      <c r="N676" s="15" t="s">
        <v>2478</v>
      </c>
      <c r="O676" s="16" t="n">
        <v>44143</v>
      </c>
      <c r="P676" s="15" t="s">
        <v>643</v>
      </c>
      <c r="Q676" s="17" t="n">
        <v>495.72</v>
      </c>
      <c r="R676" s="38" t="n">
        <f aca="false">IFERROR(Q676/VLOOKUP(P676,'Exchange rates to USD'!$L$2:$N$225,3,FALSE()),"")</f>
        <v>495.72</v>
      </c>
      <c r="S676" s="15" t="s">
        <v>2479</v>
      </c>
      <c r="T676" s="153"/>
    </row>
    <row r="677" customFormat="false" ht="13.25" hidden="false" customHeight="true" outlineLevel="0" collapsed="false">
      <c r="A677" s="15" t="s">
        <v>2496</v>
      </c>
      <c r="B677" s="35" t="s">
        <v>2423</v>
      </c>
      <c r="C677" s="15" t="s">
        <v>58</v>
      </c>
      <c r="D677" s="15" t="s">
        <v>59</v>
      </c>
      <c r="E677" s="15" t="s">
        <v>90</v>
      </c>
      <c r="G677" s="15" t="s">
        <v>62</v>
      </c>
      <c r="J677" s="15" t="s">
        <v>2497</v>
      </c>
      <c r="K677" s="15" t="s">
        <v>2498</v>
      </c>
      <c r="M677" s="15" t="s">
        <v>93</v>
      </c>
      <c r="O677" s="16" t="n">
        <v>44143</v>
      </c>
      <c r="P677" s="15" t="s">
        <v>643</v>
      </c>
      <c r="R677" s="38" t="n">
        <f aca="false">IFERROR(Q677/VLOOKUP(P677,'Exchange rates to USD'!$L$2:$N$225,3,FALSE()),"")</f>
        <v>0</v>
      </c>
      <c r="S677" s="15" t="s">
        <v>2499</v>
      </c>
      <c r="T677" s="153"/>
    </row>
    <row r="678" customFormat="false" ht="13.25" hidden="false" customHeight="true" outlineLevel="0" collapsed="false">
      <c r="A678" s="15" t="s">
        <v>2500</v>
      </c>
      <c r="B678" s="35" t="s">
        <v>2423</v>
      </c>
      <c r="C678" s="15" t="s">
        <v>58</v>
      </c>
      <c r="D678" s="15" t="s">
        <v>59</v>
      </c>
      <c r="E678" s="15" t="s">
        <v>233</v>
      </c>
      <c r="F678" s="15" t="s">
        <v>2501</v>
      </c>
      <c r="G678" s="15" t="s">
        <v>62</v>
      </c>
      <c r="J678" s="15" t="s">
        <v>2502</v>
      </c>
      <c r="K678" s="15" t="s">
        <v>2503</v>
      </c>
      <c r="M678" s="15" t="s">
        <v>93</v>
      </c>
      <c r="O678" s="16" t="n">
        <v>44143</v>
      </c>
      <c r="P678" s="15" t="s">
        <v>643</v>
      </c>
      <c r="Q678" s="17" t="n">
        <v>2630</v>
      </c>
      <c r="R678" s="38" t="n">
        <f aca="false">IFERROR(Q678/VLOOKUP(P678,'Exchange rates to USD'!$L$2:$N$225,3,FALSE()),"")</f>
        <v>2630</v>
      </c>
      <c r="T678" s="153"/>
    </row>
    <row r="679" customFormat="false" ht="13.25" hidden="false" customHeight="true" outlineLevel="0" collapsed="false">
      <c r="A679" s="15" t="s">
        <v>2504</v>
      </c>
      <c r="B679" s="35" t="s">
        <v>2423</v>
      </c>
      <c r="C679" s="15" t="s">
        <v>122</v>
      </c>
      <c r="D679" s="15" t="s">
        <v>59</v>
      </c>
      <c r="E679" s="15" t="s">
        <v>233</v>
      </c>
      <c r="F679" s="15" t="s">
        <v>1351</v>
      </c>
      <c r="G679" s="15" t="s">
        <v>62</v>
      </c>
      <c r="J679" s="15" t="s">
        <v>2505</v>
      </c>
      <c r="K679" s="15" t="s">
        <v>2503</v>
      </c>
      <c r="M679" s="15" t="s">
        <v>93</v>
      </c>
      <c r="O679" s="16" t="n">
        <v>44143</v>
      </c>
      <c r="P679" s="15" t="s">
        <v>643</v>
      </c>
      <c r="R679" s="38" t="n">
        <f aca="false">IFERROR(Q679/VLOOKUP(P679,'Exchange rates to USD'!$L$2:$N$225,3,FALSE()),"")</f>
        <v>0</v>
      </c>
      <c r="T679" s="153"/>
    </row>
    <row r="680" customFormat="false" ht="13.25" hidden="false" customHeight="true" outlineLevel="0" collapsed="false">
      <c r="A680" s="15" t="s">
        <v>2506</v>
      </c>
      <c r="B680" s="35" t="s">
        <v>2423</v>
      </c>
      <c r="C680" s="15" t="s">
        <v>122</v>
      </c>
      <c r="D680" s="15" t="s">
        <v>59</v>
      </c>
      <c r="E680" s="15" t="s">
        <v>233</v>
      </c>
      <c r="F680" s="15" t="s">
        <v>1351</v>
      </c>
      <c r="G680" s="15" t="s">
        <v>62</v>
      </c>
      <c r="J680" s="15" t="s">
        <v>2507</v>
      </c>
      <c r="K680" s="15" t="s">
        <v>2503</v>
      </c>
      <c r="M680" s="15" t="s">
        <v>93</v>
      </c>
      <c r="O680" s="16" t="n">
        <v>44143</v>
      </c>
      <c r="P680" s="15" t="s">
        <v>643</v>
      </c>
      <c r="R680" s="38" t="n">
        <f aca="false">IFERROR(Q680/VLOOKUP(P680,'Exchange rates to USD'!$L$2:$N$225,3,FALSE()),"")</f>
        <v>0</v>
      </c>
      <c r="T680" s="153"/>
    </row>
    <row r="681" customFormat="false" ht="13.25" hidden="false" customHeight="true" outlineLevel="0" collapsed="false">
      <c r="A681" s="35" t="s">
        <v>2508</v>
      </c>
      <c r="B681" s="35" t="s">
        <v>2423</v>
      </c>
      <c r="C681" s="15" t="s">
        <v>249</v>
      </c>
      <c r="D681" s="15" t="s">
        <v>59</v>
      </c>
      <c r="E681" s="15" t="s">
        <v>233</v>
      </c>
      <c r="F681" s="15" t="s">
        <v>2509</v>
      </c>
      <c r="G681" s="15" t="s">
        <v>62</v>
      </c>
      <c r="J681" s="15" t="s">
        <v>2510</v>
      </c>
      <c r="K681" s="15" t="s">
        <v>2511</v>
      </c>
      <c r="M681" s="15" t="s">
        <v>93</v>
      </c>
      <c r="O681" s="16" t="n">
        <v>44143</v>
      </c>
      <c r="P681" s="15" t="s">
        <v>643</v>
      </c>
      <c r="Q681" s="17" t="n">
        <v>13.14</v>
      </c>
      <c r="R681" s="38" t="n">
        <f aca="false">IFERROR(Q681/VLOOKUP(P681,'Exchange rates to USD'!$L$2:$N$225,3,FALSE()),"")</f>
        <v>13.14</v>
      </c>
      <c r="T681" s="153"/>
    </row>
    <row r="682" customFormat="false" ht="13.25" hidden="false" customHeight="true" outlineLevel="0" collapsed="false">
      <c r="A682" s="15" t="s">
        <v>2512</v>
      </c>
      <c r="B682" s="35" t="s">
        <v>2423</v>
      </c>
      <c r="C682" s="15" t="s">
        <v>58</v>
      </c>
      <c r="D682" s="15" t="s">
        <v>80</v>
      </c>
      <c r="E682" s="15" t="s">
        <v>76</v>
      </c>
      <c r="F682" s="15" t="s">
        <v>2513</v>
      </c>
      <c r="G682" s="15" t="s">
        <v>158</v>
      </c>
      <c r="J682" s="15" t="s">
        <v>2514</v>
      </c>
      <c r="K682" s="15" t="s">
        <v>2515</v>
      </c>
      <c r="M682" s="15" t="s">
        <v>93</v>
      </c>
      <c r="O682" s="16" t="n">
        <v>44294</v>
      </c>
      <c r="P682" s="15" t="s">
        <v>643</v>
      </c>
      <c r="Q682" s="17" t="n">
        <v>223.31</v>
      </c>
      <c r="R682" s="38" t="n">
        <f aca="false">IFERROR(Q682/VLOOKUP(P682,'Exchange rates to USD'!$L$2:$N$225,3,FALSE()),"")</f>
        <v>223.31</v>
      </c>
      <c r="S682" s="15" t="s">
        <v>2516</v>
      </c>
      <c r="T682" s="153"/>
    </row>
    <row r="683" customFormat="false" ht="13.25" hidden="false" customHeight="true" outlineLevel="0" collapsed="false">
      <c r="A683" s="15" t="s">
        <v>2517</v>
      </c>
      <c r="B683" s="35" t="s">
        <v>2423</v>
      </c>
      <c r="C683" s="15" t="s">
        <v>122</v>
      </c>
      <c r="D683" s="15" t="s">
        <v>108</v>
      </c>
      <c r="E683" s="15" t="s">
        <v>95</v>
      </c>
      <c r="G683" s="15" t="s">
        <v>62</v>
      </c>
      <c r="H683" s="15" t="s">
        <v>110</v>
      </c>
      <c r="J683" s="27" t="s">
        <v>2518</v>
      </c>
      <c r="K683" s="15" t="s">
        <v>2519</v>
      </c>
      <c r="M683" s="15" t="s">
        <v>93</v>
      </c>
      <c r="O683" s="16" t="n">
        <v>44150</v>
      </c>
      <c r="P683" s="15" t="s">
        <v>643</v>
      </c>
      <c r="R683" s="38" t="n">
        <f aca="false">IFERROR(Q683/VLOOKUP(P683,'Exchange rates to USD'!$L$2:$N$225,3,FALSE()),"")</f>
        <v>0</v>
      </c>
      <c r="T683" s="153"/>
    </row>
    <row r="684" customFormat="false" ht="13.25" hidden="false" customHeight="true" outlineLevel="0" collapsed="false">
      <c r="A684" s="15" t="s">
        <v>2520</v>
      </c>
      <c r="B684" s="35" t="s">
        <v>2423</v>
      </c>
      <c r="C684" s="15" t="s">
        <v>58</v>
      </c>
      <c r="D684" s="15" t="s">
        <v>108</v>
      </c>
      <c r="E684" s="15" t="s">
        <v>95</v>
      </c>
      <c r="F684" s="15" t="s">
        <v>2521</v>
      </c>
      <c r="G684" s="15" t="s">
        <v>62</v>
      </c>
      <c r="J684" s="15" t="s">
        <v>2522</v>
      </c>
      <c r="K684" s="15" t="s">
        <v>2523</v>
      </c>
      <c r="M684" s="15" t="s">
        <v>93</v>
      </c>
      <c r="O684" s="16" t="n">
        <v>44150</v>
      </c>
      <c r="P684" s="15" t="s">
        <v>643</v>
      </c>
      <c r="Q684" s="17" t="n">
        <v>80</v>
      </c>
      <c r="R684" s="38" t="n">
        <f aca="false">IFERROR(Q684/VLOOKUP(P684,'Exchange rates to USD'!$L$2:$N$225,3,FALSE()),"")</f>
        <v>80</v>
      </c>
      <c r="T684" s="153"/>
    </row>
    <row r="685" customFormat="false" ht="13.25" hidden="false" customHeight="true" outlineLevel="0" collapsed="false">
      <c r="A685" s="15" t="s">
        <v>2524</v>
      </c>
      <c r="B685" s="35" t="s">
        <v>2423</v>
      </c>
      <c r="C685" s="15" t="s">
        <v>58</v>
      </c>
      <c r="D685" s="15" t="s">
        <v>108</v>
      </c>
      <c r="E685" s="15" t="s">
        <v>95</v>
      </c>
      <c r="F685" s="15" t="s">
        <v>2525</v>
      </c>
      <c r="G685" s="15" t="s">
        <v>62</v>
      </c>
      <c r="J685" s="15" t="s">
        <v>2526</v>
      </c>
      <c r="K685" s="15" t="s">
        <v>2527</v>
      </c>
      <c r="M685" s="15" t="s">
        <v>93</v>
      </c>
      <c r="O685" s="16" t="n">
        <v>44150</v>
      </c>
      <c r="P685" s="15" t="s">
        <v>643</v>
      </c>
      <c r="Q685" s="17" t="n">
        <v>2020</v>
      </c>
      <c r="R685" s="38" t="n">
        <f aca="false">IFERROR(Q685/VLOOKUP(P685,'Exchange rates to USD'!$L$2:$N$225,3,FALSE()),"")</f>
        <v>2020</v>
      </c>
      <c r="T685" s="153"/>
    </row>
    <row r="686" customFormat="false" ht="13.25" hidden="false" customHeight="true" outlineLevel="0" collapsed="false">
      <c r="A686" s="15" t="s">
        <v>2528</v>
      </c>
      <c r="B686" s="35" t="s">
        <v>2423</v>
      </c>
      <c r="C686" s="15" t="s">
        <v>58</v>
      </c>
      <c r="D686" s="15" t="s">
        <v>59</v>
      </c>
      <c r="E686" s="15" t="s">
        <v>116</v>
      </c>
      <c r="F686" s="15" t="s">
        <v>2529</v>
      </c>
      <c r="G686" s="15" t="s">
        <v>62</v>
      </c>
      <c r="J686" s="15" t="s">
        <v>2530</v>
      </c>
      <c r="K686" s="15" t="s">
        <v>2531</v>
      </c>
      <c r="M686" s="15" t="s">
        <v>113</v>
      </c>
      <c r="N686" s="15" t="s">
        <v>2532</v>
      </c>
      <c r="O686" s="16" t="n">
        <v>44207</v>
      </c>
      <c r="P686" s="15" t="s">
        <v>2427</v>
      </c>
      <c r="Q686" s="17" t="n">
        <v>1300</v>
      </c>
      <c r="R686" s="38" t="n">
        <f aca="false">IFERROR(Q686/VLOOKUP(P686,'Exchange rates to USD'!$L$2:$N$225,3,FALSE()),"")</f>
        <v>1656.30732993947</v>
      </c>
      <c r="T686" s="153"/>
    </row>
    <row r="687" customFormat="false" ht="13.25" hidden="false" customHeight="true" outlineLevel="0" collapsed="false">
      <c r="A687" s="15" t="s">
        <v>2533</v>
      </c>
      <c r="B687" s="35" t="s">
        <v>2423</v>
      </c>
      <c r="C687" s="15" t="s">
        <v>58</v>
      </c>
      <c r="D687" s="15" t="s">
        <v>108</v>
      </c>
      <c r="E687" s="15" t="s">
        <v>76</v>
      </c>
      <c r="F687" s="15" t="s">
        <v>2534</v>
      </c>
      <c r="G687" s="15" t="s">
        <v>62</v>
      </c>
      <c r="J687" s="15" t="s">
        <v>2535</v>
      </c>
      <c r="L687" s="15" t="s">
        <v>2536</v>
      </c>
      <c r="M687" s="15" t="s">
        <v>113</v>
      </c>
      <c r="O687" s="16" t="n">
        <v>44150</v>
      </c>
      <c r="P687" s="15" t="s">
        <v>643</v>
      </c>
      <c r="Q687" s="17" t="n">
        <v>1890</v>
      </c>
      <c r="R687" s="38" t="n">
        <f aca="false">IFERROR(Q687/VLOOKUP(P687,'Exchange rates to USD'!$L$2:$N$225,3,FALSE()),"")</f>
        <v>1890</v>
      </c>
      <c r="T687" s="153"/>
    </row>
    <row r="688" customFormat="false" ht="13.25" hidden="false" customHeight="true" outlineLevel="0" collapsed="false">
      <c r="A688" s="35" t="s">
        <v>2537</v>
      </c>
      <c r="B688" s="35" t="s">
        <v>2423</v>
      </c>
      <c r="C688" s="15" t="s">
        <v>249</v>
      </c>
      <c r="D688" s="15" t="s">
        <v>59</v>
      </c>
      <c r="E688" s="15" t="s">
        <v>60</v>
      </c>
      <c r="F688" s="15" t="s">
        <v>2538</v>
      </c>
      <c r="G688" s="15" t="s">
        <v>62</v>
      </c>
      <c r="J688" s="15" t="s">
        <v>2539</v>
      </c>
      <c r="K688" s="15" t="s">
        <v>2540</v>
      </c>
      <c r="L688" s="15" t="s">
        <v>2541</v>
      </c>
      <c r="M688" s="15" t="s">
        <v>93</v>
      </c>
      <c r="O688" s="16" t="n">
        <v>44150</v>
      </c>
      <c r="P688" s="15" t="s">
        <v>643</v>
      </c>
      <c r="Q688" s="17" t="n">
        <v>250</v>
      </c>
      <c r="R688" s="38" t="n">
        <f aca="false">IFERROR(Q688/VLOOKUP(P688,'Exchange rates to USD'!$L$2:$N$225,3,FALSE()),"")</f>
        <v>250</v>
      </c>
      <c r="T688" s="153"/>
    </row>
    <row r="689" customFormat="false" ht="13.25" hidden="false" customHeight="true" outlineLevel="0" collapsed="false">
      <c r="A689" s="15" t="s">
        <v>2542</v>
      </c>
      <c r="B689" s="35" t="s">
        <v>2423</v>
      </c>
      <c r="C689" s="15" t="s">
        <v>122</v>
      </c>
      <c r="D689" s="15" t="s">
        <v>59</v>
      </c>
      <c r="E689" s="15" t="s">
        <v>233</v>
      </c>
      <c r="F689" s="15" t="s">
        <v>1351</v>
      </c>
      <c r="G689" s="15" t="s">
        <v>62</v>
      </c>
      <c r="H689" s="15" t="s">
        <v>110</v>
      </c>
      <c r="J689" s="160" t="s">
        <v>2543</v>
      </c>
      <c r="K689" s="15" t="s">
        <v>2544</v>
      </c>
      <c r="M689" s="15" t="s">
        <v>93</v>
      </c>
      <c r="N689" s="15" t="s">
        <v>2545</v>
      </c>
      <c r="O689" s="16" t="n">
        <v>44232</v>
      </c>
      <c r="P689" s="15" t="s">
        <v>643</v>
      </c>
      <c r="R689" s="38" t="n">
        <f aca="false">IFERROR(Q689/VLOOKUP(P689,'Exchange rates to USD'!$L$2:$N$225,3,FALSE()),"")</f>
        <v>0</v>
      </c>
      <c r="T689" s="153"/>
    </row>
    <row r="690" customFormat="false" ht="13.25" hidden="false" customHeight="true" outlineLevel="0" collapsed="false">
      <c r="A690" s="15" t="s">
        <v>2546</v>
      </c>
      <c r="B690" s="35" t="s">
        <v>2423</v>
      </c>
      <c r="C690" s="15" t="s">
        <v>232</v>
      </c>
      <c r="D690" s="15" t="s">
        <v>59</v>
      </c>
      <c r="E690" s="15" t="s">
        <v>95</v>
      </c>
      <c r="F690" s="15" t="s">
        <v>2547</v>
      </c>
      <c r="G690" s="15" t="s">
        <v>62</v>
      </c>
      <c r="H690" s="15" t="s">
        <v>110</v>
      </c>
      <c r="J690" s="15" t="s">
        <v>2548</v>
      </c>
      <c r="K690" s="15" t="s">
        <v>2544</v>
      </c>
      <c r="M690" s="15" t="s">
        <v>93</v>
      </c>
      <c r="O690" s="16" t="n">
        <v>44155</v>
      </c>
      <c r="P690" s="15" t="s">
        <v>643</v>
      </c>
      <c r="R690" s="38" t="n">
        <f aca="false">IFERROR(Q690/VLOOKUP(P690,'Exchange rates to USD'!$L$2:$N$225,3,FALSE()),"")</f>
        <v>0</v>
      </c>
      <c r="T690" s="153"/>
    </row>
    <row r="691" customFormat="false" ht="13.25" hidden="false" customHeight="true" outlineLevel="0" collapsed="false">
      <c r="A691" s="15" t="s">
        <v>2549</v>
      </c>
      <c r="B691" s="35" t="s">
        <v>2423</v>
      </c>
      <c r="C691" s="15" t="s">
        <v>232</v>
      </c>
      <c r="D691" s="15" t="s">
        <v>59</v>
      </c>
      <c r="E691" s="15" t="s">
        <v>95</v>
      </c>
      <c r="F691" s="15" t="s">
        <v>2550</v>
      </c>
      <c r="G691" s="15" t="s">
        <v>62</v>
      </c>
      <c r="H691" s="15" t="s">
        <v>110</v>
      </c>
      <c r="J691" s="15" t="s">
        <v>2551</v>
      </c>
      <c r="K691" s="15" t="s">
        <v>2544</v>
      </c>
      <c r="M691" s="15" t="s">
        <v>93</v>
      </c>
      <c r="O691" s="16" t="n">
        <v>44155</v>
      </c>
      <c r="P691" s="15" t="s">
        <v>643</v>
      </c>
      <c r="Q691" s="17" t="n">
        <v>212.5</v>
      </c>
      <c r="R691" s="38" t="n">
        <f aca="false">IFERROR(Q691/VLOOKUP(P691,'Exchange rates to USD'!$L$2:$N$225,3,FALSE()),"")</f>
        <v>212.5</v>
      </c>
      <c r="T691" s="153"/>
    </row>
    <row r="692" customFormat="false" ht="13.25" hidden="false" customHeight="true" outlineLevel="0" collapsed="false">
      <c r="A692" s="15" t="s">
        <v>2552</v>
      </c>
      <c r="B692" s="35" t="s">
        <v>2423</v>
      </c>
      <c r="C692" s="15" t="s">
        <v>232</v>
      </c>
      <c r="D692" s="15" t="s">
        <v>59</v>
      </c>
      <c r="E692" s="15" t="s">
        <v>76</v>
      </c>
      <c r="F692" s="15" t="s">
        <v>2547</v>
      </c>
      <c r="G692" s="15" t="s">
        <v>62</v>
      </c>
      <c r="J692" s="15" t="s">
        <v>2553</v>
      </c>
      <c r="K692" s="15" t="s">
        <v>2544</v>
      </c>
      <c r="M692" s="15" t="s">
        <v>93</v>
      </c>
      <c r="O692" s="16" t="n">
        <v>44155</v>
      </c>
      <c r="P692" s="15" t="s">
        <v>643</v>
      </c>
      <c r="R692" s="38" t="n">
        <f aca="false">IFERROR(Q692/VLOOKUP(P692,'Exchange rates to USD'!$L$2:$N$225,3,FALSE()),"")</f>
        <v>0</v>
      </c>
      <c r="T692" s="153"/>
    </row>
    <row r="693" customFormat="false" ht="13.25" hidden="false" customHeight="true" outlineLevel="0" collapsed="false">
      <c r="A693" s="35" t="s">
        <v>2554</v>
      </c>
      <c r="B693" s="35" t="s">
        <v>2423</v>
      </c>
      <c r="C693" s="15" t="s">
        <v>58</v>
      </c>
      <c r="D693" s="15" t="s">
        <v>59</v>
      </c>
      <c r="E693" s="15" t="s">
        <v>76</v>
      </c>
      <c r="F693" s="15" t="s">
        <v>2555</v>
      </c>
      <c r="G693" s="15" t="s">
        <v>62</v>
      </c>
      <c r="J693" s="15" t="s">
        <v>2556</v>
      </c>
      <c r="K693" s="15" t="s">
        <v>2544</v>
      </c>
      <c r="M693" s="15" t="s">
        <v>93</v>
      </c>
      <c r="O693" s="16" t="n">
        <v>44155</v>
      </c>
      <c r="P693" s="15" t="s">
        <v>643</v>
      </c>
      <c r="Q693" s="17" t="n">
        <v>318.8</v>
      </c>
      <c r="R693" s="38" t="n">
        <f aca="false">IFERROR(Q693/VLOOKUP(P693,'Exchange rates to USD'!$L$2:$N$225,3,FALSE()),"")</f>
        <v>318.8</v>
      </c>
      <c r="T693" s="153"/>
    </row>
    <row r="694" customFormat="false" ht="13.25" hidden="false" customHeight="true" outlineLevel="0" collapsed="false">
      <c r="A694" s="15" t="s">
        <v>2557</v>
      </c>
      <c r="B694" s="35" t="s">
        <v>2423</v>
      </c>
      <c r="C694" s="15" t="s">
        <v>58</v>
      </c>
      <c r="D694" s="15" t="s">
        <v>59</v>
      </c>
      <c r="E694" s="15" t="s">
        <v>95</v>
      </c>
      <c r="F694" s="15" t="s">
        <v>2558</v>
      </c>
      <c r="G694" s="15" t="s">
        <v>62</v>
      </c>
      <c r="H694" s="15" t="s">
        <v>110</v>
      </c>
      <c r="J694" s="15" t="s">
        <v>2559</v>
      </c>
      <c r="K694" s="15" t="s">
        <v>2544</v>
      </c>
      <c r="M694" s="15" t="s">
        <v>93</v>
      </c>
      <c r="O694" s="16" t="n">
        <v>44155</v>
      </c>
      <c r="P694" s="15" t="s">
        <v>643</v>
      </c>
      <c r="Q694" s="17" t="n">
        <v>225.8</v>
      </c>
      <c r="R694" s="37" t="n">
        <f aca="false">IFERROR(Q694/VLOOKUP(P694,'Exchange rates to USD'!$L$2:$N$225,3,FALSE()),"")</f>
        <v>225.8</v>
      </c>
      <c r="T694" s="153"/>
    </row>
    <row r="695" customFormat="false" ht="13.25" hidden="false" customHeight="true" outlineLevel="0" collapsed="false">
      <c r="A695" s="15" t="s">
        <v>2560</v>
      </c>
      <c r="B695" s="35" t="s">
        <v>2423</v>
      </c>
      <c r="C695" s="15" t="s">
        <v>58</v>
      </c>
      <c r="D695" s="15" t="s">
        <v>59</v>
      </c>
      <c r="E695" s="15" t="s">
        <v>95</v>
      </c>
      <c r="F695" s="15" t="s">
        <v>2561</v>
      </c>
      <c r="G695" s="15" t="s">
        <v>62</v>
      </c>
      <c r="H695" s="15" t="s">
        <v>110</v>
      </c>
      <c r="J695" s="15" t="s">
        <v>2562</v>
      </c>
      <c r="K695" s="15" t="s">
        <v>2544</v>
      </c>
      <c r="M695" s="15" t="s">
        <v>113</v>
      </c>
      <c r="N695" s="15" t="s">
        <v>2563</v>
      </c>
      <c r="O695" s="16" t="n">
        <v>44294</v>
      </c>
      <c r="P695" s="15" t="s">
        <v>643</v>
      </c>
      <c r="Q695" s="17" t="n">
        <v>53.3</v>
      </c>
      <c r="R695" s="37" t="n">
        <f aca="false">IFERROR(Q695/VLOOKUP(P695,'Exchange rates to USD'!$L$2:$N$225,3,FALSE()),"")</f>
        <v>53.3</v>
      </c>
      <c r="S695" s="15" t="s">
        <v>2499</v>
      </c>
      <c r="T695" s="153"/>
    </row>
    <row r="696" customFormat="false" ht="13.25" hidden="false" customHeight="true" outlineLevel="0" collapsed="false">
      <c r="A696" s="15" t="s">
        <v>2564</v>
      </c>
      <c r="B696" s="35" t="s">
        <v>2423</v>
      </c>
      <c r="C696" s="15" t="s">
        <v>58</v>
      </c>
      <c r="D696" s="15" t="s">
        <v>59</v>
      </c>
      <c r="E696" s="15" t="s">
        <v>233</v>
      </c>
      <c r="F696" s="15" t="s">
        <v>2565</v>
      </c>
      <c r="G696" s="15" t="s">
        <v>62</v>
      </c>
      <c r="H696" s="15" t="s">
        <v>110</v>
      </c>
      <c r="J696" s="15" t="s">
        <v>2566</v>
      </c>
      <c r="K696" s="15" t="s">
        <v>2544</v>
      </c>
      <c r="L696" s="15" t="s">
        <v>2567</v>
      </c>
      <c r="M696" s="15" t="s">
        <v>93</v>
      </c>
      <c r="N696" s="15" t="s">
        <v>2568</v>
      </c>
      <c r="O696" s="16" t="n">
        <v>44294</v>
      </c>
      <c r="P696" s="15" t="s">
        <v>643</v>
      </c>
      <c r="Q696" s="17" t="n">
        <v>1330</v>
      </c>
      <c r="R696" s="37" t="n">
        <f aca="false">IFERROR(Q696/VLOOKUP(P696,'Exchange rates to USD'!$L$2:$N$225,3,FALSE()),"")</f>
        <v>1330</v>
      </c>
      <c r="T696" s="153"/>
    </row>
    <row r="697" customFormat="false" ht="13.25" hidden="false" customHeight="true" outlineLevel="0" collapsed="false">
      <c r="A697" s="15" t="s">
        <v>2569</v>
      </c>
      <c r="B697" s="35" t="s">
        <v>2423</v>
      </c>
      <c r="C697" s="15" t="s">
        <v>58</v>
      </c>
      <c r="D697" s="15" t="s">
        <v>59</v>
      </c>
      <c r="E697" s="15" t="s">
        <v>233</v>
      </c>
      <c r="F697" s="15" t="s">
        <v>2570</v>
      </c>
      <c r="G697" s="15" t="s">
        <v>62</v>
      </c>
      <c r="H697" s="15" t="s">
        <v>110</v>
      </c>
      <c r="J697" s="15" t="s">
        <v>2571</v>
      </c>
      <c r="K697" s="15" t="s">
        <v>2544</v>
      </c>
      <c r="M697" s="15" t="s">
        <v>93</v>
      </c>
      <c r="O697" s="16" t="n">
        <v>44155</v>
      </c>
      <c r="P697" s="15" t="s">
        <v>643</v>
      </c>
      <c r="Q697" s="17" t="n">
        <v>1730</v>
      </c>
      <c r="R697" s="37" t="n">
        <f aca="false">IFERROR(Q697/VLOOKUP(P697,'Exchange rates to USD'!$L$2:$N$225,3,FALSE()),"")</f>
        <v>1730</v>
      </c>
      <c r="T697" s="153"/>
    </row>
    <row r="698" customFormat="false" ht="13.25" hidden="false" customHeight="true" outlineLevel="0" collapsed="false">
      <c r="A698" s="15" t="s">
        <v>2572</v>
      </c>
      <c r="B698" s="35" t="s">
        <v>2423</v>
      </c>
      <c r="C698" s="15" t="s">
        <v>58</v>
      </c>
      <c r="D698" s="15" t="s">
        <v>59</v>
      </c>
      <c r="E698" s="15" t="s">
        <v>233</v>
      </c>
      <c r="F698" s="15" t="s">
        <v>2573</v>
      </c>
      <c r="G698" s="15" t="s">
        <v>62</v>
      </c>
      <c r="H698" s="15" t="s">
        <v>110</v>
      </c>
      <c r="J698" s="15" t="s">
        <v>2574</v>
      </c>
      <c r="K698" s="15" t="s">
        <v>2544</v>
      </c>
      <c r="M698" s="15" t="s">
        <v>93</v>
      </c>
      <c r="O698" s="16" t="n">
        <v>44155</v>
      </c>
      <c r="P698" s="15" t="s">
        <v>643</v>
      </c>
      <c r="Q698" s="17" t="n">
        <v>772.86</v>
      </c>
      <c r="R698" s="38" t="n">
        <f aca="false">IFERROR(Q698/VLOOKUP(P698,'Exchange rates to USD'!$L$2:$N$225,3,FALSE()),"")</f>
        <v>772.86</v>
      </c>
      <c r="T698" s="153"/>
    </row>
    <row r="699" customFormat="false" ht="13.25" hidden="false" customHeight="true" outlineLevel="0" collapsed="false">
      <c r="A699" s="15" t="s">
        <v>2575</v>
      </c>
      <c r="B699" s="35" t="s">
        <v>2423</v>
      </c>
      <c r="C699" s="15" t="s">
        <v>249</v>
      </c>
      <c r="D699" s="15" t="s">
        <v>59</v>
      </c>
      <c r="E699" s="15" t="s">
        <v>233</v>
      </c>
      <c r="F699" s="15" t="s">
        <v>2576</v>
      </c>
      <c r="G699" s="15" t="s">
        <v>62</v>
      </c>
      <c r="H699" s="15" t="s">
        <v>110</v>
      </c>
      <c r="J699" s="15" t="s">
        <v>2577</v>
      </c>
      <c r="K699" s="15" t="s">
        <v>2544</v>
      </c>
      <c r="M699" s="15" t="s">
        <v>93</v>
      </c>
      <c r="O699" s="16" t="n">
        <v>44155</v>
      </c>
      <c r="P699" s="15" t="s">
        <v>643</v>
      </c>
      <c r="Q699" s="17" t="n">
        <v>26.56</v>
      </c>
      <c r="R699" s="38" t="n">
        <f aca="false">IFERROR(Q699/VLOOKUP(P699,'Exchange rates to USD'!$L$2:$N$225,3,FALSE()),"")</f>
        <v>26.56</v>
      </c>
      <c r="T699" s="153"/>
    </row>
    <row r="700" customFormat="false" ht="13.25" hidden="false" customHeight="true" outlineLevel="0" collapsed="false">
      <c r="A700" s="35" t="s">
        <v>2578</v>
      </c>
      <c r="B700" s="35" t="s">
        <v>2423</v>
      </c>
      <c r="C700" s="15" t="s">
        <v>58</v>
      </c>
      <c r="D700" s="15" t="s">
        <v>59</v>
      </c>
      <c r="E700" s="15" t="s">
        <v>233</v>
      </c>
      <c r="F700" s="15" t="s">
        <v>2579</v>
      </c>
      <c r="G700" s="15" t="s">
        <v>62</v>
      </c>
      <c r="H700" s="15" t="s">
        <v>110</v>
      </c>
      <c r="J700" s="15" t="s">
        <v>2580</v>
      </c>
      <c r="K700" s="15" t="s">
        <v>2544</v>
      </c>
      <c r="M700" s="15" t="s">
        <v>93</v>
      </c>
      <c r="O700" s="16" t="n">
        <v>44155</v>
      </c>
      <c r="P700" s="15" t="s">
        <v>643</v>
      </c>
      <c r="Q700" s="17" t="n">
        <v>159.35</v>
      </c>
      <c r="R700" s="38" t="n">
        <f aca="false">IFERROR(Q700/VLOOKUP(P700,'Exchange rates to USD'!$L$2:$N$225,3,FALSE()),"")</f>
        <v>159.35</v>
      </c>
      <c r="T700" s="153"/>
    </row>
    <row r="701" customFormat="false" ht="13.25" hidden="false" customHeight="true" outlineLevel="0" collapsed="false">
      <c r="A701" s="15" t="s">
        <v>2581</v>
      </c>
      <c r="B701" s="35" t="s">
        <v>2423</v>
      </c>
      <c r="C701" s="15" t="s">
        <v>58</v>
      </c>
      <c r="D701" s="15" t="s">
        <v>59</v>
      </c>
      <c r="E701" s="15" t="s">
        <v>233</v>
      </c>
      <c r="F701" s="15" t="s">
        <v>2582</v>
      </c>
      <c r="G701" s="15" t="s">
        <v>62</v>
      </c>
      <c r="H701" s="15" t="s">
        <v>110</v>
      </c>
      <c r="J701" s="15" t="s">
        <v>2583</v>
      </c>
      <c r="K701" s="15" t="s">
        <v>2544</v>
      </c>
      <c r="M701" s="15" t="s">
        <v>93</v>
      </c>
      <c r="O701" s="16" t="n">
        <v>44155</v>
      </c>
      <c r="P701" s="15" t="s">
        <v>643</v>
      </c>
      <c r="R701" s="38" t="n">
        <f aca="false">IFERROR(Q701/VLOOKUP(P701,'Exchange rates to USD'!$L$2:$N$225,3,FALSE()),"")</f>
        <v>0</v>
      </c>
      <c r="T701" s="153"/>
    </row>
    <row r="702" customFormat="false" ht="13.25" hidden="false" customHeight="true" outlineLevel="0" collapsed="false">
      <c r="A702" s="15" t="s">
        <v>2584</v>
      </c>
      <c r="B702" s="35" t="s">
        <v>2423</v>
      </c>
      <c r="C702" s="15" t="s">
        <v>249</v>
      </c>
      <c r="D702" s="15" t="s">
        <v>59</v>
      </c>
      <c r="E702" s="15" t="s">
        <v>60</v>
      </c>
      <c r="F702" s="15" t="s">
        <v>2585</v>
      </c>
      <c r="G702" s="15" t="s">
        <v>62</v>
      </c>
      <c r="J702" s="15" t="s">
        <v>2586</v>
      </c>
      <c r="K702" s="15" t="s">
        <v>2544</v>
      </c>
      <c r="M702" s="15" t="s">
        <v>93</v>
      </c>
      <c r="O702" s="16" t="n">
        <v>44155</v>
      </c>
      <c r="P702" s="15" t="s">
        <v>643</v>
      </c>
      <c r="Q702" s="17" t="n">
        <v>19.92</v>
      </c>
      <c r="R702" s="38" t="n">
        <f aca="false">IFERROR(Q702/VLOOKUP(P702,'Exchange rates to USD'!$L$2:$N$225,3,FALSE()),"")</f>
        <v>19.92</v>
      </c>
      <c r="T702" s="153"/>
    </row>
    <row r="703" customFormat="false" ht="13.25" hidden="false" customHeight="true" outlineLevel="0" collapsed="false">
      <c r="A703" s="15" t="s">
        <v>2587</v>
      </c>
      <c r="B703" s="35" t="s">
        <v>2423</v>
      </c>
      <c r="C703" s="15" t="s">
        <v>58</v>
      </c>
      <c r="D703" s="15" t="s">
        <v>59</v>
      </c>
      <c r="E703" s="15" t="s">
        <v>60</v>
      </c>
      <c r="F703" s="15" t="s">
        <v>2585</v>
      </c>
      <c r="G703" s="15" t="s">
        <v>62</v>
      </c>
      <c r="J703" s="15" t="s">
        <v>2588</v>
      </c>
      <c r="K703" s="15" t="s">
        <v>2544</v>
      </c>
      <c r="M703" s="15" t="s">
        <v>93</v>
      </c>
      <c r="O703" s="16" t="n">
        <v>44155</v>
      </c>
      <c r="P703" s="15" t="s">
        <v>643</v>
      </c>
      <c r="Q703" s="17" t="n">
        <v>19.92</v>
      </c>
      <c r="R703" s="38" t="n">
        <f aca="false">IFERROR(Q703/VLOOKUP(P703,'Exchange rates to USD'!$L$2:$N$225,3,FALSE()),"")</f>
        <v>19.92</v>
      </c>
      <c r="T703" s="153"/>
    </row>
    <row r="704" customFormat="false" ht="13.25" hidden="false" customHeight="true" outlineLevel="0" collapsed="false">
      <c r="A704" s="15" t="s">
        <v>2589</v>
      </c>
      <c r="B704" s="35" t="s">
        <v>2423</v>
      </c>
      <c r="C704" s="15" t="s">
        <v>249</v>
      </c>
      <c r="D704" s="15" t="s">
        <v>59</v>
      </c>
      <c r="E704" s="15" t="s">
        <v>233</v>
      </c>
      <c r="F704" s="15" t="s">
        <v>2576</v>
      </c>
      <c r="G704" s="15" t="s">
        <v>62</v>
      </c>
      <c r="J704" s="15" t="s">
        <v>2590</v>
      </c>
      <c r="K704" s="15" t="s">
        <v>2544</v>
      </c>
      <c r="M704" s="15" t="s">
        <v>93</v>
      </c>
      <c r="O704" s="16" t="n">
        <v>44155</v>
      </c>
      <c r="P704" s="15" t="s">
        <v>643</v>
      </c>
      <c r="Q704" s="17" t="n">
        <v>26.56</v>
      </c>
      <c r="R704" s="38" t="n">
        <f aca="false">IFERROR(Q704/VLOOKUP(P704,'Exchange rates to USD'!$L$2:$N$225,3,FALSE()),"")</f>
        <v>26.56</v>
      </c>
      <c r="T704" s="153"/>
    </row>
    <row r="705" customFormat="false" ht="13.25" hidden="false" customHeight="true" outlineLevel="0" collapsed="false">
      <c r="A705" s="35" t="s">
        <v>2591</v>
      </c>
      <c r="B705" s="35" t="s">
        <v>2423</v>
      </c>
      <c r="C705" s="15" t="s">
        <v>232</v>
      </c>
      <c r="D705" s="15" t="s">
        <v>59</v>
      </c>
      <c r="E705" s="15" t="s">
        <v>116</v>
      </c>
      <c r="F705" s="15" t="s">
        <v>1351</v>
      </c>
      <c r="G705" s="15" t="s">
        <v>62</v>
      </c>
      <c r="J705" s="15" t="s">
        <v>2592</v>
      </c>
      <c r="K705" s="15" t="s">
        <v>2544</v>
      </c>
      <c r="M705" s="15" t="s">
        <v>93</v>
      </c>
      <c r="O705" s="16" t="n">
        <v>44155</v>
      </c>
      <c r="P705" s="15" t="s">
        <v>643</v>
      </c>
      <c r="R705" s="38" t="n">
        <f aca="false">IFERROR(Q705/VLOOKUP(P705,'Exchange rates to USD'!$L$2:$N$225,3,FALSE()),"")</f>
        <v>0</v>
      </c>
      <c r="T705" s="153"/>
    </row>
    <row r="706" customFormat="false" ht="13.25" hidden="false" customHeight="true" outlineLevel="0" collapsed="false">
      <c r="A706" s="15" t="s">
        <v>2593</v>
      </c>
      <c r="B706" s="35" t="s">
        <v>2423</v>
      </c>
      <c r="C706" s="15" t="s">
        <v>232</v>
      </c>
      <c r="D706" s="15" t="s">
        <v>59</v>
      </c>
      <c r="E706" s="15" t="s">
        <v>116</v>
      </c>
      <c r="F706" s="15" t="s">
        <v>1351</v>
      </c>
      <c r="G706" s="15" t="s">
        <v>62</v>
      </c>
      <c r="J706" s="15" t="s">
        <v>2594</v>
      </c>
      <c r="K706" s="15" t="s">
        <v>2544</v>
      </c>
      <c r="M706" s="15" t="s">
        <v>93</v>
      </c>
      <c r="O706" s="16" t="n">
        <v>44155</v>
      </c>
      <c r="P706" s="15" t="s">
        <v>643</v>
      </c>
      <c r="R706" s="38" t="n">
        <f aca="false">IFERROR(Q706/VLOOKUP(P706,'Exchange rates to USD'!$L$2:$N$225,3,FALSE()),"")</f>
        <v>0</v>
      </c>
      <c r="T706" s="153"/>
    </row>
    <row r="707" customFormat="false" ht="13.25" hidden="false" customHeight="true" outlineLevel="0" collapsed="false">
      <c r="A707" s="15" t="s">
        <v>2595</v>
      </c>
      <c r="B707" s="35" t="s">
        <v>2423</v>
      </c>
      <c r="C707" s="15" t="s">
        <v>58</v>
      </c>
      <c r="D707" s="15" t="s">
        <v>59</v>
      </c>
      <c r="E707" s="15" t="s">
        <v>90</v>
      </c>
      <c r="F707" s="15" t="s">
        <v>2565</v>
      </c>
      <c r="G707" s="15" t="s">
        <v>62</v>
      </c>
      <c r="J707" s="15" t="s">
        <v>2596</v>
      </c>
      <c r="K707" s="15" t="s">
        <v>2544</v>
      </c>
      <c r="M707" s="15" t="s">
        <v>93</v>
      </c>
      <c r="O707" s="16" t="n">
        <v>44155</v>
      </c>
      <c r="P707" s="15" t="s">
        <v>643</v>
      </c>
      <c r="Q707" s="17" t="n">
        <v>1330</v>
      </c>
      <c r="R707" s="38" t="n">
        <f aca="false">IFERROR(Q707/VLOOKUP(P707,'Exchange rates to USD'!$L$2:$N$225,3,FALSE()),"")</f>
        <v>1330</v>
      </c>
      <c r="T707" s="153"/>
    </row>
    <row r="708" customFormat="false" ht="13.25" hidden="false" customHeight="true" outlineLevel="0" collapsed="false">
      <c r="A708" s="15" t="s">
        <v>2597</v>
      </c>
      <c r="B708" s="35" t="s">
        <v>2423</v>
      </c>
      <c r="C708" s="15" t="s">
        <v>58</v>
      </c>
      <c r="D708" s="15" t="s">
        <v>80</v>
      </c>
      <c r="E708" s="15" t="s">
        <v>76</v>
      </c>
      <c r="F708" s="15" t="s">
        <v>2598</v>
      </c>
      <c r="G708" s="15" t="s">
        <v>62</v>
      </c>
      <c r="H708" s="15" t="s">
        <v>77</v>
      </c>
      <c r="J708" s="15" t="s">
        <v>2599</v>
      </c>
      <c r="K708" s="15" t="s">
        <v>2544</v>
      </c>
      <c r="M708" s="15" t="s">
        <v>93</v>
      </c>
      <c r="N708" s="15" t="s">
        <v>2599</v>
      </c>
      <c r="O708" s="16" t="n">
        <v>44294</v>
      </c>
      <c r="P708" s="15" t="s">
        <v>643</v>
      </c>
      <c r="Q708" s="17" t="n">
        <v>106</v>
      </c>
      <c r="R708" s="38" t="n">
        <f aca="false">IFERROR(Q708/VLOOKUP(P708,'Exchange rates to USD'!$L$2:$N$225,3,FALSE()),"")</f>
        <v>106</v>
      </c>
      <c r="T708" s="161"/>
    </row>
    <row r="709" customFormat="false" ht="13.25" hidden="false" customHeight="true" outlineLevel="0" collapsed="false">
      <c r="A709" s="15" t="s">
        <v>2600</v>
      </c>
      <c r="B709" s="35" t="s">
        <v>2423</v>
      </c>
      <c r="C709" s="15" t="s">
        <v>58</v>
      </c>
      <c r="D709" s="15" t="s">
        <v>108</v>
      </c>
      <c r="E709" s="15" t="s">
        <v>76</v>
      </c>
      <c r="F709" s="15" t="s">
        <v>2601</v>
      </c>
      <c r="G709" s="15" t="s">
        <v>158</v>
      </c>
      <c r="J709" s="15" t="s">
        <v>2602</v>
      </c>
      <c r="K709" s="15" t="s">
        <v>2544</v>
      </c>
      <c r="M709" s="15" t="s">
        <v>113</v>
      </c>
      <c r="O709" s="16" t="n">
        <v>44294</v>
      </c>
      <c r="P709" s="15" t="s">
        <v>643</v>
      </c>
      <c r="Q709" s="17" t="n">
        <v>6910</v>
      </c>
      <c r="R709" s="38" t="n">
        <f aca="false">IFERROR(Q709/VLOOKUP(P709,'Exchange rates to USD'!$L$2:$N$225,3,FALSE()),"")</f>
        <v>6910</v>
      </c>
      <c r="S709" s="15" t="s">
        <v>2603</v>
      </c>
      <c r="T709" s="161"/>
    </row>
    <row r="710" customFormat="false" ht="13.25" hidden="false" customHeight="true" outlineLevel="0" collapsed="false">
      <c r="A710" s="15" t="s">
        <v>2604</v>
      </c>
      <c r="B710" s="35" t="s">
        <v>2423</v>
      </c>
      <c r="C710" s="15" t="s">
        <v>58</v>
      </c>
      <c r="D710" s="15" t="s">
        <v>59</v>
      </c>
      <c r="E710" s="15" t="s">
        <v>233</v>
      </c>
      <c r="F710" s="15" t="s">
        <v>2605</v>
      </c>
      <c r="G710" s="15" t="s">
        <v>62</v>
      </c>
      <c r="J710" s="15" t="s">
        <v>2606</v>
      </c>
      <c r="M710" s="15" t="s">
        <v>93</v>
      </c>
      <c r="P710" s="15" t="s">
        <v>2427</v>
      </c>
      <c r="Q710" s="17" t="n">
        <v>20</v>
      </c>
      <c r="R710" s="38" t="n">
        <f aca="false">IFERROR(Q710/VLOOKUP(P710,'Exchange rates to USD'!$L$2:$N$225,3,FALSE()),"")</f>
        <v>25.481651229838</v>
      </c>
      <c r="T710" s="161"/>
    </row>
    <row r="711" customFormat="false" ht="13.25" hidden="false" customHeight="true" outlineLevel="0" collapsed="false">
      <c r="A711" s="15" t="s">
        <v>2607</v>
      </c>
      <c r="B711" s="35" t="s">
        <v>2423</v>
      </c>
      <c r="C711" s="15" t="s">
        <v>232</v>
      </c>
      <c r="D711" s="15" t="s">
        <v>59</v>
      </c>
      <c r="E711" s="15" t="s">
        <v>233</v>
      </c>
      <c r="F711" s="15" t="s">
        <v>2582</v>
      </c>
      <c r="G711" s="15" t="s">
        <v>62</v>
      </c>
      <c r="J711" s="162" t="s">
        <v>2608</v>
      </c>
      <c r="K711" s="162"/>
      <c r="M711" s="15" t="s">
        <v>93</v>
      </c>
      <c r="R711" s="38" t="str">
        <f aca="false">IFERROR(Q711/VLOOKUP(P711,'Exchange rates to USD'!$L$2:$N$225,3,FALSE()),"")</f>
        <v/>
      </c>
      <c r="T711" s="161"/>
    </row>
    <row r="712" customFormat="false" ht="13.25" hidden="false" customHeight="true" outlineLevel="0" collapsed="false">
      <c r="A712" s="15" t="s">
        <v>2609</v>
      </c>
      <c r="B712" s="35" t="s">
        <v>2423</v>
      </c>
      <c r="C712" s="15" t="s">
        <v>232</v>
      </c>
      <c r="D712" s="15" t="s">
        <v>59</v>
      </c>
      <c r="E712" s="15" t="s">
        <v>60</v>
      </c>
      <c r="F712" s="15" t="s">
        <v>2610</v>
      </c>
      <c r="G712" s="15" t="s">
        <v>62</v>
      </c>
      <c r="J712" s="162" t="s">
        <v>2611</v>
      </c>
      <c r="K712" s="162" t="s">
        <v>2544</v>
      </c>
      <c r="M712" s="15" t="s">
        <v>93</v>
      </c>
      <c r="O712" s="16" t="n">
        <v>44211</v>
      </c>
      <c r="P712" s="15" t="s">
        <v>643</v>
      </c>
      <c r="Q712" s="163" t="n">
        <v>3.984</v>
      </c>
      <c r="R712" s="38" t="n">
        <f aca="false">IFERROR(Q712/VLOOKUP(P712,'Exchange rates to USD'!$L$2:$N$225,3,FALSE()),"")</f>
        <v>3.984</v>
      </c>
      <c r="T712" s="161"/>
    </row>
    <row r="713" s="35" customFormat="true" ht="13.25" hidden="false" customHeight="true" outlineLevel="0" collapsed="false">
      <c r="A713" s="35" t="s">
        <v>2612</v>
      </c>
      <c r="B713" s="35" t="s">
        <v>2423</v>
      </c>
      <c r="C713" s="35" t="s">
        <v>249</v>
      </c>
      <c r="D713" s="35" t="s">
        <v>59</v>
      </c>
      <c r="E713" s="35" t="s">
        <v>60</v>
      </c>
      <c r="F713" s="35" t="s">
        <v>2610</v>
      </c>
      <c r="G713" s="35" t="s">
        <v>62</v>
      </c>
      <c r="J713" s="35" t="s">
        <v>2613</v>
      </c>
      <c r="K713" s="130" t="s">
        <v>2544</v>
      </c>
      <c r="M713" s="35" t="s">
        <v>93</v>
      </c>
      <c r="O713" s="36" t="n">
        <v>44211</v>
      </c>
      <c r="P713" s="35" t="s">
        <v>643</v>
      </c>
      <c r="Q713" s="159" t="n">
        <v>3.984</v>
      </c>
      <c r="R713" s="38" t="n">
        <f aca="false">IFERROR(Q713/VLOOKUP(P713,'Exchange rates to USD'!$L$2:$N$225,3,FALSE()),"")</f>
        <v>3.984</v>
      </c>
    </row>
    <row r="714" s="35" customFormat="true" ht="13.25" hidden="false" customHeight="true" outlineLevel="0" collapsed="false">
      <c r="A714" s="15" t="s">
        <v>2614</v>
      </c>
      <c r="B714" s="35" t="s">
        <v>2423</v>
      </c>
      <c r="C714" s="29" t="s">
        <v>58</v>
      </c>
      <c r="D714" s="29" t="s">
        <v>59</v>
      </c>
      <c r="E714" s="29" t="s">
        <v>116</v>
      </c>
      <c r="F714" s="47" t="s">
        <v>2615</v>
      </c>
      <c r="G714" s="32" t="s">
        <v>62</v>
      </c>
      <c r="J714" s="47" t="s">
        <v>2616</v>
      </c>
      <c r="K714" s="117" t="s">
        <v>2617</v>
      </c>
      <c r="L714" s="32"/>
      <c r="M714" s="32" t="s">
        <v>93</v>
      </c>
      <c r="O714" s="36" t="n">
        <v>44302</v>
      </c>
      <c r="P714" s="35" t="s">
        <v>2427</v>
      </c>
      <c r="Q714" s="17" t="n">
        <v>150</v>
      </c>
      <c r="R714" s="38" t="n">
        <f aca="false">IFERROR(Q714/VLOOKUP(P714,'Exchange rates to USD'!$L$2:$N$225,3,FALSE()),"")</f>
        <v>191.112384223785</v>
      </c>
      <c r="U714" s="15"/>
      <c r="V714" s="15"/>
    </row>
    <row r="715" s="35" customFormat="true" ht="13.25" hidden="false" customHeight="true" outlineLevel="0" collapsed="false">
      <c r="A715" s="15" t="s">
        <v>2618</v>
      </c>
      <c r="B715" s="35" t="s">
        <v>2423</v>
      </c>
      <c r="C715" s="71" t="s">
        <v>58</v>
      </c>
      <c r="D715" s="71" t="s">
        <v>59</v>
      </c>
      <c r="E715" s="164" t="s">
        <v>95</v>
      </c>
      <c r="F715" s="162" t="s">
        <v>2619</v>
      </c>
      <c r="G715" s="71" t="s">
        <v>62</v>
      </c>
      <c r="H715" s="162"/>
      <c r="I715" s="162"/>
      <c r="J715" s="162" t="s">
        <v>2620</v>
      </c>
      <c r="K715" s="165" t="s">
        <v>2621</v>
      </c>
      <c r="L715" s="42"/>
      <c r="M715" s="42" t="s">
        <v>93</v>
      </c>
      <c r="O715" s="36" t="n">
        <v>44302</v>
      </c>
      <c r="P715" s="35" t="s">
        <v>2427</v>
      </c>
      <c r="Q715" s="17" t="n">
        <v>27</v>
      </c>
      <c r="R715" s="38" t="n">
        <f aca="false">IFERROR(Q715/VLOOKUP(P715,'Exchange rates to USD'!$L$2:$N$225,3,FALSE()),"")</f>
        <v>34.4002291602813</v>
      </c>
      <c r="U715" s="15"/>
      <c r="V715" s="15"/>
    </row>
    <row r="716" s="35" customFormat="true" ht="13.25" hidden="false" customHeight="true" outlineLevel="0" collapsed="false">
      <c r="A716" s="15" t="s">
        <v>2622</v>
      </c>
      <c r="B716" s="35" t="s">
        <v>2423</v>
      </c>
      <c r="C716" s="71" t="s">
        <v>58</v>
      </c>
      <c r="D716" s="71" t="s">
        <v>59</v>
      </c>
      <c r="E716" s="164" t="s">
        <v>95</v>
      </c>
      <c r="F716" s="162" t="s">
        <v>2623</v>
      </c>
      <c r="G716" s="71" t="s">
        <v>62</v>
      </c>
      <c r="H716" s="162"/>
      <c r="I716" s="162"/>
      <c r="J716" s="15" t="s">
        <v>2624</v>
      </c>
      <c r="K716" s="165" t="s">
        <v>2621</v>
      </c>
      <c r="L716" s="42"/>
      <c r="M716" s="42" t="s">
        <v>93</v>
      </c>
      <c r="O716" s="36" t="n">
        <v>44302</v>
      </c>
      <c r="P716" s="35" t="s">
        <v>2427</v>
      </c>
      <c r="Q716" s="17" t="n">
        <v>2</v>
      </c>
      <c r="R716" s="38" t="n">
        <f aca="false">IFERROR(Q716/VLOOKUP(P716,'Exchange rates to USD'!$L$2:$N$225,3,FALSE()),"")</f>
        <v>2.5481651229838</v>
      </c>
      <c r="U716" s="15"/>
      <c r="V716" s="15"/>
    </row>
    <row r="717" s="35" customFormat="true" ht="13.25" hidden="false" customHeight="true" outlineLevel="0" collapsed="false">
      <c r="A717" s="15" t="s">
        <v>2625</v>
      </c>
      <c r="B717" s="35" t="s">
        <v>2423</v>
      </c>
      <c r="C717" s="71" t="s">
        <v>58</v>
      </c>
      <c r="D717" s="71" t="s">
        <v>59</v>
      </c>
      <c r="E717" s="164" t="s">
        <v>95</v>
      </c>
      <c r="F717" s="15" t="s">
        <v>2626</v>
      </c>
      <c r="G717" s="71" t="s">
        <v>62</v>
      </c>
      <c r="H717" s="15"/>
      <c r="I717" s="15"/>
      <c r="J717" s="15" t="s">
        <v>2627</v>
      </c>
      <c r="K717" s="165" t="s">
        <v>2621</v>
      </c>
      <c r="L717" s="32"/>
      <c r="M717" s="42" t="s">
        <v>93</v>
      </c>
      <c r="O717" s="36" t="n">
        <v>44302</v>
      </c>
      <c r="P717" s="35" t="s">
        <v>2427</v>
      </c>
      <c r="Q717" s="17" t="n">
        <v>5</v>
      </c>
      <c r="R717" s="38" t="n">
        <f aca="false">IFERROR(Q717/VLOOKUP(P717,'Exchange rates to USD'!$L$2:$N$225,3,FALSE()),"")</f>
        <v>6.3704128074595</v>
      </c>
      <c r="U717" s="15"/>
      <c r="V717" s="15"/>
    </row>
    <row r="718" s="55" customFormat="true" ht="13.25" hidden="false" customHeight="true" outlineLevel="0" collapsed="false">
      <c r="A718" s="55" t="s">
        <v>2628</v>
      </c>
      <c r="B718" s="55" t="s">
        <v>2423</v>
      </c>
      <c r="C718" s="135" t="s">
        <v>58</v>
      </c>
      <c r="D718" s="135" t="s">
        <v>59</v>
      </c>
      <c r="E718" s="135" t="s">
        <v>116</v>
      </c>
      <c r="F718" s="135" t="s">
        <v>2629</v>
      </c>
      <c r="G718" s="135" t="s">
        <v>62</v>
      </c>
      <c r="H718" s="135"/>
      <c r="I718" s="135"/>
      <c r="J718" s="166" t="s">
        <v>2630</v>
      </c>
      <c r="K718" s="167" t="s">
        <v>2426</v>
      </c>
      <c r="M718" s="42" t="s">
        <v>93</v>
      </c>
      <c r="O718" s="36" t="n">
        <v>44302</v>
      </c>
      <c r="P718" s="35" t="s">
        <v>2427</v>
      </c>
      <c r="Q718" s="17" t="n">
        <v>300</v>
      </c>
      <c r="R718" s="38" t="n">
        <f aca="false">IFERROR(Q718/VLOOKUP(P718,'Exchange rates to USD'!$L$2:$N$225,3,FALSE()),"")</f>
        <v>382.22476844757</v>
      </c>
      <c r="W718" s="35"/>
    </row>
    <row r="719" customFormat="false" ht="13.25" hidden="false" customHeight="true" outlineLevel="0" collapsed="false">
      <c r="A719" s="168" t="s">
        <v>2631</v>
      </c>
      <c r="B719" s="168" t="str">
        <f aca="false">LEFT(A719,3)</f>
        <v>USA</v>
      </c>
      <c r="C719" s="168" t="s">
        <v>122</v>
      </c>
      <c r="D719" s="168" t="s">
        <v>59</v>
      </c>
      <c r="E719" s="168" t="s">
        <v>90</v>
      </c>
      <c r="F719" s="168" t="s">
        <v>2379</v>
      </c>
      <c r="G719" s="168" t="s">
        <v>97</v>
      </c>
      <c r="H719" s="168" t="s">
        <v>110</v>
      </c>
      <c r="I719" s="168" t="s">
        <v>62</v>
      </c>
      <c r="J719" s="169" t="s">
        <v>2632</v>
      </c>
      <c r="K719" s="170" t="s">
        <v>2633</v>
      </c>
      <c r="L719" s="170" t="s">
        <v>2633</v>
      </c>
      <c r="M719" s="168" t="s">
        <v>65</v>
      </c>
      <c r="N719" s="171" t="s">
        <v>2634</v>
      </c>
      <c r="P719" s="35"/>
      <c r="Q719" s="37"/>
      <c r="R719" s="15"/>
    </row>
    <row r="720" customFormat="false" ht="13.25" hidden="false" customHeight="true" outlineLevel="0" collapsed="false">
      <c r="A720" s="168" t="s">
        <v>2635</v>
      </c>
      <c r="B720" s="168" t="str">
        <f aca="false">LEFT(A720,3)</f>
        <v>USA</v>
      </c>
      <c r="C720" s="168" t="s">
        <v>122</v>
      </c>
      <c r="D720" s="168" t="s">
        <v>59</v>
      </c>
      <c r="E720" s="168" t="s">
        <v>76</v>
      </c>
      <c r="F720" s="168" t="s">
        <v>2379</v>
      </c>
      <c r="G720" s="168" t="s">
        <v>62</v>
      </c>
      <c r="H720" s="168" t="s">
        <v>77</v>
      </c>
      <c r="I720" s="168"/>
      <c r="J720" s="169" t="s">
        <v>2636</v>
      </c>
      <c r="K720" s="170" t="s">
        <v>2637</v>
      </c>
      <c r="L720" s="168"/>
      <c r="M720" s="168" t="s">
        <v>65</v>
      </c>
      <c r="N720" s="168"/>
      <c r="P720" s="35"/>
      <c r="Q720" s="37"/>
      <c r="R720" s="38" t="str">
        <f aca="false">IFERROR(Q720/VLOOKUP(P720,'Exchange rates to USD'!$L$2:$N$225,3,FALSE()),"")</f>
        <v/>
      </c>
    </row>
    <row r="721" customFormat="false" ht="13.25" hidden="false" customHeight="true" outlineLevel="0" collapsed="false">
      <c r="A721" s="168" t="s">
        <v>2638</v>
      </c>
      <c r="B721" s="168" t="str">
        <f aca="false">LEFT(A721,3)</f>
        <v>USA</v>
      </c>
      <c r="C721" s="168" t="s">
        <v>122</v>
      </c>
      <c r="D721" s="168" t="s">
        <v>59</v>
      </c>
      <c r="E721" s="168" t="s">
        <v>90</v>
      </c>
      <c r="F721" s="168" t="s">
        <v>2379</v>
      </c>
      <c r="G721" s="168" t="s">
        <v>97</v>
      </c>
      <c r="H721" s="168" t="s">
        <v>62</v>
      </c>
      <c r="I721" s="168"/>
      <c r="J721" s="169" t="s">
        <v>2639</v>
      </c>
      <c r="K721" s="170" t="s">
        <v>2640</v>
      </c>
      <c r="L721" s="170" t="s">
        <v>2641</v>
      </c>
      <c r="M721" s="168" t="s">
        <v>65</v>
      </c>
      <c r="N721" s="168" t="s">
        <v>2642</v>
      </c>
      <c r="P721" s="35"/>
      <c r="Q721" s="37"/>
      <c r="R721" s="38" t="str">
        <f aca="false">IFERROR(Q721/VLOOKUP(P721,'Exchange rates to USD'!$L$2:$N$225,3,FALSE()),"")</f>
        <v/>
      </c>
    </row>
    <row r="722" customFormat="false" ht="13.25" hidden="false" customHeight="true" outlineLevel="0" collapsed="false">
      <c r="A722" s="168" t="s">
        <v>2643</v>
      </c>
      <c r="B722" s="168" t="str">
        <f aca="false">LEFT(A722,3)</f>
        <v>USA</v>
      </c>
      <c r="C722" s="168" t="s">
        <v>122</v>
      </c>
      <c r="D722" s="168" t="s">
        <v>80</v>
      </c>
      <c r="E722" s="168" t="s">
        <v>76</v>
      </c>
      <c r="F722" s="168" t="s">
        <v>2379</v>
      </c>
      <c r="G722" s="168" t="s">
        <v>105</v>
      </c>
      <c r="H722" s="168"/>
      <c r="I722" s="168"/>
      <c r="J722" s="169" t="s">
        <v>2644</v>
      </c>
      <c r="K722" s="170" t="s">
        <v>2645</v>
      </c>
      <c r="L722" s="168"/>
      <c r="M722" s="168" t="s">
        <v>113</v>
      </c>
      <c r="N722" s="168" t="s">
        <v>2646</v>
      </c>
      <c r="P722" s="35"/>
      <c r="Q722" s="37"/>
      <c r="R722" s="38" t="str">
        <f aca="false">IFERROR(Q722/VLOOKUP(P722,'Exchange rates to USD'!$L$2:$N$225,3,FALSE()),"")</f>
        <v/>
      </c>
    </row>
    <row r="723" customFormat="false" ht="13.25" hidden="false" customHeight="true" outlineLevel="0" collapsed="false">
      <c r="A723" s="168" t="s">
        <v>2647</v>
      </c>
      <c r="B723" s="168" t="str">
        <f aca="false">LEFT(A723,3)</f>
        <v>USA</v>
      </c>
      <c r="C723" s="15" t="s">
        <v>75</v>
      </c>
      <c r="D723" s="168" t="s">
        <v>59</v>
      </c>
      <c r="E723" s="168" t="s">
        <v>95</v>
      </c>
      <c r="F723" s="168" t="s">
        <v>2379</v>
      </c>
      <c r="G723" s="168" t="s">
        <v>62</v>
      </c>
      <c r="H723" s="168" t="s">
        <v>96</v>
      </c>
      <c r="I723" s="168"/>
      <c r="J723" s="169" t="s">
        <v>2648</v>
      </c>
      <c r="K723" s="170" t="s">
        <v>2649</v>
      </c>
      <c r="L723" s="170" t="s">
        <v>2650</v>
      </c>
      <c r="M723" s="168" t="s">
        <v>93</v>
      </c>
      <c r="N723" s="168" t="s">
        <v>2651</v>
      </c>
      <c r="P723" s="35"/>
      <c r="Q723" s="37"/>
      <c r="R723" s="38" t="str">
        <f aca="false">IFERROR(Q723/VLOOKUP(P723,'Exchange rates to USD'!$L$2:$N$225,3,FALSE()),"")</f>
        <v/>
      </c>
    </row>
    <row r="724" customFormat="false" ht="13.25" hidden="false" customHeight="true" outlineLevel="0" collapsed="false">
      <c r="A724" s="168" t="s">
        <v>2652</v>
      </c>
      <c r="B724" s="168" t="str">
        <f aca="false">LEFT(A724,3)</f>
        <v>USA</v>
      </c>
      <c r="C724" s="168" t="s">
        <v>249</v>
      </c>
      <c r="D724" s="168" t="s">
        <v>59</v>
      </c>
      <c r="E724" s="168" t="s">
        <v>95</v>
      </c>
      <c r="F724" s="168" t="s">
        <v>2653</v>
      </c>
      <c r="G724" s="168" t="s">
        <v>97</v>
      </c>
      <c r="H724" s="168" t="s">
        <v>110</v>
      </c>
      <c r="I724" s="168" t="s">
        <v>62</v>
      </c>
      <c r="J724" s="169" t="s">
        <v>2654</v>
      </c>
      <c r="K724" s="170" t="s">
        <v>2655</v>
      </c>
      <c r="L724" s="168"/>
      <c r="M724" s="168" t="s">
        <v>65</v>
      </c>
      <c r="N724" s="168"/>
      <c r="P724" s="35" t="s">
        <v>643</v>
      </c>
      <c r="Q724" s="37" t="n">
        <v>122</v>
      </c>
      <c r="R724" s="38" t="n">
        <f aca="false">IFERROR(Q724/VLOOKUP(P724,'Exchange rates to USD'!$L$2:$N$225,3,FALSE()),"")</f>
        <v>122</v>
      </c>
    </row>
    <row r="725" customFormat="false" ht="13.25" hidden="false" customHeight="true" outlineLevel="0" collapsed="false">
      <c r="A725" s="168" t="s">
        <v>2656</v>
      </c>
      <c r="B725" s="168" t="str">
        <f aca="false">LEFT(A725,3)</f>
        <v>USA</v>
      </c>
      <c r="C725" s="168" t="s">
        <v>58</v>
      </c>
      <c r="D725" s="168" t="s">
        <v>59</v>
      </c>
      <c r="E725" s="168" t="s">
        <v>95</v>
      </c>
      <c r="F725" s="168" t="s">
        <v>2657</v>
      </c>
      <c r="G725" s="168" t="s">
        <v>62</v>
      </c>
      <c r="H725" s="168"/>
      <c r="I725" s="168"/>
      <c r="J725" s="169" t="s">
        <v>2658</v>
      </c>
      <c r="K725" s="170" t="s">
        <v>2659</v>
      </c>
      <c r="L725" s="168"/>
      <c r="M725" s="168" t="s">
        <v>93</v>
      </c>
      <c r="N725" s="168"/>
      <c r="P725" s="35" t="s">
        <v>643</v>
      </c>
      <c r="Q725" s="37" t="n">
        <v>100</v>
      </c>
      <c r="R725" s="38" t="n">
        <f aca="false">IFERROR(Q725/VLOOKUP(P725,'Exchange rates to USD'!$L$2:$N$225,3,FALSE()),"")</f>
        <v>100</v>
      </c>
    </row>
    <row r="726" customFormat="false" ht="13.25" hidden="false" customHeight="true" outlineLevel="0" collapsed="false">
      <c r="A726" s="168" t="s">
        <v>2660</v>
      </c>
      <c r="B726" s="168" t="str">
        <f aca="false">LEFT(A726,3)</f>
        <v>USA</v>
      </c>
      <c r="C726" s="15" t="s">
        <v>75</v>
      </c>
      <c r="D726" s="168" t="s">
        <v>59</v>
      </c>
      <c r="E726" s="168" t="s">
        <v>95</v>
      </c>
      <c r="F726" s="168" t="s">
        <v>2661</v>
      </c>
      <c r="G726" s="168" t="s">
        <v>62</v>
      </c>
      <c r="H726" s="168" t="s">
        <v>110</v>
      </c>
      <c r="I726" s="168"/>
      <c r="J726" s="169" t="s">
        <v>2662</v>
      </c>
      <c r="K726" s="170" t="s">
        <v>2663</v>
      </c>
      <c r="L726" s="170" t="s">
        <v>2664</v>
      </c>
      <c r="M726" s="168" t="s">
        <v>93</v>
      </c>
      <c r="N726" s="168" t="s">
        <v>2665</v>
      </c>
      <c r="P726" s="35" t="s">
        <v>643</v>
      </c>
      <c r="Q726" s="37" t="n">
        <v>500</v>
      </c>
      <c r="R726" s="38" t="n">
        <f aca="false">IFERROR(Q726/VLOOKUP(P726,'Exchange rates to USD'!$L$2:$N$225,3,FALSE()),"")</f>
        <v>500</v>
      </c>
    </row>
    <row r="727" customFormat="false" ht="13.25" hidden="false" customHeight="true" outlineLevel="0" collapsed="false">
      <c r="A727" s="168" t="s">
        <v>2666</v>
      </c>
      <c r="B727" s="168" t="str">
        <f aca="false">LEFT(A727,3)</f>
        <v>USA</v>
      </c>
      <c r="C727" s="168" t="s">
        <v>232</v>
      </c>
      <c r="D727" s="168" t="s">
        <v>59</v>
      </c>
      <c r="E727" s="168" t="s">
        <v>95</v>
      </c>
      <c r="F727" s="168" t="s">
        <v>2667</v>
      </c>
      <c r="G727" s="168" t="s">
        <v>62</v>
      </c>
      <c r="H727" s="168"/>
      <c r="I727" s="168"/>
      <c r="J727" s="169" t="s">
        <v>2668</v>
      </c>
      <c r="K727" s="170" t="s">
        <v>2669</v>
      </c>
      <c r="L727" s="172" t="s">
        <v>2670</v>
      </c>
      <c r="M727" s="168" t="s">
        <v>65</v>
      </c>
      <c r="N727" s="168" t="s">
        <v>2671</v>
      </c>
      <c r="P727" s="35" t="s">
        <v>643</v>
      </c>
      <c r="Q727" s="37" t="n">
        <v>1950</v>
      </c>
      <c r="R727" s="38" t="n">
        <f aca="false">IFERROR(Q727/VLOOKUP(P727,'Exchange rates to USD'!$L$2:$N$225,3,FALSE()),"")</f>
        <v>1950</v>
      </c>
    </row>
    <row r="728" customFormat="false" ht="13.25" hidden="false" customHeight="true" outlineLevel="0" collapsed="false">
      <c r="A728" s="168" t="s">
        <v>2672</v>
      </c>
      <c r="B728" s="168" t="str">
        <f aca="false">LEFT(A728,3)</f>
        <v>USA</v>
      </c>
      <c r="C728" s="168" t="s">
        <v>176</v>
      </c>
      <c r="D728" s="168" t="s">
        <v>80</v>
      </c>
      <c r="E728" s="168" t="s">
        <v>90</v>
      </c>
      <c r="F728" s="168" t="s">
        <v>2379</v>
      </c>
      <c r="G728" s="168" t="s">
        <v>105</v>
      </c>
      <c r="H728" s="168"/>
      <c r="I728" s="168"/>
      <c r="J728" s="169" t="s">
        <v>2673</v>
      </c>
      <c r="K728" s="170" t="s">
        <v>2674</v>
      </c>
      <c r="L728" s="168"/>
      <c r="M728" s="168" t="s">
        <v>70</v>
      </c>
      <c r="N728" s="168" t="s">
        <v>2675</v>
      </c>
      <c r="P728" s="35"/>
      <c r="Q728" s="37"/>
      <c r="R728" s="38" t="str">
        <f aca="false">IFERROR(Q728/VLOOKUP(P728,'Exchange rates to USD'!$L$2:$N$225,3,FALSE()),"")</f>
        <v/>
      </c>
    </row>
    <row r="729" customFormat="false" ht="13.25" hidden="false" customHeight="true" outlineLevel="0" collapsed="false">
      <c r="A729" s="168" t="s">
        <v>2676</v>
      </c>
      <c r="B729" s="168" t="str">
        <f aca="false">LEFT(A729,3)</f>
        <v>USA</v>
      </c>
      <c r="C729" s="168" t="s">
        <v>58</v>
      </c>
      <c r="D729" s="168" t="s">
        <v>108</v>
      </c>
      <c r="E729" s="168" t="s">
        <v>95</v>
      </c>
      <c r="F729" s="168" t="s">
        <v>2379</v>
      </c>
      <c r="G729" s="168" t="s">
        <v>62</v>
      </c>
      <c r="H729" s="168" t="s">
        <v>110</v>
      </c>
      <c r="I729" s="168"/>
      <c r="J729" s="169" t="s">
        <v>2677</v>
      </c>
      <c r="K729" s="170" t="s">
        <v>2678</v>
      </c>
      <c r="L729" s="168"/>
      <c r="M729" s="168" t="s">
        <v>93</v>
      </c>
      <c r="N729" s="168" t="s">
        <v>2679</v>
      </c>
      <c r="P729" s="35"/>
      <c r="Q729" s="37"/>
      <c r="R729" s="38" t="str">
        <f aca="false">IFERROR(Q729/VLOOKUP(P729,'Exchange rates to USD'!$L$2:$N$225,3,FALSE()),"")</f>
        <v/>
      </c>
    </row>
    <row r="730" customFormat="false" ht="13.25" hidden="false" customHeight="true" outlineLevel="0" collapsed="false">
      <c r="A730" s="168" t="s">
        <v>2680</v>
      </c>
      <c r="B730" s="168" t="str">
        <f aca="false">LEFT(A730,3)</f>
        <v>USA</v>
      </c>
      <c r="C730" s="15" t="s">
        <v>75</v>
      </c>
      <c r="D730" s="168" t="s">
        <v>108</v>
      </c>
      <c r="E730" s="168" t="s">
        <v>95</v>
      </c>
      <c r="F730" s="168" t="s">
        <v>2681</v>
      </c>
      <c r="G730" s="168" t="s">
        <v>62</v>
      </c>
      <c r="H730" s="168"/>
      <c r="I730" s="168"/>
      <c r="J730" s="169" t="s">
        <v>2682</v>
      </c>
      <c r="K730" s="170" t="s">
        <v>2683</v>
      </c>
      <c r="L730" s="168"/>
      <c r="M730" s="168" t="s">
        <v>93</v>
      </c>
      <c r="N730" s="168"/>
      <c r="P730" s="35" t="s">
        <v>643</v>
      </c>
      <c r="Q730" s="37" t="n">
        <v>741</v>
      </c>
      <c r="R730" s="38" t="n">
        <f aca="false">IFERROR(Q730/VLOOKUP(P730,'Exchange rates to USD'!$L$2:$N$225,3,FALSE()),"")</f>
        <v>741</v>
      </c>
    </row>
    <row r="731" customFormat="false" ht="13.25" hidden="false" customHeight="true" outlineLevel="0" collapsed="false">
      <c r="A731" s="168" t="s">
        <v>2684</v>
      </c>
      <c r="B731" s="168" t="str">
        <f aca="false">LEFT(A731,3)</f>
        <v>USA</v>
      </c>
      <c r="C731" s="168" t="s">
        <v>58</v>
      </c>
      <c r="D731" s="168" t="s">
        <v>108</v>
      </c>
      <c r="E731" s="168" t="s">
        <v>95</v>
      </c>
      <c r="F731" s="168" t="s">
        <v>2685</v>
      </c>
      <c r="G731" s="168" t="s">
        <v>62</v>
      </c>
      <c r="H731" s="168"/>
      <c r="I731" s="168"/>
      <c r="J731" s="169" t="s">
        <v>2686</v>
      </c>
      <c r="K731" s="170" t="s">
        <v>2687</v>
      </c>
      <c r="L731" s="168"/>
      <c r="M731" s="168" t="s">
        <v>93</v>
      </c>
      <c r="N731" s="168"/>
      <c r="P731" s="35" t="s">
        <v>643</v>
      </c>
      <c r="Q731" s="37" t="n">
        <v>10</v>
      </c>
      <c r="R731" s="38" t="n">
        <f aca="false">IFERROR(Q731/VLOOKUP(P731,'Exchange rates to USD'!$L$2:$N$225,3,FALSE()),"")</f>
        <v>10</v>
      </c>
    </row>
    <row r="732" customFormat="false" ht="13.25" hidden="false" customHeight="true" outlineLevel="0" collapsed="false">
      <c r="A732" s="168" t="s">
        <v>2688</v>
      </c>
      <c r="B732" s="168" t="str">
        <f aca="false">LEFT(A732,3)</f>
        <v>USA</v>
      </c>
      <c r="C732" s="168" t="s">
        <v>122</v>
      </c>
      <c r="D732" s="168" t="s">
        <v>59</v>
      </c>
      <c r="E732" s="168" t="s">
        <v>95</v>
      </c>
      <c r="F732" s="168"/>
      <c r="G732" s="168" t="s">
        <v>62</v>
      </c>
      <c r="H732" s="168" t="s">
        <v>105</v>
      </c>
      <c r="I732" s="168"/>
      <c r="J732" s="169" t="s">
        <v>2689</v>
      </c>
      <c r="K732" s="170" t="s">
        <v>2690</v>
      </c>
      <c r="L732" s="168"/>
      <c r="M732" s="168" t="s">
        <v>93</v>
      </c>
      <c r="N732" s="168"/>
      <c r="P732" s="35"/>
      <c r="Q732" s="37"/>
      <c r="R732" s="38" t="str">
        <f aca="false">IFERROR(Q732/VLOOKUP(P732,'Exchange rates to USD'!$L$2:$N$225,3,FALSE()),"")</f>
        <v/>
      </c>
    </row>
    <row r="733" customFormat="false" ht="13.25" hidden="false" customHeight="true" outlineLevel="0" collapsed="false">
      <c r="A733" s="168" t="s">
        <v>2691</v>
      </c>
      <c r="B733" s="168" t="str">
        <f aca="false">LEFT(A733,3)</f>
        <v>USA</v>
      </c>
      <c r="C733" s="168" t="s">
        <v>176</v>
      </c>
      <c r="D733" s="168" t="s">
        <v>80</v>
      </c>
      <c r="E733" s="168" t="s">
        <v>90</v>
      </c>
      <c r="F733" s="168" t="s">
        <v>2379</v>
      </c>
      <c r="G733" s="168" t="s">
        <v>105</v>
      </c>
      <c r="H733" s="168"/>
      <c r="I733" s="168"/>
      <c r="J733" s="169" t="s">
        <v>2692</v>
      </c>
      <c r="K733" s="170" t="s">
        <v>2678</v>
      </c>
      <c r="L733" s="168"/>
      <c r="M733" s="168" t="s">
        <v>70</v>
      </c>
      <c r="N733" s="168"/>
      <c r="P733" s="35"/>
      <c r="Q733" s="37"/>
      <c r="R733" s="38" t="str">
        <f aca="false">IFERROR(Q733/VLOOKUP(P733,'Exchange rates to USD'!$L$2:$N$225,3,FALSE()),"")</f>
        <v/>
      </c>
    </row>
    <row r="734" customFormat="false" ht="13.25" hidden="false" customHeight="true" outlineLevel="0" collapsed="false">
      <c r="A734" s="168" t="s">
        <v>2693</v>
      </c>
      <c r="B734" s="168" t="str">
        <f aca="false">LEFT(A734,3)</f>
        <v>USA</v>
      </c>
      <c r="C734" s="168" t="s">
        <v>176</v>
      </c>
      <c r="D734" s="168" t="s">
        <v>80</v>
      </c>
      <c r="E734" s="168" t="s">
        <v>90</v>
      </c>
      <c r="F734" s="168" t="s">
        <v>2694</v>
      </c>
      <c r="G734" s="168" t="s">
        <v>105</v>
      </c>
      <c r="H734" s="168"/>
      <c r="I734" s="168"/>
      <c r="J734" s="169" t="s">
        <v>2695</v>
      </c>
      <c r="K734" s="170" t="s">
        <v>2696</v>
      </c>
      <c r="L734" s="168"/>
      <c r="M734" s="168" t="s">
        <v>70</v>
      </c>
      <c r="N734" s="168"/>
      <c r="P734" s="35" t="s">
        <v>643</v>
      </c>
      <c r="Q734" s="37" t="n">
        <v>50000</v>
      </c>
      <c r="R734" s="38" t="n">
        <f aca="false">IFERROR(Q734/VLOOKUP(P734,'Exchange rates to USD'!$L$2:$N$225,3,FALSE()),"")</f>
        <v>50000</v>
      </c>
    </row>
    <row r="735" customFormat="false" ht="13.25" hidden="false" customHeight="true" outlineLevel="0" collapsed="false">
      <c r="A735" s="168" t="s">
        <v>2697</v>
      </c>
      <c r="B735" s="168" t="str">
        <f aca="false">LEFT(A735,3)</f>
        <v>USA</v>
      </c>
      <c r="C735" s="168" t="s">
        <v>58</v>
      </c>
      <c r="D735" s="168" t="s">
        <v>59</v>
      </c>
      <c r="E735" s="168" t="s">
        <v>60</v>
      </c>
      <c r="F735" s="168" t="s">
        <v>2698</v>
      </c>
      <c r="G735" s="168" t="s">
        <v>62</v>
      </c>
      <c r="H735" s="168"/>
      <c r="I735" s="168"/>
      <c r="J735" s="169" t="s">
        <v>2699</v>
      </c>
      <c r="K735" s="170" t="s">
        <v>2700</v>
      </c>
      <c r="L735" s="168"/>
      <c r="M735" s="168" t="s">
        <v>65</v>
      </c>
      <c r="N735" s="168"/>
      <c r="P735" s="35" t="s">
        <v>643</v>
      </c>
      <c r="Q735" s="37" t="n">
        <v>60000</v>
      </c>
      <c r="R735" s="38" t="n">
        <f aca="false">IFERROR(Q735/VLOOKUP(P735,'Exchange rates to USD'!$L$2:$N$225,3,FALSE()),"")</f>
        <v>60000</v>
      </c>
    </row>
    <row r="736" customFormat="false" ht="13.25" hidden="false" customHeight="true" outlineLevel="0" collapsed="false">
      <c r="A736" s="168" t="s">
        <v>2701</v>
      </c>
      <c r="B736" s="168" t="str">
        <f aca="false">LEFT(A736,3)</f>
        <v>USA</v>
      </c>
      <c r="C736" s="15" t="s">
        <v>75</v>
      </c>
      <c r="D736" s="168" t="s">
        <v>59</v>
      </c>
      <c r="E736" s="168" t="s">
        <v>95</v>
      </c>
      <c r="F736" s="168" t="s">
        <v>2379</v>
      </c>
      <c r="G736" s="168" t="s">
        <v>62</v>
      </c>
      <c r="H736" s="168"/>
      <c r="I736" s="168"/>
      <c r="J736" s="169" t="s">
        <v>2702</v>
      </c>
      <c r="K736" s="170" t="s">
        <v>2703</v>
      </c>
      <c r="L736" s="168"/>
      <c r="M736" s="168" t="s">
        <v>65</v>
      </c>
      <c r="N736" s="168"/>
      <c r="P736" s="35"/>
      <c r="Q736" s="37"/>
      <c r="R736" s="38" t="str">
        <f aca="false">IFERROR(Q736/VLOOKUP(P736,'Exchange rates to USD'!$L$2:$N$225,3,FALSE()),"")</f>
        <v/>
      </c>
    </row>
    <row r="737" customFormat="false" ht="13.25" hidden="false" customHeight="true" outlineLevel="0" collapsed="false">
      <c r="A737" s="168" t="s">
        <v>2704</v>
      </c>
      <c r="B737" s="168" t="str">
        <f aca="false">LEFT(A737,3)</f>
        <v>USA</v>
      </c>
      <c r="C737" s="15" t="s">
        <v>75</v>
      </c>
      <c r="D737" s="168" t="s">
        <v>59</v>
      </c>
      <c r="E737" s="168" t="s">
        <v>95</v>
      </c>
      <c r="F737" s="168" t="s">
        <v>2379</v>
      </c>
      <c r="G737" s="168"/>
      <c r="H737" s="168"/>
      <c r="I737" s="168"/>
      <c r="J737" s="169" t="s">
        <v>2705</v>
      </c>
      <c r="K737" s="169" t="s">
        <v>2706</v>
      </c>
      <c r="L737" s="168"/>
      <c r="M737" s="168" t="s">
        <v>70</v>
      </c>
      <c r="N737" s="168"/>
      <c r="P737" s="35"/>
      <c r="Q737" s="37"/>
      <c r="R737" s="38" t="str">
        <f aca="false">IFERROR(Q737/VLOOKUP(P737,'Exchange rates to USD'!$L$2:$N$225,3,FALSE()),"")</f>
        <v/>
      </c>
    </row>
    <row r="738" customFormat="false" ht="13.25" hidden="false" customHeight="true" outlineLevel="0" collapsed="false">
      <c r="A738" s="168" t="s">
        <v>2707</v>
      </c>
      <c r="B738" s="168" t="str">
        <f aca="false">LEFT(A738,3)</f>
        <v>USA</v>
      </c>
      <c r="C738" s="168" t="s">
        <v>232</v>
      </c>
      <c r="D738" s="168" t="s">
        <v>59</v>
      </c>
      <c r="E738" s="168" t="s">
        <v>95</v>
      </c>
      <c r="F738" s="168" t="s">
        <v>2379</v>
      </c>
      <c r="G738" s="168" t="s">
        <v>62</v>
      </c>
      <c r="H738" s="168"/>
      <c r="I738" s="168"/>
      <c r="J738" s="169" t="s">
        <v>2708</v>
      </c>
      <c r="K738" s="170" t="s">
        <v>2709</v>
      </c>
      <c r="L738" s="168"/>
      <c r="M738" s="168" t="s">
        <v>113</v>
      </c>
      <c r="N738" s="168"/>
      <c r="P738" s="35"/>
      <c r="Q738" s="37"/>
      <c r="R738" s="38" t="str">
        <f aca="false">IFERROR(Q738/VLOOKUP(P738,'Exchange rates to USD'!$L$2:$N$225,3,FALSE()),"")</f>
        <v/>
      </c>
    </row>
    <row r="739" customFormat="false" ht="13.25" hidden="false" customHeight="true" outlineLevel="0" collapsed="false">
      <c r="A739" s="168" t="s">
        <v>2710</v>
      </c>
      <c r="B739" s="168" t="str">
        <f aca="false">LEFT(A739,3)</f>
        <v>USA</v>
      </c>
      <c r="C739" s="168" t="s">
        <v>232</v>
      </c>
      <c r="D739" s="168" t="s">
        <v>108</v>
      </c>
      <c r="E739" s="168" t="s">
        <v>95</v>
      </c>
      <c r="F739" s="168" t="s">
        <v>2379</v>
      </c>
      <c r="G739" s="168" t="s">
        <v>62</v>
      </c>
      <c r="H739" s="168"/>
      <c r="I739" s="168"/>
      <c r="J739" s="169" t="s">
        <v>2711</v>
      </c>
      <c r="K739" s="170" t="s">
        <v>2712</v>
      </c>
      <c r="L739" s="168"/>
      <c r="M739" s="168" t="s">
        <v>65</v>
      </c>
      <c r="N739" s="168"/>
      <c r="P739" s="35"/>
      <c r="Q739" s="37"/>
      <c r="R739" s="38" t="str">
        <f aca="false">IFERROR(Q739/VLOOKUP(P739,'Exchange rates to USD'!$L$2:$N$225,3,FALSE()),"")</f>
        <v/>
      </c>
    </row>
    <row r="740" customFormat="false" ht="13.25" hidden="false" customHeight="true" outlineLevel="0" collapsed="false">
      <c r="A740" s="168" t="s">
        <v>2713</v>
      </c>
      <c r="B740" s="168" t="s">
        <v>2714</v>
      </c>
      <c r="C740" s="168" t="s">
        <v>122</v>
      </c>
      <c r="D740" s="168" t="s">
        <v>108</v>
      </c>
      <c r="E740" s="168" t="s">
        <v>95</v>
      </c>
      <c r="F740" s="168" t="s">
        <v>2379</v>
      </c>
      <c r="G740" s="168" t="s">
        <v>77</v>
      </c>
      <c r="H740" s="168" t="s">
        <v>105</v>
      </c>
      <c r="I740" s="168"/>
      <c r="J740" s="169" t="s">
        <v>2715</v>
      </c>
      <c r="K740" s="170" t="s">
        <v>2716</v>
      </c>
      <c r="L740" s="168"/>
      <c r="M740" s="168" t="s">
        <v>65</v>
      </c>
      <c r="N740" s="168" t="s">
        <v>2717</v>
      </c>
      <c r="P740" s="35"/>
      <c r="Q740" s="37"/>
      <c r="R740" s="38" t="str">
        <f aca="false">IFERROR(Q740/VLOOKUP(P740,'Exchange rates to USD'!$L$2:$N$225,3,FALSE()),"")</f>
        <v/>
      </c>
    </row>
    <row r="741" customFormat="false" ht="13.25" hidden="false" customHeight="true" outlineLevel="0" collapsed="false">
      <c r="A741" s="168" t="s">
        <v>2718</v>
      </c>
      <c r="B741" s="168" t="s">
        <v>2714</v>
      </c>
      <c r="C741" s="15" t="s">
        <v>75</v>
      </c>
      <c r="D741" s="168" t="s">
        <v>108</v>
      </c>
      <c r="E741" s="168" t="s">
        <v>95</v>
      </c>
      <c r="F741" s="168" t="s">
        <v>2719</v>
      </c>
      <c r="G741" s="168" t="s">
        <v>62</v>
      </c>
      <c r="H741" s="168" t="s">
        <v>110</v>
      </c>
      <c r="I741" s="168"/>
      <c r="J741" s="169" t="s">
        <v>2720</v>
      </c>
      <c r="K741" s="170" t="s">
        <v>2721</v>
      </c>
      <c r="L741" s="168"/>
      <c r="M741" s="168" t="s">
        <v>65</v>
      </c>
      <c r="N741" s="173" t="s">
        <v>2722</v>
      </c>
      <c r="P741" s="35" t="s">
        <v>643</v>
      </c>
      <c r="Q741" s="37" t="n">
        <v>667</v>
      </c>
      <c r="R741" s="38" t="n">
        <f aca="false">IFERROR(Q741/VLOOKUP(P741,'Exchange rates to USD'!$L$2:$N$225,3,FALSE()),"")</f>
        <v>667</v>
      </c>
    </row>
    <row r="742" customFormat="false" ht="13.25" hidden="false" customHeight="true" outlineLevel="0" collapsed="false">
      <c r="A742" s="168" t="s">
        <v>2723</v>
      </c>
      <c r="B742" s="168" t="s">
        <v>2714</v>
      </c>
      <c r="C742" s="15" t="s">
        <v>75</v>
      </c>
      <c r="D742" s="168" t="s">
        <v>108</v>
      </c>
      <c r="E742" s="168" t="s">
        <v>95</v>
      </c>
      <c r="F742" s="168" t="s">
        <v>2724</v>
      </c>
      <c r="G742" s="168" t="s">
        <v>62</v>
      </c>
      <c r="H742" s="168"/>
      <c r="I742" s="168"/>
      <c r="J742" s="169" t="s">
        <v>2725</v>
      </c>
      <c r="K742" s="168" t="s">
        <v>2726</v>
      </c>
      <c r="L742" s="168"/>
      <c r="M742" s="168" t="s">
        <v>93</v>
      </c>
      <c r="N742" s="168" t="s">
        <v>2722</v>
      </c>
      <c r="P742" s="35" t="s">
        <v>643</v>
      </c>
      <c r="Q742" s="37" t="n">
        <v>200</v>
      </c>
      <c r="R742" s="38" t="n">
        <f aca="false">IFERROR(Q742/VLOOKUP(P742,'Exchange rates to USD'!$L$2:$N$225,3,FALSE()),"")</f>
        <v>200</v>
      </c>
    </row>
    <row r="743" customFormat="false" ht="13.25" hidden="false" customHeight="true" outlineLevel="0" collapsed="false">
      <c r="A743" s="168" t="s">
        <v>2727</v>
      </c>
      <c r="B743" s="168" t="s">
        <v>2714</v>
      </c>
      <c r="C743" s="168" t="s">
        <v>122</v>
      </c>
      <c r="D743" s="168" t="s">
        <v>59</v>
      </c>
      <c r="E743" s="168" t="s">
        <v>90</v>
      </c>
      <c r="F743" s="168" t="s">
        <v>2379</v>
      </c>
      <c r="G743" s="168" t="s">
        <v>62</v>
      </c>
      <c r="H743" s="168"/>
      <c r="I743" s="168"/>
      <c r="J743" s="169" t="s">
        <v>2728</v>
      </c>
      <c r="K743" s="168" t="s">
        <v>2729</v>
      </c>
      <c r="L743" s="168"/>
      <c r="M743" s="15" t="s">
        <v>65</v>
      </c>
      <c r="N743" s="168"/>
      <c r="P743" s="35"/>
      <c r="Q743" s="37"/>
      <c r="R743" s="38" t="str">
        <f aca="false">IFERROR(Q743/VLOOKUP(P743,'Exchange rates to USD'!$L$2:$N$225,3,FALSE()),"")</f>
        <v/>
      </c>
    </row>
    <row r="744" customFormat="false" ht="13.25" hidden="false" customHeight="true" outlineLevel="0" collapsed="false">
      <c r="A744" s="174" t="s">
        <v>2730</v>
      </c>
      <c r="B744" s="174" t="s">
        <v>2714</v>
      </c>
      <c r="C744" s="174" t="s">
        <v>122</v>
      </c>
      <c r="D744" s="174" t="s">
        <v>59</v>
      </c>
      <c r="E744" s="174" t="s">
        <v>95</v>
      </c>
      <c r="F744" s="174" t="s">
        <v>2731</v>
      </c>
      <c r="G744" s="174" t="s">
        <v>62</v>
      </c>
      <c r="H744" s="174"/>
      <c r="I744" s="174"/>
      <c r="J744" s="175" t="s">
        <v>2732</v>
      </c>
      <c r="K744" s="174" t="s">
        <v>2733</v>
      </c>
      <c r="L744" s="174"/>
      <c r="M744" s="174" t="s">
        <v>113</v>
      </c>
      <c r="N744" s="174" t="s">
        <v>2722</v>
      </c>
      <c r="O744" s="56"/>
      <c r="P744" s="55" t="s">
        <v>643</v>
      </c>
      <c r="Q744" s="60" t="n">
        <v>120</v>
      </c>
      <c r="R744" s="58" t="n">
        <f aca="false">IFERROR(Q744/VLOOKUP(P744,'Exchange rates to USD'!$L$2:$N$225,3,FALSE()),"")</f>
        <v>120</v>
      </c>
    </row>
    <row r="745" customFormat="false" ht="13.25" hidden="false" customHeight="true" outlineLevel="0" collapsed="false">
      <c r="A745" s="15" t="s">
        <v>2734</v>
      </c>
      <c r="B745" s="15" t="s">
        <v>2735</v>
      </c>
      <c r="C745" s="15" t="s">
        <v>75</v>
      </c>
      <c r="D745" s="15" t="s">
        <v>80</v>
      </c>
      <c r="E745" s="15" t="s">
        <v>76</v>
      </c>
      <c r="G745" s="15" t="s">
        <v>105</v>
      </c>
      <c r="J745" s="15" t="s">
        <v>2736</v>
      </c>
      <c r="K745" s="15" t="s">
        <v>2737</v>
      </c>
      <c r="M745" s="15" t="s">
        <v>70</v>
      </c>
      <c r="P745" s="96"/>
      <c r="Q745" s="78"/>
      <c r="R745" s="80" t="str">
        <f aca="false">IFERROR(Q745/VLOOKUP(P745,'Exchange rates to USD'!$L$2:$N$225,3,FALSE()),"")</f>
        <v/>
      </c>
    </row>
    <row r="746" customFormat="false" ht="13.25" hidden="false" customHeight="true" outlineLevel="0" collapsed="false">
      <c r="A746" s="15" t="s">
        <v>2738</v>
      </c>
      <c r="B746" s="15" t="s">
        <v>2735</v>
      </c>
      <c r="C746" s="15" t="s">
        <v>58</v>
      </c>
      <c r="D746" s="15" t="s">
        <v>80</v>
      </c>
      <c r="E746" s="15" t="s">
        <v>76</v>
      </c>
      <c r="F746" s="15" t="s">
        <v>2739</v>
      </c>
      <c r="G746" s="15" t="s">
        <v>105</v>
      </c>
      <c r="J746" s="15" t="s">
        <v>2740</v>
      </c>
      <c r="K746" s="15" t="s">
        <v>2741</v>
      </c>
      <c r="M746" s="15" t="s">
        <v>70</v>
      </c>
      <c r="P746" s="35" t="s">
        <v>643</v>
      </c>
      <c r="Q746" s="37" t="n">
        <v>1600</v>
      </c>
      <c r="R746" s="38" t="n">
        <f aca="false">IFERROR(Q746/VLOOKUP(P746,'Exchange rates to USD'!$L$2:$N$225,3,FALSE()),"")</f>
        <v>1600</v>
      </c>
    </row>
    <row r="747" customFormat="false" ht="13.25" hidden="false" customHeight="true" outlineLevel="0" collapsed="false">
      <c r="A747" s="15" t="s">
        <v>2742</v>
      </c>
      <c r="B747" s="15" t="s">
        <v>2735</v>
      </c>
      <c r="C747" s="15" t="s">
        <v>58</v>
      </c>
      <c r="D747" s="15" t="s">
        <v>59</v>
      </c>
      <c r="E747" s="15" t="s">
        <v>233</v>
      </c>
      <c r="F747" s="15" t="s">
        <v>2743</v>
      </c>
      <c r="G747" s="15" t="s">
        <v>62</v>
      </c>
      <c r="J747" s="15" t="s">
        <v>2744</v>
      </c>
      <c r="K747" s="15" t="s">
        <v>2745</v>
      </c>
      <c r="M747" s="15" t="s">
        <v>113</v>
      </c>
      <c r="P747" s="35" t="s">
        <v>643</v>
      </c>
      <c r="Q747" s="37" t="n">
        <v>5500</v>
      </c>
      <c r="R747" s="38" t="n">
        <f aca="false">IFERROR(Q747/VLOOKUP(P747,'Exchange rates to USD'!$L$2:$N$225,3,FALSE()),"")</f>
        <v>5500</v>
      </c>
    </row>
    <row r="748" customFormat="false" ht="13.25" hidden="false" customHeight="true" outlineLevel="0" collapsed="false">
      <c r="A748" s="15" t="s">
        <v>2746</v>
      </c>
      <c r="B748" s="15" t="s">
        <v>2735</v>
      </c>
      <c r="C748" s="15" t="s">
        <v>176</v>
      </c>
      <c r="D748" s="15" t="s">
        <v>80</v>
      </c>
      <c r="E748" s="15" t="s">
        <v>76</v>
      </c>
      <c r="G748" s="15" t="s">
        <v>105</v>
      </c>
      <c r="J748" s="15" t="s">
        <v>2747</v>
      </c>
      <c r="K748" s="15" t="s">
        <v>2748</v>
      </c>
      <c r="M748" s="15" t="s">
        <v>70</v>
      </c>
      <c r="P748" s="35"/>
      <c r="Q748" s="37"/>
      <c r="R748" s="38" t="str">
        <f aca="false">IFERROR(Q748/VLOOKUP(P748,'Exchange rates to USD'!$L$2:$N$225,3,FALSE()),"")</f>
        <v/>
      </c>
    </row>
    <row r="749" customFormat="false" ht="13.25" hidden="false" customHeight="true" outlineLevel="0" collapsed="false">
      <c r="A749" s="15" t="s">
        <v>2749</v>
      </c>
      <c r="B749" s="15" t="s">
        <v>2735</v>
      </c>
      <c r="C749" s="15" t="s">
        <v>232</v>
      </c>
      <c r="D749" s="15" t="s">
        <v>59</v>
      </c>
      <c r="E749" s="15" t="s">
        <v>123</v>
      </c>
      <c r="G749" s="15" t="s">
        <v>77</v>
      </c>
      <c r="J749" s="15" t="s">
        <v>2750</v>
      </c>
      <c r="M749" s="15" t="s">
        <v>70</v>
      </c>
      <c r="P749" s="35"/>
      <c r="Q749" s="37"/>
      <c r="R749" s="38" t="str">
        <f aca="false">IFERROR(Q749/VLOOKUP(P749,'Exchange rates to USD'!$L$2:$N$225,3,FALSE()),"")</f>
        <v/>
      </c>
    </row>
    <row r="750" customFormat="false" ht="13.25" hidden="false" customHeight="true" outlineLevel="0" collapsed="false">
      <c r="A750" s="15" t="s">
        <v>2751</v>
      </c>
      <c r="B750" s="15" t="s">
        <v>2735</v>
      </c>
      <c r="C750" s="59" t="s">
        <v>232</v>
      </c>
      <c r="D750" s="15" t="s">
        <v>80</v>
      </c>
      <c r="E750" s="15" t="s">
        <v>76</v>
      </c>
      <c r="F750" s="15" t="s">
        <v>2752</v>
      </c>
      <c r="G750" s="15" t="s">
        <v>62</v>
      </c>
      <c r="H750" s="15" t="s">
        <v>158</v>
      </c>
      <c r="J750" s="15" t="s">
        <v>2753</v>
      </c>
      <c r="K750" s="15" t="s">
        <v>2754</v>
      </c>
      <c r="M750" s="15" t="s">
        <v>93</v>
      </c>
      <c r="P750" s="35" t="s">
        <v>643</v>
      </c>
      <c r="Q750" s="37" t="n">
        <v>300</v>
      </c>
      <c r="R750" s="38" t="n">
        <f aca="false">IFERROR(Q750/VLOOKUP(P750,'Exchange rates to USD'!$L$2:$N$225,3,FALSE()),"")</f>
        <v>300</v>
      </c>
    </row>
    <row r="751" customFormat="false" ht="13.25" hidden="false" customHeight="true" outlineLevel="0" collapsed="false">
      <c r="A751" s="15" t="s">
        <v>2755</v>
      </c>
      <c r="B751" s="15" t="s">
        <v>2735</v>
      </c>
      <c r="C751" s="59" t="s">
        <v>232</v>
      </c>
      <c r="D751" s="15" t="s">
        <v>80</v>
      </c>
      <c r="E751" s="15" t="s">
        <v>76</v>
      </c>
      <c r="F751" s="15" t="s">
        <v>2752</v>
      </c>
      <c r="G751" s="15" t="s">
        <v>62</v>
      </c>
      <c r="J751" s="15" t="s">
        <v>2756</v>
      </c>
      <c r="K751" s="15" t="s">
        <v>2757</v>
      </c>
      <c r="M751" s="15" t="s">
        <v>93</v>
      </c>
      <c r="P751" s="35" t="s">
        <v>643</v>
      </c>
      <c r="Q751" s="37" t="n">
        <v>300</v>
      </c>
      <c r="R751" s="38" t="n">
        <f aca="false">IFERROR(Q751/VLOOKUP(P751,'Exchange rates to USD'!$L$2:$N$225,3,FALSE()),"")</f>
        <v>300</v>
      </c>
    </row>
    <row r="752" customFormat="false" ht="13.25" hidden="false" customHeight="true" outlineLevel="0" collapsed="false">
      <c r="A752" s="55" t="s">
        <v>2758</v>
      </c>
      <c r="B752" s="55" t="s">
        <v>2735</v>
      </c>
      <c r="C752" s="55" t="s">
        <v>75</v>
      </c>
      <c r="D752" s="55" t="s">
        <v>80</v>
      </c>
      <c r="E752" s="55" t="s">
        <v>76</v>
      </c>
      <c r="F752" s="55" t="s">
        <v>2759</v>
      </c>
      <c r="G752" s="55" t="s">
        <v>62</v>
      </c>
      <c r="H752" s="55"/>
      <c r="I752" s="55"/>
      <c r="J752" s="55" t="s">
        <v>2760</v>
      </c>
      <c r="K752" s="55" t="s">
        <v>2761</v>
      </c>
      <c r="L752" s="55"/>
      <c r="M752" s="55" t="s">
        <v>93</v>
      </c>
      <c r="N752" s="55" t="s">
        <v>2762</v>
      </c>
      <c r="O752" s="56" t="n">
        <v>44154</v>
      </c>
      <c r="P752" s="55" t="s">
        <v>643</v>
      </c>
      <c r="Q752" s="60" t="n">
        <v>44.244</v>
      </c>
      <c r="R752" s="58" t="n">
        <f aca="false">IFERROR(Q752/VLOOKUP(P752,'Exchange rates to USD'!$L$2:$N$225,3,FALSE()),"")</f>
        <v>44.244</v>
      </c>
    </row>
    <row r="753" customFormat="false" ht="13.25" hidden="false" customHeight="true" outlineLevel="0" collapsed="false">
      <c r="A753" s="15" t="s">
        <v>2763</v>
      </c>
      <c r="B753" s="15" t="s">
        <v>2764</v>
      </c>
      <c r="C753" s="15" t="s">
        <v>75</v>
      </c>
      <c r="D753" s="15" t="s">
        <v>80</v>
      </c>
      <c r="E753" s="15" t="s">
        <v>76</v>
      </c>
      <c r="F753" s="27" t="s">
        <v>2765</v>
      </c>
      <c r="J753" s="15" t="s">
        <v>2766</v>
      </c>
      <c r="K753" s="15" t="s">
        <v>2767</v>
      </c>
      <c r="M753" s="15" t="s">
        <v>70</v>
      </c>
      <c r="O753" s="16" t="s">
        <v>1039</v>
      </c>
      <c r="P753" s="15" t="s">
        <v>643</v>
      </c>
      <c r="Q753" s="17" t="n">
        <v>20600</v>
      </c>
      <c r="R753" s="38" t="n">
        <f aca="false">IFERROR(Q753/VLOOKUP(P753,'Exchange rates to USD'!$L$2:$N$225,3,FALSE()),"")</f>
        <v>20600</v>
      </c>
    </row>
    <row r="754" customFormat="false" ht="13.25" hidden="false" customHeight="true" outlineLevel="0" collapsed="false">
      <c r="A754" s="15" t="s">
        <v>2768</v>
      </c>
      <c r="B754" s="15" t="s">
        <v>2764</v>
      </c>
      <c r="C754" s="15" t="s">
        <v>75</v>
      </c>
      <c r="D754" s="15" t="s">
        <v>80</v>
      </c>
      <c r="E754" s="15" t="s">
        <v>76</v>
      </c>
      <c r="F754" s="15" t="s">
        <v>2769</v>
      </c>
      <c r="J754" s="15" t="s">
        <v>2770</v>
      </c>
      <c r="K754" s="15" t="s">
        <v>2767</v>
      </c>
      <c r="M754" s="15" t="s">
        <v>70</v>
      </c>
      <c r="O754" s="16" t="s">
        <v>1039</v>
      </c>
      <c r="P754" s="15" t="s">
        <v>643</v>
      </c>
      <c r="Q754" s="17" t="n">
        <v>14400</v>
      </c>
      <c r="R754" s="38" t="n">
        <f aca="false">IFERROR(Q754/VLOOKUP(P754,'Exchange rates to USD'!$L$2:$N$225,3,FALSE()),"")</f>
        <v>14400</v>
      </c>
    </row>
    <row r="755" customFormat="false" ht="13.25" hidden="false" customHeight="true" outlineLevel="0" collapsed="false">
      <c r="A755" s="15" t="s">
        <v>2771</v>
      </c>
      <c r="B755" s="15" t="s">
        <v>2764</v>
      </c>
      <c r="C755" s="15" t="s">
        <v>58</v>
      </c>
      <c r="D755" s="15" t="s">
        <v>80</v>
      </c>
      <c r="E755" s="15" t="s">
        <v>76</v>
      </c>
      <c r="F755" s="15" t="s">
        <v>2772</v>
      </c>
      <c r="J755" s="15" t="s">
        <v>2773</v>
      </c>
      <c r="K755" s="15" t="s">
        <v>2767</v>
      </c>
      <c r="M755" s="15" t="s">
        <v>70</v>
      </c>
      <c r="O755" s="16" t="s">
        <v>1039</v>
      </c>
      <c r="P755" s="15" t="s">
        <v>643</v>
      </c>
      <c r="Q755" s="17" t="n">
        <v>54800</v>
      </c>
      <c r="R755" s="38" t="n">
        <f aca="false">IFERROR(Q755/VLOOKUP(P755,'Exchange rates to USD'!$L$2:$N$225,3,FALSE()),"")</f>
        <v>54800</v>
      </c>
    </row>
    <row r="756" customFormat="false" ht="13.25" hidden="false" customHeight="true" outlineLevel="0" collapsed="false">
      <c r="A756" s="15" t="s">
        <v>2774</v>
      </c>
      <c r="B756" s="15" t="s">
        <v>2764</v>
      </c>
      <c r="C756" s="15" t="s">
        <v>122</v>
      </c>
      <c r="D756" s="15" t="s">
        <v>80</v>
      </c>
      <c r="E756" s="15" t="s">
        <v>76</v>
      </c>
      <c r="F756" s="15" t="s">
        <v>2775</v>
      </c>
      <c r="J756" s="15" t="s">
        <v>2776</v>
      </c>
      <c r="K756" s="15" t="s">
        <v>2767</v>
      </c>
      <c r="M756" s="15" t="s">
        <v>70</v>
      </c>
      <c r="O756" s="16" t="s">
        <v>1039</v>
      </c>
      <c r="P756" s="15" t="s">
        <v>643</v>
      </c>
      <c r="Q756" s="17" t="n">
        <v>10300</v>
      </c>
      <c r="R756" s="38" t="n">
        <f aca="false">IFERROR(Q756/VLOOKUP(P756,'Exchange rates to USD'!$L$2:$N$225,3,FALSE()),"")</f>
        <v>10300</v>
      </c>
    </row>
    <row r="757" customFormat="false" ht="13.25" hidden="false" customHeight="true" outlineLevel="0" collapsed="false">
      <c r="A757" s="15" t="s">
        <v>2777</v>
      </c>
      <c r="B757" s="15" t="s">
        <v>2764</v>
      </c>
      <c r="C757" s="15" t="s">
        <v>232</v>
      </c>
      <c r="E757" s="15" t="s">
        <v>76</v>
      </c>
      <c r="F757" s="15" t="s">
        <v>2778</v>
      </c>
      <c r="J757" s="15" t="s">
        <v>2779</v>
      </c>
      <c r="K757" s="15" t="s">
        <v>2767</v>
      </c>
      <c r="M757" s="15" t="s">
        <v>70</v>
      </c>
      <c r="O757" s="16" t="s">
        <v>1039</v>
      </c>
      <c r="P757" s="15" t="s">
        <v>643</v>
      </c>
      <c r="Q757" s="17" t="n">
        <v>3600</v>
      </c>
      <c r="R757" s="38" t="n">
        <f aca="false">IFERROR(Q757/VLOOKUP(P757,'Exchange rates to USD'!$L$2:$N$225,3,FALSE()),"")</f>
        <v>3600</v>
      </c>
    </row>
    <row r="758" customFormat="false" ht="13.25" hidden="false" customHeight="true" outlineLevel="0" collapsed="false">
      <c r="A758" s="15" t="s">
        <v>2780</v>
      </c>
      <c r="B758" s="15" t="s">
        <v>2764</v>
      </c>
      <c r="C758" s="15" t="s">
        <v>232</v>
      </c>
      <c r="E758" s="15" t="s">
        <v>76</v>
      </c>
      <c r="J758" s="15" t="s">
        <v>2781</v>
      </c>
      <c r="K758" s="15" t="s">
        <v>2767</v>
      </c>
      <c r="M758" s="15" t="s">
        <v>70</v>
      </c>
      <c r="O758" s="16" t="s">
        <v>1039</v>
      </c>
      <c r="R758" s="38" t="str">
        <f aca="false">IFERROR(Q758/VLOOKUP(P758,'Exchange rates to USD'!$L$2:$N$225,3,FALSE()),"")</f>
        <v/>
      </c>
    </row>
    <row r="759" customFormat="false" ht="13.25" hidden="false" customHeight="true" outlineLevel="0" collapsed="false">
      <c r="A759" s="15" t="s">
        <v>2782</v>
      </c>
      <c r="B759" s="15" t="s">
        <v>2764</v>
      </c>
      <c r="C759" s="15" t="s">
        <v>232</v>
      </c>
      <c r="E759" s="15" t="s">
        <v>76</v>
      </c>
      <c r="J759" s="15" t="s">
        <v>2783</v>
      </c>
      <c r="K759" s="15" t="s">
        <v>2767</v>
      </c>
      <c r="M759" s="15" t="s">
        <v>70</v>
      </c>
      <c r="O759" s="16" t="s">
        <v>1039</v>
      </c>
      <c r="R759" s="38" t="str">
        <f aca="false">IFERROR(Q759/VLOOKUP(P759,'Exchange rates to USD'!$L$2:$N$225,3,FALSE()),"")</f>
        <v/>
      </c>
    </row>
    <row r="760" customFormat="false" ht="13.25" hidden="false" customHeight="true" outlineLevel="0" collapsed="false">
      <c r="A760" s="15" t="s">
        <v>2784</v>
      </c>
      <c r="B760" s="15" t="s">
        <v>2764</v>
      </c>
      <c r="C760" s="15" t="s">
        <v>232</v>
      </c>
      <c r="E760" s="15" t="s">
        <v>76</v>
      </c>
      <c r="G760" s="15" t="s">
        <v>62</v>
      </c>
      <c r="H760" s="15" t="s">
        <v>105</v>
      </c>
      <c r="J760" s="15" t="s">
        <v>2785</v>
      </c>
      <c r="K760" s="15" t="s">
        <v>2786</v>
      </c>
      <c r="M760" s="15" t="s">
        <v>93</v>
      </c>
      <c r="O760" s="16" t="s">
        <v>1039</v>
      </c>
      <c r="R760" s="38" t="str">
        <f aca="false">IFERROR(Q760/VLOOKUP(P760,'Exchange rates to USD'!$L$2:$N$225,3,FALSE()),"")</f>
        <v/>
      </c>
    </row>
    <row r="761" customFormat="false" ht="13.25" hidden="false" customHeight="true" outlineLevel="0" collapsed="false">
      <c r="A761" s="15" t="s">
        <v>2787</v>
      </c>
      <c r="B761" s="15" t="s">
        <v>2764</v>
      </c>
      <c r="C761" s="15" t="s">
        <v>232</v>
      </c>
      <c r="D761" s="15" t="s">
        <v>59</v>
      </c>
      <c r="E761" s="15" t="s">
        <v>76</v>
      </c>
      <c r="G761" s="15" t="s">
        <v>77</v>
      </c>
      <c r="H761" s="15" t="s">
        <v>62</v>
      </c>
      <c r="I761" s="15" t="s">
        <v>158</v>
      </c>
      <c r="J761" s="15" t="s">
        <v>2788</v>
      </c>
      <c r="K761" s="15" t="s">
        <v>2789</v>
      </c>
      <c r="M761" s="15" t="s">
        <v>93</v>
      </c>
      <c r="N761" s="15" t="s">
        <v>2790</v>
      </c>
      <c r="O761" s="61" t="n">
        <v>44264</v>
      </c>
      <c r="R761" s="38" t="str">
        <f aca="false">IFERROR(Q761/VLOOKUP(P761,'Exchange rates to USD'!$L$2:$N$225,3,FALSE()),"")</f>
        <v/>
      </c>
      <c r="S761" s="15" t="s">
        <v>2791</v>
      </c>
    </row>
    <row r="762" customFormat="false" ht="13.25" hidden="false" customHeight="true" outlineLevel="0" collapsed="false">
      <c r="A762" s="15" t="s">
        <v>2792</v>
      </c>
      <c r="B762" s="15" t="s">
        <v>2764</v>
      </c>
      <c r="C762" s="15" t="s">
        <v>2793</v>
      </c>
      <c r="D762" s="15" t="s">
        <v>59</v>
      </c>
      <c r="E762" s="15" t="s">
        <v>60</v>
      </c>
      <c r="F762" s="17" t="n">
        <v>608519270</v>
      </c>
      <c r="G762" s="15" t="s">
        <v>62</v>
      </c>
      <c r="J762" s="15" t="s">
        <v>2794</v>
      </c>
      <c r="K762" s="27" t="s">
        <v>2795</v>
      </c>
      <c r="L762" s="15" t="s">
        <v>2796</v>
      </c>
      <c r="M762" s="15" t="s">
        <v>70</v>
      </c>
      <c r="N762" s="15" t="s">
        <v>2797</v>
      </c>
      <c r="O762" s="61" t="n">
        <v>44264</v>
      </c>
      <c r="P762" s="15" t="s">
        <v>2798</v>
      </c>
      <c r="Q762" s="17" t="n">
        <v>608.51927</v>
      </c>
      <c r="R762" s="38" t="n">
        <f aca="false">IFERROR(Q762/VLOOKUP(P762,'Exchange rates to USD'!$L$2:$N$225,3,FALSE()),"")</f>
        <v>203.519366979585</v>
      </c>
      <c r="S762" s="15" t="s">
        <v>2799</v>
      </c>
    </row>
    <row r="763" customFormat="false" ht="13.25" hidden="false" customHeight="true" outlineLevel="0" collapsed="false">
      <c r="A763" s="15" t="s">
        <v>2800</v>
      </c>
      <c r="B763" s="15" t="s">
        <v>2764</v>
      </c>
      <c r="C763" s="15" t="s">
        <v>2793</v>
      </c>
      <c r="D763" s="15" t="s">
        <v>59</v>
      </c>
      <c r="E763" s="15" t="s">
        <v>116</v>
      </c>
      <c r="F763" s="17" t="n">
        <v>6085193</v>
      </c>
      <c r="G763" s="15" t="s">
        <v>62</v>
      </c>
      <c r="H763" s="15" t="s">
        <v>110</v>
      </c>
      <c r="J763" s="15" t="s">
        <v>2801</v>
      </c>
      <c r="K763" s="34" t="s">
        <v>2802</v>
      </c>
      <c r="M763" s="15" t="s">
        <v>93</v>
      </c>
      <c r="O763" s="61" t="s">
        <v>1039</v>
      </c>
      <c r="P763" s="15" t="s">
        <v>2798</v>
      </c>
      <c r="Q763" s="17" t="n">
        <v>6.085193</v>
      </c>
      <c r="R763" s="38" t="n">
        <f aca="false">IFERROR(Q763/VLOOKUP(P763,'Exchange rates to USD'!$L$2:$N$225,3,FALSE()),"")</f>
        <v>2.0351937701309</v>
      </c>
      <c r="U763" s="15" t="str">
        <f aca="false">IF(G763=H763,"****","")</f>
        <v/>
      </c>
      <c r="V763" s="15" t="str">
        <f aca="false">IF(H763="","",IF(H763=I763,"****",""))</f>
        <v/>
      </c>
    </row>
    <row r="764" customFormat="false" ht="13.25" hidden="false" customHeight="true" outlineLevel="0" collapsed="false">
      <c r="A764" s="15" t="s">
        <v>2803</v>
      </c>
      <c r="B764" s="15" t="s">
        <v>2764</v>
      </c>
      <c r="C764" s="15" t="s">
        <v>2793</v>
      </c>
      <c r="D764" s="15" t="s">
        <v>59</v>
      </c>
      <c r="E764" s="15" t="s">
        <v>95</v>
      </c>
      <c r="F764" s="15" t="n">
        <v>0</v>
      </c>
      <c r="G764" s="15" t="s">
        <v>62</v>
      </c>
      <c r="J764" s="15" t="s">
        <v>2804</v>
      </c>
      <c r="K764" s="34" t="s">
        <v>2805</v>
      </c>
      <c r="L764" s="15" t="s">
        <v>2806</v>
      </c>
      <c r="M764" s="15" t="s">
        <v>65</v>
      </c>
      <c r="O764" s="61" t="n">
        <v>44264</v>
      </c>
      <c r="R764" s="38" t="str">
        <f aca="false">IFERROR(Q764/VLOOKUP(P764,'Exchange rates to USD'!$L$2:$N$225,3,FALSE()),"")</f>
        <v/>
      </c>
      <c r="S764" s="176" t="s">
        <v>2807</v>
      </c>
      <c r="U764" s="15" t="s">
        <v>2808</v>
      </c>
    </row>
    <row r="765" customFormat="false" ht="13.25" hidden="false" customHeight="true" outlineLevel="0" collapsed="false">
      <c r="A765" s="15" t="s">
        <v>2809</v>
      </c>
      <c r="B765" s="15" t="s">
        <v>2764</v>
      </c>
      <c r="C765" s="15" t="s">
        <v>232</v>
      </c>
      <c r="D765" s="15" t="s">
        <v>59</v>
      </c>
      <c r="E765" s="15" t="s">
        <v>95</v>
      </c>
      <c r="F765" s="15" t="n">
        <v>0</v>
      </c>
      <c r="G765" s="15" t="s">
        <v>62</v>
      </c>
      <c r="H765" s="15" t="s">
        <v>110</v>
      </c>
      <c r="I765" s="15" t="s">
        <v>77</v>
      </c>
      <c r="J765" s="15" t="s">
        <v>2810</v>
      </c>
      <c r="K765" s="34" t="s">
        <v>2811</v>
      </c>
      <c r="M765" s="15" t="s">
        <v>93</v>
      </c>
      <c r="O765" s="61" t="n">
        <v>44264</v>
      </c>
      <c r="R765" s="38" t="str">
        <f aca="false">IFERROR(Q765/VLOOKUP(P765,'Exchange rates to USD'!$L$2:$N$225,3,FALSE()),"")</f>
        <v/>
      </c>
    </row>
    <row r="766" customFormat="false" ht="13.25" hidden="false" customHeight="true" outlineLevel="0" collapsed="false">
      <c r="A766" s="15" t="s">
        <v>2812</v>
      </c>
      <c r="B766" s="15" t="s">
        <v>2764</v>
      </c>
      <c r="C766" s="15" t="s">
        <v>2793</v>
      </c>
      <c r="D766" s="15" t="s">
        <v>59</v>
      </c>
      <c r="E766" s="15" t="s">
        <v>95</v>
      </c>
      <c r="F766" s="15" t="n">
        <v>0</v>
      </c>
      <c r="G766" s="15" t="s">
        <v>62</v>
      </c>
      <c r="J766" s="15" t="s">
        <v>2813</v>
      </c>
      <c r="K766" s="177" t="s">
        <v>2814</v>
      </c>
      <c r="L766" s="15" t="s">
        <v>2815</v>
      </c>
      <c r="M766" s="15" t="s">
        <v>70</v>
      </c>
      <c r="O766" s="61" t="n">
        <v>44264</v>
      </c>
      <c r="R766" s="38" t="str">
        <f aca="false">IFERROR(Q766/VLOOKUP(P766,'Exchange rates to USD'!$L$2:$N$225,3,FALSE()),"")</f>
        <v/>
      </c>
      <c r="S766" s="176" t="s">
        <v>2799</v>
      </c>
    </row>
    <row r="767" customFormat="false" ht="13.25" hidden="false" customHeight="true" outlineLevel="0" collapsed="false">
      <c r="A767" s="15" t="s">
        <v>2816</v>
      </c>
      <c r="B767" s="15" t="s">
        <v>2764</v>
      </c>
      <c r="C767" s="15" t="s">
        <v>232</v>
      </c>
      <c r="D767" s="15" t="s">
        <v>59</v>
      </c>
      <c r="E767" s="15" t="s">
        <v>95</v>
      </c>
      <c r="F767" s="15" t="n">
        <v>0</v>
      </c>
      <c r="G767" s="15" t="s">
        <v>62</v>
      </c>
      <c r="J767" s="15" t="s">
        <v>2817</v>
      </c>
      <c r="K767" s="15" t="s">
        <v>2818</v>
      </c>
      <c r="M767" s="15" t="s">
        <v>93</v>
      </c>
      <c r="O767" s="61" t="n">
        <v>44266</v>
      </c>
      <c r="R767" s="38" t="str">
        <f aca="false">IFERROR(Q767/VLOOKUP(P767,'Exchange rates to USD'!$L$2:$N$225,3,FALSE()),"")</f>
        <v/>
      </c>
      <c r="S767" s="176" t="s">
        <v>2791</v>
      </c>
    </row>
    <row r="768" customFormat="false" ht="13.25" hidden="false" customHeight="true" outlineLevel="0" collapsed="false">
      <c r="A768" s="15" t="s">
        <v>2819</v>
      </c>
      <c r="B768" s="15" t="s">
        <v>2764</v>
      </c>
      <c r="C768" s="15" t="s">
        <v>232</v>
      </c>
      <c r="D768" s="15" t="s">
        <v>59</v>
      </c>
      <c r="E768" s="15" t="s">
        <v>95</v>
      </c>
      <c r="F768" s="15" t="n">
        <v>0</v>
      </c>
      <c r="G768" s="15" t="s">
        <v>62</v>
      </c>
      <c r="J768" s="15" t="s">
        <v>2820</v>
      </c>
      <c r="K768" s="15" t="s">
        <v>2821</v>
      </c>
      <c r="M768" s="15" t="s">
        <v>70</v>
      </c>
      <c r="O768" s="61" t="n">
        <v>44266</v>
      </c>
      <c r="R768" s="38" t="str">
        <f aca="false">IFERROR(Q768/VLOOKUP(P768,'Exchange rates to USD'!$L$2:$N$225,3,FALSE()),"")</f>
        <v/>
      </c>
      <c r="S768" s="176" t="s">
        <v>2799</v>
      </c>
    </row>
    <row r="769" customFormat="false" ht="13.25" hidden="false" customHeight="true" outlineLevel="0" collapsed="false">
      <c r="A769" s="15" t="s">
        <v>2822</v>
      </c>
      <c r="B769" s="15" t="s">
        <v>2764</v>
      </c>
      <c r="C769" s="15" t="s">
        <v>232</v>
      </c>
      <c r="D769" s="15" t="s">
        <v>59</v>
      </c>
      <c r="E769" s="15" t="s">
        <v>95</v>
      </c>
      <c r="F769" s="15" t="n">
        <v>0</v>
      </c>
      <c r="G769" s="15" t="s">
        <v>62</v>
      </c>
      <c r="J769" s="15" t="s">
        <v>2823</v>
      </c>
      <c r="K769" s="15" t="s">
        <v>2824</v>
      </c>
      <c r="M769" s="15" t="s">
        <v>70</v>
      </c>
      <c r="O769" s="61" t="n">
        <v>44266</v>
      </c>
      <c r="R769" s="38" t="str">
        <f aca="false">IFERROR(Q769/VLOOKUP(P769,'Exchange rates to USD'!$L$2:$N$225,3,FALSE()),"")</f>
        <v/>
      </c>
      <c r="S769" s="176" t="s">
        <v>2799</v>
      </c>
    </row>
    <row r="770" customFormat="false" ht="13.25" hidden="false" customHeight="true" outlineLevel="0" collapsed="false">
      <c r="A770" s="15" t="s">
        <v>2825</v>
      </c>
      <c r="B770" s="15" t="s">
        <v>2764</v>
      </c>
      <c r="C770" s="15" t="s">
        <v>2793</v>
      </c>
      <c r="D770" s="15" t="s">
        <v>59</v>
      </c>
      <c r="E770" s="15" t="s">
        <v>95</v>
      </c>
      <c r="F770" s="15" t="n">
        <v>0</v>
      </c>
      <c r="G770" s="15" t="s">
        <v>62</v>
      </c>
      <c r="J770" s="15" t="s">
        <v>2826</v>
      </c>
      <c r="K770" s="15" t="s">
        <v>2827</v>
      </c>
      <c r="L770" s="34" t="s">
        <v>2828</v>
      </c>
      <c r="M770" s="15" t="s">
        <v>93</v>
      </c>
      <c r="O770" s="16" t="s">
        <v>1039</v>
      </c>
      <c r="R770" s="38" t="str">
        <f aca="false">IFERROR(Q770/VLOOKUP(P770,'Exchange rates to USD'!$L$2:$N$225,3,FALSE()),"")</f>
        <v/>
      </c>
    </row>
    <row r="771" customFormat="false" ht="13.25" hidden="false" customHeight="true" outlineLevel="0" collapsed="false">
      <c r="A771" s="15" t="s">
        <v>2829</v>
      </c>
      <c r="B771" s="15" t="s">
        <v>2764</v>
      </c>
      <c r="C771" s="15" t="s">
        <v>2793</v>
      </c>
      <c r="D771" s="15" t="s">
        <v>59</v>
      </c>
      <c r="E771" s="15" t="s">
        <v>95</v>
      </c>
      <c r="F771" s="15" t="n">
        <v>0</v>
      </c>
      <c r="G771" s="15" t="s">
        <v>62</v>
      </c>
      <c r="J771" s="15" t="s">
        <v>2830</v>
      </c>
      <c r="K771" s="15" t="s">
        <v>2831</v>
      </c>
      <c r="M771" s="15" t="s">
        <v>93</v>
      </c>
      <c r="O771" s="61" t="n">
        <v>44267</v>
      </c>
      <c r="R771" s="38" t="str">
        <f aca="false">IFERROR(Q771/VLOOKUP(P771,'Exchange rates to USD'!$L$2:$N$225,3,FALSE()),"")</f>
        <v/>
      </c>
      <c r="S771" s="15" t="s">
        <v>2832</v>
      </c>
    </row>
    <row r="772" customFormat="false" ht="13.25" hidden="false" customHeight="true" outlineLevel="0" collapsed="false">
      <c r="A772" s="15" t="s">
        <v>2833</v>
      </c>
      <c r="B772" s="15" t="s">
        <v>2764</v>
      </c>
      <c r="C772" s="15" t="s">
        <v>232</v>
      </c>
      <c r="D772" s="15" t="s">
        <v>59</v>
      </c>
      <c r="E772" s="15" t="s">
        <v>95</v>
      </c>
      <c r="F772" s="15" t="n">
        <v>0</v>
      </c>
      <c r="G772" s="15" t="s">
        <v>62</v>
      </c>
      <c r="J772" s="15" t="s">
        <v>2834</v>
      </c>
      <c r="K772" s="15" t="s">
        <v>2835</v>
      </c>
      <c r="M772" s="15" t="s">
        <v>70</v>
      </c>
      <c r="O772" s="61" t="n">
        <v>44267</v>
      </c>
      <c r="R772" s="38" t="str">
        <f aca="false">IFERROR(Q772/VLOOKUP(P772,'Exchange rates to USD'!$L$2:$N$225,3,FALSE()),"")</f>
        <v/>
      </c>
      <c r="S772" s="15" t="s">
        <v>2832</v>
      </c>
      <c r="U772" s="15" t="s">
        <v>2836</v>
      </c>
    </row>
    <row r="773" customFormat="false" ht="13.25" hidden="false" customHeight="true" outlineLevel="0" collapsed="false">
      <c r="A773" s="15" t="s">
        <v>2837</v>
      </c>
      <c r="B773" s="15" t="s">
        <v>2764</v>
      </c>
      <c r="C773" s="15" t="s">
        <v>232</v>
      </c>
      <c r="D773" s="15" t="s">
        <v>59</v>
      </c>
      <c r="E773" s="15" t="s">
        <v>76</v>
      </c>
      <c r="F773" s="15" t="n">
        <v>0</v>
      </c>
      <c r="G773" s="15" t="s">
        <v>62</v>
      </c>
      <c r="J773" s="15" t="s">
        <v>2838</v>
      </c>
      <c r="K773" s="15" t="s">
        <v>2839</v>
      </c>
      <c r="L773" s="34" t="s">
        <v>2840</v>
      </c>
      <c r="M773" s="15" t="s">
        <v>113</v>
      </c>
      <c r="O773" s="16" t="s">
        <v>1039</v>
      </c>
      <c r="R773" s="38" t="str">
        <f aca="false">IFERROR(Q773/VLOOKUP(P773,'Exchange rates to USD'!$L$2:$N$225,3,FALSE()),"")</f>
        <v/>
      </c>
    </row>
    <row r="774" customFormat="false" ht="13.25" hidden="false" customHeight="true" outlineLevel="0" collapsed="false">
      <c r="A774" s="15" t="s">
        <v>2841</v>
      </c>
      <c r="B774" s="15" t="s">
        <v>2764</v>
      </c>
      <c r="C774" s="15" t="s">
        <v>232</v>
      </c>
      <c r="D774" s="15" t="s">
        <v>59</v>
      </c>
      <c r="E774" s="15" t="s">
        <v>95</v>
      </c>
      <c r="F774" s="15" t="n">
        <v>0</v>
      </c>
      <c r="G774" s="15" t="s">
        <v>62</v>
      </c>
      <c r="J774" s="15" t="s">
        <v>2842</v>
      </c>
      <c r="K774" s="15" t="s">
        <v>2843</v>
      </c>
      <c r="M774" s="15" t="s">
        <v>70</v>
      </c>
      <c r="O774" s="16" t="s">
        <v>1039</v>
      </c>
      <c r="R774" s="38" t="str">
        <f aca="false">IFERROR(Q774/VLOOKUP(P774,'Exchange rates to USD'!$L$2:$N$225,3,FALSE()),"")</f>
        <v/>
      </c>
    </row>
    <row r="775" customFormat="false" ht="13.25" hidden="false" customHeight="true" outlineLevel="0" collapsed="false">
      <c r="A775" s="15" t="s">
        <v>2844</v>
      </c>
      <c r="B775" s="15" t="s">
        <v>2764</v>
      </c>
      <c r="C775" s="15" t="s">
        <v>232</v>
      </c>
      <c r="D775" s="15" t="s">
        <v>59</v>
      </c>
      <c r="E775" s="15" t="s">
        <v>95</v>
      </c>
      <c r="F775" s="15" t="n">
        <v>0</v>
      </c>
      <c r="G775" s="15" t="s">
        <v>77</v>
      </c>
      <c r="H775" s="15" t="s">
        <v>105</v>
      </c>
      <c r="J775" s="15" t="s">
        <v>2845</v>
      </c>
      <c r="K775" s="15" t="s">
        <v>2846</v>
      </c>
      <c r="M775" s="15" t="s">
        <v>113</v>
      </c>
      <c r="O775" s="61" t="n">
        <v>44267</v>
      </c>
      <c r="R775" s="38" t="str">
        <f aca="false">IFERROR(Q775/VLOOKUP(P775,'Exchange rates to USD'!$L$2:$N$225,3,FALSE()),"")</f>
        <v/>
      </c>
      <c r="S775" s="176" t="s">
        <v>2847</v>
      </c>
      <c r="U775" s="15" t="s">
        <v>2848</v>
      </c>
    </row>
    <row r="776" customFormat="false" ht="13.25" hidden="false" customHeight="true" outlineLevel="0" collapsed="false">
      <c r="A776" s="15" t="s">
        <v>2849</v>
      </c>
      <c r="B776" s="15" t="s">
        <v>2764</v>
      </c>
      <c r="C776" s="15" t="s">
        <v>2793</v>
      </c>
      <c r="D776" s="15" t="s">
        <v>59</v>
      </c>
      <c r="E776" s="15" t="s">
        <v>95</v>
      </c>
      <c r="F776" s="17" t="n">
        <v>202839757</v>
      </c>
      <c r="G776" s="15" t="s">
        <v>62</v>
      </c>
      <c r="J776" s="15" t="s">
        <v>2850</v>
      </c>
      <c r="K776" s="15" t="s">
        <v>2851</v>
      </c>
      <c r="M776" s="15" t="s">
        <v>93</v>
      </c>
      <c r="N776" s="15" t="s">
        <v>2852</v>
      </c>
      <c r="O776" s="61" t="n">
        <v>44267</v>
      </c>
      <c r="P776" s="15" t="s">
        <v>2798</v>
      </c>
      <c r="Q776" s="17" t="n">
        <v>202.839757</v>
      </c>
      <c r="R776" s="38" t="n">
        <f aca="false">IFERROR(Q776/VLOOKUP(P776,'Exchange rates to USD'!$L$2:$N$225,3,FALSE()),"")</f>
        <v>67.8397891046785</v>
      </c>
    </row>
    <row r="777" customFormat="false" ht="13.25" hidden="false" customHeight="true" outlineLevel="0" collapsed="false">
      <c r="A777" s="15" t="s">
        <v>2853</v>
      </c>
      <c r="B777" s="15" t="s">
        <v>2764</v>
      </c>
      <c r="C777" s="15" t="s">
        <v>2793</v>
      </c>
      <c r="D777" s="15" t="s">
        <v>59</v>
      </c>
      <c r="E777" s="15" t="s">
        <v>95</v>
      </c>
      <c r="F777" s="17" t="n">
        <v>19269777</v>
      </c>
      <c r="G777" s="15" t="s">
        <v>62</v>
      </c>
      <c r="J777" s="15" t="s">
        <v>2854</v>
      </c>
      <c r="M777" s="15" t="s">
        <v>93</v>
      </c>
      <c r="O777" s="16" t="s">
        <v>1039</v>
      </c>
      <c r="P777" s="15" t="s">
        <v>2798</v>
      </c>
      <c r="Q777" s="17" t="n">
        <v>19.269777</v>
      </c>
      <c r="R777" s="38" t="n">
        <f aca="false">IFERROR(Q777/VLOOKUP(P777,'Exchange rates to USD'!$L$2:$N$225,3,FALSE()),"")</f>
        <v>6.44477999337272</v>
      </c>
    </row>
    <row r="778" customFormat="false" ht="13.25" hidden="false" customHeight="true" outlineLevel="0" collapsed="false">
      <c r="A778" s="15" t="s">
        <v>2855</v>
      </c>
      <c r="B778" s="15" t="s">
        <v>2764</v>
      </c>
      <c r="C778" s="15" t="s">
        <v>2793</v>
      </c>
      <c r="D778" s="15" t="s">
        <v>59</v>
      </c>
      <c r="E778" s="15" t="s">
        <v>95</v>
      </c>
      <c r="F778" s="17" t="n">
        <v>229208925</v>
      </c>
      <c r="G778" s="15" t="s">
        <v>62</v>
      </c>
      <c r="J778" s="15" t="s">
        <v>2856</v>
      </c>
      <c r="K778" s="15" t="s">
        <v>2857</v>
      </c>
      <c r="M778" s="15" t="s">
        <v>93</v>
      </c>
      <c r="N778" s="15" t="s">
        <v>2858</v>
      </c>
      <c r="O778" s="61" t="n">
        <v>44267</v>
      </c>
      <c r="P778" s="15" t="s">
        <v>2798</v>
      </c>
      <c r="Q778" s="17" t="n">
        <v>229.208925</v>
      </c>
      <c r="R778" s="38" t="n">
        <f aca="false">IFERROR(Q778/VLOOKUP(P778,'Exchange rates to USD'!$L$2:$N$225,3,FALSE()),"")</f>
        <v>76.6589615511621</v>
      </c>
    </row>
    <row r="779" customFormat="false" ht="13.25" hidden="false" customHeight="true" outlineLevel="0" collapsed="false">
      <c r="A779" s="15" t="s">
        <v>2859</v>
      </c>
      <c r="B779" s="15" t="s">
        <v>2764</v>
      </c>
      <c r="C779" s="15" t="s">
        <v>2793</v>
      </c>
      <c r="D779" s="15" t="s">
        <v>59</v>
      </c>
      <c r="E779" s="15" t="s">
        <v>95</v>
      </c>
      <c r="F779" s="17" t="n">
        <v>263691684</v>
      </c>
      <c r="G779" s="15" t="s">
        <v>62</v>
      </c>
      <c r="H779" s="15" t="s">
        <v>110</v>
      </c>
      <c r="J779" s="15" t="s">
        <v>2860</v>
      </c>
      <c r="K779" s="15" t="s">
        <v>2861</v>
      </c>
      <c r="M779" s="15" t="s">
        <v>93</v>
      </c>
      <c r="O779" s="16" t="s">
        <v>1039</v>
      </c>
      <c r="P779" s="15" t="s">
        <v>2798</v>
      </c>
      <c r="Q779" s="17" t="n">
        <v>263.691684</v>
      </c>
      <c r="R779" s="38" t="n">
        <f aca="false">IFERROR(Q779/VLOOKUP(P779,'Exchange rates to USD'!$L$2:$N$225,3,FALSE()),"")</f>
        <v>88.191725802637</v>
      </c>
    </row>
    <row r="780" customFormat="false" ht="13.25" hidden="false" customHeight="true" outlineLevel="0" collapsed="false">
      <c r="A780" s="15" t="s">
        <v>2862</v>
      </c>
      <c r="B780" s="15" t="s">
        <v>2764</v>
      </c>
      <c r="C780" s="15" t="s">
        <v>2793</v>
      </c>
      <c r="D780" s="15" t="s">
        <v>59</v>
      </c>
      <c r="E780" s="15" t="s">
        <v>95</v>
      </c>
      <c r="F780" s="17" t="n">
        <v>243407708</v>
      </c>
      <c r="G780" s="15" t="s">
        <v>62</v>
      </c>
      <c r="J780" s="15" t="s">
        <v>2863</v>
      </c>
      <c r="K780" s="15" t="s">
        <v>2864</v>
      </c>
      <c r="M780" s="15" t="s">
        <v>93</v>
      </c>
      <c r="N780" s="15" t="s">
        <v>2865</v>
      </c>
      <c r="O780" s="16" t="s">
        <v>1039</v>
      </c>
      <c r="P780" s="15" t="s">
        <v>2798</v>
      </c>
      <c r="Q780" s="17" t="n">
        <v>243.407708</v>
      </c>
      <c r="R780" s="38" t="n">
        <f aca="false">IFERROR(Q780/VLOOKUP(P780,'Exchange rates to USD'!$L$2:$N$225,3,FALSE()),"")</f>
        <v>81.4077467918341</v>
      </c>
    </row>
    <row r="781" customFormat="false" ht="13.25" hidden="false" customHeight="true" outlineLevel="0" collapsed="false">
      <c r="A781" s="15" t="s">
        <v>2866</v>
      </c>
      <c r="B781" s="15" t="s">
        <v>2764</v>
      </c>
      <c r="C781" s="15" t="s">
        <v>2793</v>
      </c>
      <c r="D781" s="15" t="s">
        <v>59</v>
      </c>
      <c r="E781" s="15" t="s">
        <v>95</v>
      </c>
      <c r="F781" s="17" t="n">
        <v>42190670</v>
      </c>
      <c r="G781" s="15" t="s">
        <v>62</v>
      </c>
      <c r="J781" s="15" t="s">
        <v>2867</v>
      </c>
      <c r="K781" s="15" t="s">
        <v>2868</v>
      </c>
      <c r="M781" s="15" t="s">
        <v>93</v>
      </c>
      <c r="O781" s="16" t="s">
        <v>1039</v>
      </c>
      <c r="P781" s="15" t="s">
        <v>2798</v>
      </c>
      <c r="Q781" s="17" t="n">
        <v>42.19067</v>
      </c>
      <c r="R781" s="38" t="n">
        <f aca="false">IFERROR(Q781/VLOOKUP(P781,'Exchange rates to USD'!$L$2:$N$225,3,FALSE()),"")</f>
        <v>14.110676315714</v>
      </c>
    </row>
    <row r="782" customFormat="false" ht="13.25" hidden="false" customHeight="true" outlineLevel="0" collapsed="false">
      <c r="A782" s="15" t="s">
        <v>2869</v>
      </c>
      <c r="B782" s="15" t="s">
        <v>2764</v>
      </c>
      <c r="C782" s="15" t="s">
        <v>232</v>
      </c>
      <c r="D782" s="15" t="s">
        <v>59</v>
      </c>
      <c r="E782" s="15" t="s">
        <v>95</v>
      </c>
      <c r="F782" s="17" t="n">
        <v>997971603</v>
      </c>
      <c r="G782" s="15" t="s">
        <v>62</v>
      </c>
      <c r="J782" s="15" t="s">
        <v>2870</v>
      </c>
      <c r="K782" s="34" t="s">
        <v>2871</v>
      </c>
      <c r="M782" s="15" t="s">
        <v>70</v>
      </c>
      <c r="N782" s="15" t="s">
        <v>2872</v>
      </c>
      <c r="O782" s="16" t="s">
        <v>1039</v>
      </c>
      <c r="P782" s="15" t="s">
        <v>2798</v>
      </c>
      <c r="Q782" s="17" t="n">
        <v>997.971603</v>
      </c>
      <c r="R782" s="38" t="n">
        <f aca="false">IFERROR(Q782/VLOOKUP(P782,'Exchange rates to USD'!$L$2:$N$225,3,FALSE()),"")</f>
        <v>333.77176191341</v>
      </c>
    </row>
    <row r="783" customFormat="false" ht="13.25" hidden="false" customHeight="true" outlineLevel="0" collapsed="false">
      <c r="A783" s="15" t="s">
        <v>2873</v>
      </c>
      <c r="B783" s="15" t="s">
        <v>2764</v>
      </c>
      <c r="C783" s="15" t="s">
        <v>232</v>
      </c>
      <c r="D783" s="15" t="s">
        <v>59</v>
      </c>
      <c r="E783" s="15" t="s">
        <v>233</v>
      </c>
      <c r="F783" s="17" t="n">
        <v>851926978</v>
      </c>
      <c r="G783" s="15" t="s">
        <v>62</v>
      </c>
      <c r="H783" s="15" t="s">
        <v>77</v>
      </c>
      <c r="J783" s="15" t="s">
        <v>2874</v>
      </c>
      <c r="K783" s="15" t="s">
        <v>2875</v>
      </c>
      <c r="L783" s="34" t="s">
        <v>2876</v>
      </c>
      <c r="M783" s="15" t="s">
        <v>113</v>
      </c>
      <c r="O783" s="61" t="n">
        <v>44267</v>
      </c>
      <c r="P783" s="15" t="s">
        <v>2798</v>
      </c>
      <c r="Q783" s="17" t="n">
        <v>851.926978</v>
      </c>
      <c r="R783" s="38" t="n">
        <f aca="false">IFERROR(Q783/VLOOKUP(P783,'Exchange rates to USD'!$L$2:$N$225,3,FALSE()),"")</f>
        <v>284.927113771419</v>
      </c>
      <c r="S783" s="15" t="s">
        <v>2877</v>
      </c>
      <c r="U783" s="15" t="s">
        <v>2878</v>
      </c>
    </row>
    <row r="784" customFormat="false" ht="11.5" hidden="false" customHeight="false" outlineLevel="0" collapsed="false">
      <c r="A784" s="15" t="s">
        <v>2879</v>
      </c>
      <c r="B784" s="15" t="s">
        <v>2764</v>
      </c>
      <c r="C784" s="15" t="s">
        <v>2793</v>
      </c>
      <c r="D784" s="15" t="s">
        <v>59</v>
      </c>
      <c r="E784" s="15" t="s">
        <v>95</v>
      </c>
      <c r="F784" s="17" t="n">
        <v>41987830</v>
      </c>
      <c r="G784" s="15" t="s">
        <v>62</v>
      </c>
      <c r="J784" s="15" t="s">
        <v>2880</v>
      </c>
      <c r="K784" s="15" t="s">
        <v>2881</v>
      </c>
      <c r="M784" s="15" t="s">
        <v>93</v>
      </c>
      <c r="O784" s="16" t="s">
        <v>1039</v>
      </c>
      <c r="P784" s="15" t="s">
        <v>2798</v>
      </c>
      <c r="Q784" s="17" t="n">
        <v>41.98783</v>
      </c>
      <c r="R784" s="38" t="n">
        <f aca="false">IFERROR(Q784/VLOOKUP(P784,'Exchange rates to USD'!$L$2:$N$225,3,FALSE()),"")</f>
        <v>14.042836445338</v>
      </c>
    </row>
    <row r="785" customFormat="false" ht="13.25" hidden="false" customHeight="true" outlineLevel="0" collapsed="false">
      <c r="A785" s="15" t="s">
        <v>2882</v>
      </c>
      <c r="B785" s="15" t="s">
        <v>2764</v>
      </c>
      <c r="C785" s="15" t="s">
        <v>2793</v>
      </c>
      <c r="D785" s="15" t="s">
        <v>59</v>
      </c>
      <c r="E785" s="15" t="s">
        <v>233</v>
      </c>
      <c r="F785" s="17" t="n">
        <v>304259635</v>
      </c>
      <c r="G785" s="15" t="s">
        <v>62</v>
      </c>
      <c r="H785" s="15" t="s">
        <v>77</v>
      </c>
      <c r="J785" s="15" t="s">
        <v>2883</v>
      </c>
      <c r="K785" s="15" t="s">
        <v>2884</v>
      </c>
      <c r="M785" s="15" t="s">
        <v>113</v>
      </c>
      <c r="O785" s="61" t="n">
        <v>44267</v>
      </c>
      <c r="P785" s="15" t="s">
        <v>2798</v>
      </c>
      <c r="Q785" s="17" t="n">
        <v>304.259635</v>
      </c>
      <c r="R785" s="38" t="n">
        <f aca="false">IFERROR(Q785/VLOOKUP(P785,'Exchange rates to USD'!$L$2:$N$225,3,FALSE()),"")</f>
        <v>101.759683489793</v>
      </c>
      <c r="S785" s="15" t="s">
        <v>2877</v>
      </c>
      <c r="U785" s="15" t="s">
        <v>2878</v>
      </c>
    </row>
    <row r="786" customFormat="false" ht="13.25" hidden="false" customHeight="true" outlineLevel="0" collapsed="false">
      <c r="A786" s="15" t="s">
        <v>2885</v>
      </c>
      <c r="B786" s="15" t="s">
        <v>2764</v>
      </c>
      <c r="C786" s="15" t="s">
        <v>2793</v>
      </c>
      <c r="D786" s="15" t="s">
        <v>59</v>
      </c>
      <c r="E786" s="15" t="s">
        <v>95</v>
      </c>
      <c r="F786" s="17" t="n">
        <v>182555781</v>
      </c>
      <c r="G786" s="15" t="s">
        <v>62</v>
      </c>
      <c r="J786" s="15" t="s">
        <v>2886</v>
      </c>
      <c r="K786" s="15" t="s">
        <v>2887</v>
      </c>
      <c r="M786" s="15" t="s">
        <v>70</v>
      </c>
      <c r="O786" s="61" t="n">
        <v>44267</v>
      </c>
      <c r="P786" s="15" t="s">
        <v>2798</v>
      </c>
      <c r="Q786" s="17" t="n">
        <v>182.555781</v>
      </c>
      <c r="R786" s="38" t="n">
        <f aca="false">IFERROR(Q786/VLOOKUP(P786,'Exchange rates to USD'!$L$2:$N$225,3,FALSE()),"")</f>
        <v>61.0558100938756</v>
      </c>
      <c r="S786" s="15" t="s">
        <v>2888</v>
      </c>
      <c r="U786" s="15" t="s">
        <v>2889</v>
      </c>
    </row>
    <row r="787" customFormat="false" ht="13.25" hidden="false" customHeight="true" outlineLevel="0" collapsed="false">
      <c r="A787" s="35" t="s">
        <v>2890</v>
      </c>
      <c r="B787" s="35" t="s">
        <v>2764</v>
      </c>
      <c r="C787" s="35" t="s">
        <v>232</v>
      </c>
      <c r="D787" s="35" t="s">
        <v>59</v>
      </c>
      <c r="E787" s="35" t="s">
        <v>95</v>
      </c>
      <c r="F787" s="35" t="n">
        <v>0</v>
      </c>
      <c r="G787" s="35" t="s">
        <v>62</v>
      </c>
      <c r="H787" s="35"/>
      <c r="I787" s="35"/>
      <c r="J787" s="35" t="s">
        <v>2891</v>
      </c>
      <c r="K787" s="35" t="s">
        <v>2892</v>
      </c>
      <c r="L787" s="35" t="s">
        <v>2893</v>
      </c>
      <c r="M787" s="35" t="s">
        <v>93</v>
      </c>
      <c r="N787" s="35"/>
      <c r="O787" s="178" t="n">
        <v>44267</v>
      </c>
      <c r="P787" s="35"/>
      <c r="Q787" s="37"/>
      <c r="R787" s="37"/>
      <c r="S787" s="35"/>
      <c r="T787" s="35"/>
    </row>
    <row r="788" customFormat="false" ht="13.25" hidden="false" customHeight="true" outlineLevel="0" collapsed="false">
      <c r="A788" s="35" t="s">
        <v>2894</v>
      </c>
      <c r="B788" s="35" t="s">
        <v>2764</v>
      </c>
      <c r="C788" s="35" t="s">
        <v>58</v>
      </c>
      <c r="D788" s="35"/>
      <c r="E788" s="35" t="s">
        <v>76</v>
      </c>
      <c r="F788" s="35"/>
      <c r="G788" s="35" t="s">
        <v>97</v>
      </c>
      <c r="H788" s="35"/>
      <c r="I788" s="35"/>
      <c r="J788" s="35" t="s">
        <v>2895</v>
      </c>
      <c r="K788" s="35"/>
      <c r="L788" s="35"/>
      <c r="M788" s="35" t="s">
        <v>93</v>
      </c>
      <c r="N788" s="35"/>
      <c r="O788" s="178" t="n">
        <v>44267</v>
      </c>
      <c r="P788" s="35"/>
      <c r="Q788" s="37"/>
      <c r="R788" s="37"/>
      <c r="S788" s="35"/>
      <c r="T788" s="35"/>
    </row>
    <row r="789" customFormat="false" ht="13.25" hidden="false" customHeight="true" outlineLevel="0" collapsed="false">
      <c r="A789" s="15" t="s">
        <v>2896</v>
      </c>
      <c r="B789" s="15" t="s">
        <v>2764</v>
      </c>
      <c r="C789" s="35" t="s">
        <v>232</v>
      </c>
      <c r="D789" s="35" t="s">
        <v>59</v>
      </c>
      <c r="E789" s="35" t="s">
        <v>76</v>
      </c>
      <c r="F789" s="35"/>
      <c r="G789" s="35" t="s">
        <v>77</v>
      </c>
      <c r="H789" s="35"/>
      <c r="I789" s="35"/>
      <c r="J789" s="15" t="s">
        <v>2897</v>
      </c>
      <c r="K789" s="35"/>
      <c r="L789" s="35"/>
      <c r="M789" s="35" t="s">
        <v>93</v>
      </c>
      <c r="N789" s="35"/>
      <c r="O789" s="61" t="n">
        <v>44267</v>
      </c>
      <c r="P789" s="35"/>
      <c r="Q789" s="37"/>
      <c r="R789" s="37"/>
    </row>
    <row r="790" customFormat="false" ht="13.25" hidden="false" customHeight="true" outlineLevel="0" collapsed="false">
      <c r="A790" s="15" t="s">
        <v>2898</v>
      </c>
      <c r="B790" s="15" t="s">
        <v>2764</v>
      </c>
      <c r="C790" s="35" t="s">
        <v>232</v>
      </c>
      <c r="D790" s="35" t="s">
        <v>59</v>
      </c>
      <c r="E790" s="35" t="s">
        <v>263</v>
      </c>
      <c r="F790" s="35"/>
      <c r="G790" s="35" t="s">
        <v>77</v>
      </c>
      <c r="H790" s="35"/>
      <c r="I790" s="35"/>
      <c r="J790" s="15" t="s">
        <v>2899</v>
      </c>
      <c r="K790" s="34" t="s">
        <v>2900</v>
      </c>
      <c r="L790" s="35"/>
      <c r="M790" s="35" t="s">
        <v>93</v>
      </c>
      <c r="N790" s="35"/>
      <c r="O790" s="61" t="n">
        <v>44267</v>
      </c>
      <c r="P790" s="35"/>
      <c r="Q790" s="37"/>
      <c r="R790" s="37"/>
    </row>
    <row r="791" customFormat="false" ht="13.25" hidden="false" customHeight="true" outlineLevel="0" collapsed="false">
      <c r="A791" s="15" t="s">
        <v>2901</v>
      </c>
      <c r="B791" s="15" t="s">
        <v>2764</v>
      </c>
      <c r="C791" s="35" t="s">
        <v>232</v>
      </c>
      <c r="D791" s="35" t="s">
        <v>59</v>
      </c>
      <c r="E791" s="35" t="s">
        <v>95</v>
      </c>
      <c r="F791" s="35"/>
      <c r="G791" s="35" t="s">
        <v>62</v>
      </c>
      <c r="H791" s="35" t="s">
        <v>110</v>
      </c>
      <c r="I791" s="35"/>
      <c r="J791" s="35" t="s">
        <v>2902</v>
      </c>
      <c r="K791" s="179" t="s">
        <v>2903</v>
      </c>
      <c r="L791" s="35"/>
      <c r="M791" s="35" t="s">
        <v>93</v>
      </c>
      <c r="N791" s="35"/>
      <c r="O791" s="61" t="n">
        <v>44267</v>
      </c>
      <c r="P791" s="35"/>
      <c r="Q791" s="37"/>
      <c r="R791" s="37"/>
    </row>
    <row r="792" customFormat="false" ht="13.25" hidden="false" customHeight="true" outlineLevel="0" collapsed="false">
      <c r="A792" s="15" t="s">
        <v>2904</v>
      </c>
      <c r="B792" s="15" t="s">
        <v>2764</v>
      </c>
      <c r="C792" s="35" t="s">
        <v>232</v>
      </c>
      <c r="D792" s="35" t="s">
        <v>59</v>
      </c>
      <c r="E792" s="35" t="s">
        <v>76</v>
      </c>
      <c r="F792" s="35"/>
      <c r="G792" s="35" t="s">
        <v>97</v>
      </c>
      <c r="H792" s="35" t="s">
        <v>77</v>
      </c>
      <c r="I792" s="35" t="s">
        <v>158</v>
      </c>
      <c r="J792" s="35" t="s">
        <v>2905</v>
      </c>
      <c r="K792" s="139" t="s">
        <v>2906</v>
      </c>
      <c r="L792" s="35"/>
      <c r="M792" s="35" t="s">
        <v>93</v>
      </c>
      <c r="N792" s="35"/>
      <c r="O792" s="61" t="n">
        <v>44267</v>
      </c>
      <c r="P792" s="35"/>
      <c r="Q792" s="37"/>
      <c r="R792" s="37"/>
    </row>
    <row r="793" customFormat="false" ht="13.25" hidden="false" customHeight="true" outlineLevel="0" collapsed="false">
      <c r="A793" s="15" t="s">
        <v>2907</v>
      </c>
      <c r="B793" s="15" t="s">
        <v>2764</v>
      </c>
      <c r="C793" s="35" t="s">
        <v>232</v>
      </c>
      <c r="D793" s="35" t="s">
        <v>59</v>
      </c>
      <c r="E793" s="35" t="s">
        <v>76</v>
      </c>
      <c r="F793" s="35"/>
      <c r="G793" s="35" t="s">
        <v>77</v>
      </c>
      <c r="H793" s="35" t="s">
        <v>62</v>
      </c>
      <c r="I793" s="35" t="s">
        <v>97</v>
      </c>
      <c r="J793" s="35" t="s">
        <v>2908</v>
      </c>
      <c r="K793" s="34" t="s">
        <v>2909</v>
      </c>
      <c r="L793" s="35"/>
      <c r="M793" s="35" t="s">
        <v>93</v>
      </c>
      <c r="N793" s="35"/>
      <c r="O793" s="61" t="n">
        <v>44267</v>
      </c>
      <c r="P793" s="35"/>
      <c r="Q793" s="37"/>
      <c r="R793" s="37"/>
    </row>
    <row r="794" customFormat="false" ht="13.25" hidden="false" customHeight="true" outlineLevel="0" collapsed="false">
      <c r="A794" s="15" t="s">
        <v>2910</v>
      </c>
      <c r="B794" s="15" t="s">
        <v>2764</v>
      </c>
      <c r="C794" s="35" t="s">
        <v>232</v>
      </c>
      <c r="D794" s="35" t="s">
        <v>59</v>
      </c>
      <c r="E794" s="35" t="s">
        <v>95</v>
      </c>
      <c r="F794" s="35"/>
      <c r="G794" s="35" t="s">
        <v>62</v>
      </c>
      <c r="H794" s="35" t="s">
        <v>110</v>
      </c>
      <c r="I794" s="35"/>
      <c r="J794" s="35" t="s">
        <v>2911</v>
      </c>
      <c r="K794" s="34" t="s">
        <v>2912</v>
      </c>
      <c r="L794" s="35"/>
      <c r="M794" s="35" t="s">
        <v>113</v>
      </c>
      <c r="N794" s="35" t="s">
        <v>2913</v>
      </c>
      <c r="O794" s="61" t="n">
        <v>44267</v>
      </c>
      <c r="P794" s="35"/>
      <c r="Q794" s="37"/>
      <c r="R794" s="37"/>
      <c r="U794" s="15" t="s">
        <v>2914</v>
      </c>
    </row>
    <row r="795" customFormat="false" ht="13.25" hidden="false" customHeight="true" outlineLevel="0" collapsed="false">
      <c r="A795" s="15" t="s">
        <v>2915</v>
      </c>
      <c r="B795" s="15" t="s">
        <v>2764</v>
      </c>
      <c r="C795" s="35" t="s">
        <v>232</v>
      </c>
      <c r="D795" s="35" t="s">
        <v>80</v>
      </c>
      <c r="E795" s="35" t="s">
        <v>76</v>
      </c>
      <c r="F795" s="35"/>
      <c r="G795" s="35" t="s">
        <v>105</v>
      </c>
      <c r="H795" s="35"/>
      <c r="I795" s="35"/>
      <c r="J795" s="35" t="s">
        <v>2916</v>
      </c>
      <c r="K795" s="62" t="s">
        <v>2917</v>
      </c>
      <c r="L795" s="35"/>
      <c r="M795" s="35" t="s">
        <v>113</v>
      </c>
      <c r="N795" s="35"/>
      <c r="O795" s="61" t="n">
        <v>44267</v>
      </c>
      <c r="P795" s="35"/>
      <c r="Q795" s="37"/>
      <c r="R795" s="37"/>
      <c r="U795" s="15" t="s">
        <v>2918</v>
      </c>
    </row>
    <row r="796" customFormat="false" ht="13.25" hidden="false" customHeight="true" outlineLevel="0" collapsed="false">
      <c r="A796" s="15" t="s">
        <v>2919</v>
      </c>
      <c r="B796" s="15" t="s">
        <v>2764</v>
      </c>
      <c r="C796" s="35" t="s">
        <v>58</v>
      </c>
      <c r="D796" s="35" t="s">
        <v>59</v>
      </c>
      <c r="E796" s="35" t="s">
        <v>997</v>
      </c>
      <c r="F796" s="35"/>
      <c r="G796" s="35" t="s">
        <v>97</v>
      </c>
      <c r="H796" s="35"/>
      <c r="I796" s="35"/>
      <c r="J796" s="35" t="s">
        <v>2920</v>
      </c>
      <c r="K796" s="62" t="s">
        <v>2921</v>
      </c>
      <c r="L796" s="35"/>
      <c r="M796" s="35" t="s">
        <v>93</v>
      </c>
      <c r="N796" s="35"/>
      <c r="O796" s="61" t="n">
        <v>44267</v>
      </c>
      <c r="P796" s="35"/>
      <c r="Q796" s="37"/>
      <c r="R796" s="37"/>
    </row>
    <row r="797" customFormat="false" ht="13.25" hidden="false" customHeight="true" outlineLevel="0" collapsed="false">
      <c r="A797" s="35" t="s">
        <v>2922</v>
      </c>
      <c r="B797" s="35" t="s">
        <v>2764</v>
      </c>
      <c r="C797" s="35" t="s">
        <v>232</v>
      </c>
      <c r="D797" s="35" t="s">
        <v>80</v>
      </c>
      <c r="E797" s="35" t="s">
        <v>76</v>
      </c>
      <c r="F797" s="35"/>
      <c r="G797" s="35" t="s">
        <v>62</v>
      </c>
      <c r="H797" s="35"/>
      <c r="I797" s="35"/>
      <c r="J797" s="35" t="s">
        <v>2923</v>
      </c>
      <c r="K797" s="34" t="s">
        <v>2924</v>
      </c>
      <c r="L797" s="35"/>
      <c r="M797" s="35" t="s">
        <v>93</v>
      </c>
      <c r="N797" s="35"/>
      <c r="O797" s="178" t="n">
        <v>44267</v>
      </c>
      <c r="P797" s="35"/>
      <c r="Q797" s="37"/>
      <c r="R797" s="37"/>
      <c r="S797" s="35"/>
      <c r="T797" s="35"/>
      <c r="U797" s="35"/>
      <c r="V797" s="35"/>
      <c r="X797" s="35"/>
      <c r="Y797" s="35"/>
      <c r="Z797" s="35"/>
      <c r="AA797" s="35"/>
    </row>
    <row r="798" customFormat="false" ht="13.25" hidden="false" customHeight="true" outlineLevel="0" collapsed="false">
      <c r="A798" s="35" t="s">
        <v>2925</v>
      </c>
      <c r="B798" s="35" t="s">
        <v>2764</v>
      </c>
      <c r="C798" s="35" t="s">
        <v>232</v>
      </c>
      <c r="D798" s="35" t="s">
        <v>80</v>
      </c>
      <c r="E798" s="35" t="s">
        <v>76</v>
      </c>
      <c r="F798" s="35"/>
      <c r="G798" s="35" t="s">
        <v>105</v>
      </c>
      <c r="H798" s="35"/>
      <c r="I798" s="35"/>
      <c r="J798" s="35" t="s">
        <v>2926</v>
      </c>
      <c r="K798" s="34" t="s">
        <v>2927</v>
      </c>
      <c r="L798" s="35"/>
      <c r="M798" s="35" t="s">
        <v>93</v>
      </c>
      <c r="N798" s="35"/>
      <c r="O798" s="178" t="n">
        <v>44267</v>
      </c>
      <c r="P798" s="35"/>
      <c r="Q798" s="37"/>
      <c r="R798" s="37"/>
    </row>
    <row r="799" customFormat="false" ht="13.25" hidden="false" customHeight="true" outlineLevel="0" collapsed="false">
      <c r="A799" s="55" t="s">
        <v>2928</v>
      </c>
      <c r="B799" s="55" t="s">
        <v>2764</v>
      </c>
      <c r="C799" s="55" t="s">
        <v>138</v>
      </c>
      <c r="D799" s="55" t="s">
        <v>59</v>
      </c>
      <c r="E799" s="55" t="s">
        <v>233</v>
      </c>
      <c r="F799" s="55"/>
      <c r="G799" s="55" t="s">
        <v>110</v>
      </c>
      <c r="H799" s="55" t="s">
        <v>62</v>
      </c>
      <c r="I799" s="55"/>
      <c r="J799" s="55" t="s">
        <v>2929</v>
      </c>
      <c r="K799" s="93" t="s">
        <v>2930</v>
      </c>
      <c r="L799" s="55"/>
      <c r="M799" s="55" t="s">
        <v>113</v>
      </c>
      <c r="N799" s="55"/>
      <c r="O799" s="67" t="n">
        <v>44267</v>
      </c>
      <c r="P799" s="55"/>
      <c r="Q799" s="60"/>
      <c r="R799" s="60"/>
      <c r="U799" s="15" t="s">
        <v>2931</v>
      </c>
    </row>
    <row r="800" customFormat="false" ht="13.25" hidden="false" customHeight="true" outlineLevel="0" collapsed="false">
      <c r="A800" s="15" t="s">
        <v>2932</v>
      </c>
      <c r="B800" s="15" t="s">
        <v>2933</v>
      </c>
      <c r="C800" s="15" t="s">
        <v>122</v>
      </c>
      <c r="D800" s="15" t="s">
        <v>80</v>
      </c>
      <c r="E800" s="15" t="s">
        <v>76</v>
      </c>
      <c r="F800" s="38"/>
      <c r="G800" s="15" t="s">
        <v>77</v>
      </c>
      <c r="J800" s="15" t="s">
        <v>2934</v>
      </c>
      <c r="M800" s="15" t="s">
        <v>93</v>
      </c>
      <c r="Q800" s="15"/>
      <c r="R800" s="38" t="str">
        <f aca="false">IFERROR(Q800/VLOOKUP(P800,'Exchange rates to USD'!$L$2:$N$225,3,FALSE()),"")</f>
        <v/>
      </c>
      <c r="S800" s="35"/>
      <c r="T800" s="35"/>
      <c r="U800" s="35"/>
      <c r="V800" s="35"/>
      <c r="X800" s="35"/>
      <c r="Y800" s="35"/>
      <c r="Z800" s="35"/>
      <c r="AA800" s="35"/>
    </row>
    <row r="801" customFormat="false" ht="13.25" hidden="false" customHeight="true" outlineLevel="0" collapsed="false">
      <c r="A801" s="15" t="s">
        <v>2935</v>
      </c>
      <c r="B801" s="15" t="s">
        <v>2933</v>
      </c>
      <c r="C801" s="15" t="s">
        <v>122</v>
      </c>
      <c r="D801" s="15" t="s">
        <v>80</v>
      </c>
      <c r="E801" s="15" t="s">
        <v>76</v>
      </c>
      <c r="F801" s="38"/>
      <c r="G801" s="15" t="s">
        <v>77</v>
      </c>
      <c r="J801" s="15" t="s">
        <v>2936</v>
      </c>
      <c r="K801" s="15" t="s">
        <v>2937</v>
      </c>
      <c r="M801" s="15" t="s">
        <v>93</v>
      </c>
      <c r="Q801" s="15"/>
      <c r="R801" s="38" t="str">
        <f aca="false">IFERROR(Q801/VLOOKUP(P801,'Exchange rates to USD'!$L$2:$N$225,3,FALSE()),"")</f>
        <v/>
      </c>
    </row>
    <row r="802" customFormat="false" ht="13.25" hidden="false" customHeight="true" outlineLevel="0" collapsed="false">
      <c r="A802" s="15" t="s">
        <v>2938</v>
      </c>
      <c r="B802" s="15" t="s">
        <v>2933</v>
      </c>
      <c r="C802" s="15" t="s">
        <v>122</v>
      </c>
      <c r="D802" s="15" t="s">
        <v>80</v>
      </c>
      <c r="E802" s="15" t="s">
        <v>76</v>
      </c>
      <c r="F802" s="38"/>
      <c r="G802" s="15" t="s">
        <v>77</v>
      </c>
      <c r="J802" s="15" t="s">
        <v>2939</v>
      </c>
      <c r="M802" s="15" t="s">
        <v>70</v>
      </c>
      <c r="Q802" s="15"/>
      <c r="R802" s="38" t="str">
        <f aca="false">IFERROR(Q802/VLOOKUP(P802,'Exchange rates to USD'!$L$2:$N$225,3,FALSE()),"")</f>
        <v/>
      </c>
      <c r="T802" s="180"/>
    </row>
    <row r="803" customFormat="false" ht="13.25" hidden="false" customHeight="true" outlineLevel="0" collapsed="false">
      <c r="A803" s="15" t="s">
        <v>2940</v>
      </c>
      <c r="B803" s="15" t="s">
        <v>2933</v>
      </c>
      <c r="C803" s="15" t="s">
        <v>58</v>
      </c>
      <c r="D803" s="15" t="s">
        <v>59</v>
      </c>
      <c r="E803" s="15" t="s">
        <v>116</v>
      </c>
      <c r="F803" s="38" t="n">
        <v>7730637814</v>
      </c>
      <c r="G803" s="15" t="s">
        <v>62</v>
      </c>
      <c r="J803" s="15" t="s">
        <v>2941</v>
      </c>
      <c r="K803" s="15" t="s">
        <v>2942</v>
      </c>
      <c r="M803" s="15" t="s">
        <v>113</v>
      </c>
      <c r="P803" s="15" t="s">
        <v>643</v>
      </c>
      <c r="Q803" s="38" t="n">
        <v>7730.637814</v>
      </c>
      <c r="R803" s="38" t="n">
        <f aca="false">IFERROR(Q803/VLOOKUP(P803,'Exchange rates to USD'!$L$2:$N$225,3,FALSE()),"")</f>
        <v>7730.637814</v>
      </c>
      <c r="T803" s="180"/>
    </row>
    <row r="804" customFormat="false" ht="13.25" hidden="false" customHeight="true" outlineLevel="0" collapsed="false">
      <c r="A804" s="15" t="s">
        <v>2943</v>
      </c>
      <c r="B804" s="15" t="s">
        <v>2933</v>
      </c>
      <c r="C804" s="15" t="s">
        <v>232</v>
      </c>
      <c r="D804" s="15" t="s">
        <v>80</v>
      </c>
      <c r="E804" s="15" t="s">
        <v>76</v>
      </c>
      <c r="F804" s="38" t="n">
        <v>1423690206</v>
      </c>
      <c r="G804" s="15" t="s">
        <v>62</v>
      </c>
      <c r="H804" s="15" t="s">
        <v>110</v>
      </c>
      <c r="I804" s="15" t="s">
        <v>77</v>
      </c>
      <c r="J804" s="15" t="s">
        <v>2944</v>
      </c>
      <c r="K804" s="15" t="s">
        <v>2945</v>
      </c>
      <c r="M804" s="15" t="s">
        <v>93</v>
      </c>
      <c r="P804" s="15" t="s">
        <v>643</v>
      </c>
      <c r="Q804" s="38" t="n">
        <v>1423.690206</v>
      </c>
      <c r="R804" s="38" t="n">
        <f aca="false">IFERROR(Q804/VLOOKUP(P804,'Exchange rates to USD'!$L$2:$N$225,3,FALSE()),"")</f>
        <v>1423.690206</v>
      </c>
      <c r="T804" s="180"/>
    </row>
    <row r="805" customFormat="false" ht="13.25" hidden="false" customHeight="true" outlineLevel="0" collapsed="false">
      <c r="A805" s="15" t="s">
        <v>2946</v>
      </c>
      <c r="B805" s="15" t="s">
        <v>2933</v>
      </c>
      <c r="C805" s="15" t="s">
        <v>58</v>
      </c>
      <c r="D805" s="15" t="s">
        <v>59</v>
      </c>
      <c r="E805" s="15" t="s">
        <v>95</v>
      </c>
      <c r="F805" s="38" t="n">
        <v>8542141231</v>
      </c>
      <c r="G805" s="15" t="s">
        <v>62</v>
      </c>
      <c r="J805" s="27" t="s">
        <v>2947</v>
      </c>
      <c r="K805" s="15" t="s">
        <v>2948</v>
      </c>
      <c r="M805" s="15" t="s">
        <v>93</v>
      </c>
      <c r="P805" s="15" t="s">
        <v>643</v>
      </c>
      <c r="Q805" s="38" t="n">
        <v>8542.141231</v>
      </c>
      <c r="R805" s="38" t="n">
        <f aca="false">IFERROR(Q805/VLOOKUP(P805,'Exchange rates to USD'!$L$2:$N$225,3,FALSE()),"")</f>
        <v>8542.141231</v>
      </c>
      <c r="T805" s="180"/>
    </row>
    <row r="806" customFormat="false" ht="13.25" hidden="false" customHeight="true" outlineLevel="0" collapsed="false">
      <c r="A806" s="15" t="s">
        <v>2949</v>
      </c>
      <c r="B806" s="15" t="s">
        <v>2933</v>
      </c>
      <c r="C806" s="15" t="s">
        <v>232</v>
      </c>
      <c r="D806" s="15" t="s">
        <v>59</v>
      </c>
      <c r="E806" s="15" t="s">
        <v>95</v>
      </c>
      <c r="F806" s="38" t="n">
        <v>0</v>
      </c>
      <c r="G806" s="15" t="s">
        <v>62</v>
      </c>
      <c r="H806" s="15" t="s">
        <v>110</v>
      </c>
      <c r="J806" s="15" t="s">
        <v>2950</v>
      </c>
      <c r="M806" s="15" t="s">
        <v>65</v>
      </c>
      <c r="Q806" s="38" t="n">
        <v>0</v>
      </c>
      <c r="R806" s="38" t="str">
        <f aca="false">IFERROR(Q806/VLOOKUP(P806,'Exchange rates to USD'!$L$2:$N$225,3,FALSE()),"")</f>
        <v/>
      </c>
      <c r="T806" s="180"/>
    </row>
    <row r="807" customFormat="false" ht="13.25" hidden="false" customHeight="true" outlineLevel="0" collapsed="false">
      <c r="A807" s="15" t="s">
        <v>2951</v>
      </c>
      <c r="B807" s="15" t="s">
        <v>2933</v>
      </c>
      <c r="C807" s="15" t="s">
        <v>75</v>
      </c>
      <c r="D807" s="15" t="s">
        <v>59</v>
      </c>
      <c r="E807" s="15" t="s">
        <v>233</v>
      </c>
      <c r="F807" s="38" t="n">
        <v>0</v>
      </c>
      <c r="G807" s="15" t="s">
        <v>62</v>
      </c>
      <c r="J807" s="27" t="s">
        <v>2952</v>
      </c>
      <c r="M807" s="15" t="s">
        <v>65</v>
      </c>
      <c r="Q807" s="38" t="n">
        <v>0</v>
      </c>
      <c r="R807" s="38" t="str">
        <f aca="false">IFERROR(Q807/VLOOKUP(P807,'Exchange rates to USD'!$L$2:$N$225,3,FALSE()),"")</f>
        <v/>
      </c>
      <c r="T807" s="180"/>
    </row>
    <row r="808" customFormat="false" ht="13.25" hidden="false" customHeight="true" outlineLevel="0" collapsed="false">
      <c r="A808" s="15" t="s">
        <v>2953</v>
      </c>
      <c r="B808" s="15" t="s">
        <v>2933</v>
      </c>
      <c r="C808" s="15" t="s">
        <v>232</v>
      </c>
      <c r="D808" s="15" t="s">
        <v>59</v>
      </c>
      <c r="E808" s="15" t="s">
        <v>95</v>
      </c>
      <c r="F808" s="38" t="n">
        <v>0</v>
      </c>
      <c r="G808" s="15" t="s">
        <v>62</v>
      </c>
      <c r="J808" s="15" t="s">
        <v>2954</v>
      </c>
      <c r="K808" s="15" t="s">
        <v>2955</v>
      </c>
      <c r="M808" s="15" t="s">
        <v>93</v>
      </c>
      <c r="Q808" s="38" t="n">
        <v>0</v>
      </c>
      <c r="R808" s="38" t="str">
        <f aca="false">IFERROR(Q808/VLOOKUP(P808,'Exchange rates to USD'!$L$2:$N$225,3,FALSE()),"")</f>
        <v/>
      </c>
      <c r="T808" s="180"/>
    </row>
    <row r="809" customFormat="false" ht="13.25" hidden="false" customHeight="true" outlineLevel="0" collapsed="false">
      <c r="A809" s="15" t="s">
        <v>2956</v>
      </c>
      <c r="B809" s="15" t="s">
        <v>2933</v>
      </c>
      <c r="C809" s="15" t="s">
        <v>75</v>
      </c>
      <c r="D809" s="15" t="s">
        <v>59</v>
      </c>
      <c r="E809" s="15" t="s">
        <v>233</v>
      </c>
      <c r="F809" s="38" t="n">
        <v>0</v>
      </c>
      <c r="G809" s="15" t="s">
        <v>62</v>
      </c>
      <c r="J809" s="15" t="s">
        <v>2957</v>
      </c>
      <c r="K809" s="15" t="s">
        <v>2958</v>
      </c>
      <c r="M809" s="15" t="s">
        <v>65</v>
      </c>
      <c r="Q809" s="38" t="n">
        <v>0</v>
      </c>
      <c r="R809" s="38" t="str">
        <f aca="false">IFERROR(Q809/VLOOKUP(P809,'Exchange rates to USD'!$L$2:$N$225,3,FALSE()),"")</f>
        <v/>
      </c>
      <c r="T809" s="180"/>
    </row>
    <row r="810" customFormat="false" ht="13.25" hidden="false" customHeight="true" outlineLevel="0" collapsed="false">
      <c r="A810" s="15" t="s">
        <v>2959</v>
      </c>
      <c r="B810" s="15" t="s">
        <v>2933</v>
      </c>
      <c r="C810" s="15" t="s">
        <v>232</v>
      </c>
      <c r="D810" s="15" t="s">
        <v>59</v>
      </c>
      <c r="E810" s="15" t="s">
        <v>95</v>
      </c>
      <c r="F810" s="38" t="n">
        <v>465119590</v>
      </c>
      <c r="G810" s="15" t="s">
        <v>62</v>
      </c>
      <c r="J810" s="15" t="s">
        <v>2960</v>
      </c>
      <c r="M810" s="15" t="s">
        <v>65</v>
      </c>
      <c r="P810" s="15" t="s">
        <v>643</v>
      </c>
      <c r="Q810" s="38" t="n">
        <v>465.11959</v>
      </c>
      <c r="R810" s="38" t="n">
        <f aca="false">IFERROR(Q810/VLOOKUP(P810,'Exchange rates to USD'!$L$2:$N$225,3,FALSE()),"")</f>
        <v>465.11959</v>
      </c>
      <c r="T810" s="180"/>
    </row>
    <row r="811" customFormat="false" ht="13.25" hidden="false" customHeight="true" outlineLevel="0" collapsed="false">
      <c r="A811" s="15" t="s">
        <v>2961</v>
      </c>
      <c r="B811" s="15" t="s">
        <v>2933</v>
      </c>
      <c r="C811" s="15" t="s">
        <v>58</v>
      </c>
      <c r="D811" s="15" t="s">
        <v>59</v>
      </c>
      <c r="E811" s="15" t="s">
        <v>60</v>
      </c>
      <c r="F811" s="38" t="n">
        <v>3522535194</v>
      </c>
      <c r="G811" s="15" t="s">
        <v>62</v>
      </c>
      <c r="J811" s="15" t="s">
        <v>2962</v>
      </c>
      <c r="K811" s="15" t="s">
        <v>2963</v>
      </c>
      <c r="M811" s="15" t="s">
        <v>65</v>
      </c>
      <c r="P811" s="15" t="s">
        <v>643</v>
      </c>
      <c r="Q811" s="38" t="n">
        <v>3522.535194</v>
      </c>
      <c r="R811" s="38" t="n">
        <f aca="false">IFERROR(Q811/VLOOKUP(P811,'Exchange rates to USD'!$L$2:$N$225,3,FALSE()),"")</f>
        <v>3522.535194</v>
      </c>
      <c r="T811" s="180"/>
    </row>
    <row r="812" customFormat="false" ht="13.25" hidden="false" customHeight="true" outlineLevel="0" collapsed="false">
      <c r="A812" s="15" t="s">
        <v>2964</v>
      </c>
      <c r="B812" s="15" t="s">
        <v>2933</v>
      </c>
      <c r="C812" s="15" t="s">
        <v>122</v>
      </c>
      <c r="D812" s="15" t="s">
        <v>59</v>
      </c>
      <c r="E812" s="15" t="s">
        <v>95</v>
      </c>
      <c r="F812" s="38" t="n">
        <v>0</v>
      </c>
      <c r="G812" s="15" t="s">
        <v>62</v>
      </c>
      <c r="J812" s="15" t="s">
        <v>2965</v>
      </c>
      <c r="K812" s="15" t="s">
        <v>2966</v>
      </c>
      <c r="M812" s="15" t="s">
        <v>65</v>
      </c>
      <c r="Q812" s="38" t="n">
        <v>0</v>
      </c>
      <c r="R812" s="38" t="str">
        <f aca="false">IFERROR(Q812/VLOOKUP(P812,'Exchange rates to USD'!$L$2:$N$225,3,FALSE()),"")</f>
        <v/>
      </c>
      <c r="T812" s="180"/>
    </row>
    <row r="813" customFormat="false" ht="11.5" hidden="false" customHeight="false" outlineLevel="0" collapsed="false">
      <c r="A813" s="15" t="s">
        <v>2967</v>
      </c>
      <c r="B813" s="15" t="s">
        <v>2933</v>
      </c>
      <c r="C813" s="15" t="s">
        <v>122</v>
      </c>
      <c r="D813" s="15" t="s">
        <v>59</v>
      </c>
      <c r="E813" s="15" t="s">
        <v>90</v>
      </c>
      <c r="F813" s="38" t="n">
        <v>0</v>
      </c>
      <c r="G813" s="15" t="s">
        <v>62</v>
      </c>
      <c r="J813" s="15" t="s">
        <v>2968</v>
      </c>
      <c r="K813" s="15" t="s">
        <v>2969</v>
      </c>
      <c r="M813" s="15" t="s">
        <v>65</v>
      </c>
      <c r="Q813" s="38" t="n">
        <v>0</v>
      </c>
      <c r="R813" s="38" t="str">
        <f aca="false">IFERROR(Q813/VLOOKUP(P813,'Exchange rates to USD'!$L$2:$N$225,3,FALSE()),"")</f>
        <v/>
      </c>
      <c r="T813" s="180"/>
    </row>
    <row r="814" customFormat="false" ht="13.25" hidden="false" customHeight="true" outlineLevel="0" collapsed="false">
      <c r="A814" s="15" t="s">
        <v>2970</v>
      </c>
      <c r="B814" s="15" t="s">
        <v>2933</v>
      </c>
      <c r="C814" s="15" t="s">
        <v>58</v>
      </c>
      <c r="D814" s="15" t="s">
        <v>59</v>
      </c>
      <c r="E814" s="15" t="s">
        <v>233</v>
      </c>
      <c r="F814" s="38" t="n">
        <v>14236902051</v>
      </c>
      <c r="G814" s="15" t="s">
        <v>62</v>
      </c>
      <c r="H814" s="15" t="s">
        <v>97</v>
      </c>
      <c r="J814" s="15" t="s">
        <v>2971</v>
      </c>
      <c r="K814" s="15" t="s">
        <v>2972</v>
      </c>
      <c r="M814" s="15" t="s">
        <v>93</v>
      </c>
      <c r="P814" s="15" t="s">
        <v>643</v>
      </c>
      <c r="Q814" s="38" t="n">
        <v>14236.902051</v>
      </c>
      <c r="R814" s="38" t="n">
        <f aca="false">IFERROR(Q814/VLOOKUP(P814,'Exchange rates to USD'!$L$2:$N$225,3,FALSE()),"")</f>
        <v>14236.902051</v>
      </c>
      <c r="T814" s="180"/>
    </row>
    <row r="815" customFormat="false" ht="13.25" hidden="false" customHeight="true" outlineLevel="0" collapsed="false">
      <c r="A815" s="15" t="s">
        <v>2973</v>
      </c>
      <c r="B815" s="15" t="s">
        <v>2933</v>
      </c>
      <c r="C815" s="15" t="s">
        <v>75</v>
      </c>
      <c r="D815" s="15" t="s">
        <v>59</v>
      </c>
      <c r="E815" s="15" t="s">
        <v>233</v>
      </c>
      <c r="F815" s="38" t="n">
        <v>0</v>
      </c>
      <c r="G815" s="15" t="s">
        <v>62</v>
      </c>
      <c r="H815" s="15" t="s">
        <v>110</v>
      </c>
      <c r="J815" s="15" t="s">
        <v>2974</v>
      </c>
      <c r="K815" s="27" t="s">
        <v>2975</v>
      </c>
      <c r="M815" s="15" t="s">
        <v>93</v>
      </c>
      <c r="Q815" s="38" t="n">
        <v>0</v>
      </c>
      <c r="R815" s="38" t="str">
        <f aca="false">IFERROR(Q815/VLOOKUP(P815,'Exchange rates to USD'!$L$2:$N$225,3,FALSE()),"")</f>
        <v/>
      </c>
      <c r="T815" s="180"/>
    </row>
    <row r="816" customFormat="false" ht="13.25" hidden="false" customHeight="true" outlineLevel="0" collapsed="false">
      <c r="A816" s="15" t="s">
        <v>2976</v>
      </c>
      <c r="B816" s="15" t="s">
        <v>2933</v>
      </c>
      <c r="C816" s="15" t="s">
        <v>75</v>
      </c>
      <c r="D816" s="15" t="s">
        <v>59</v>
      </c>
      <c r="E816" s="15" t="s">
        <v>233</v>
      </c>
      <c r="F816" s="38" t="n">
        <v>1608769932</v>
      </c>
      <c r="G816" s="15" t="s">
        <v>62</v>
      </c>
      <c r="H816" s="15" t="s">
        <v>110</v>
      </c>
      <c r="J816" s="15" t="s">
        <v>2977</v>
      </c>
      <c r="K816" s="27" t="s">
        <v>2978</v>
      </c>
      <c r="M816" s="15" t="s">
        <v>93</v>
      </c>
      <c r="P816" s="15" t="s">
        <v>643</v>
      </c>
      <c r="Q816" s="38" t="n">
        <v>1608.769932</v>
      </c>
      <c r="R816" s="38" t="n">
        <f aca="false">IFERROR(Q816/VLOOKUP(P816,'Exchange rates to USD'!$L$2:$N$225,3,FALSE()),"")</f>
        <v>1608.769932</v>
      </c>
      <c r="T816" s="180"/>
    </row>
    <row r="817" customFormat="false" ht="13.25" hidden="false" customHeight="true" outlineLevel="0" collapsed="false">
      <c r="A817" s="15" t="s">
        <v>2979</v>
      </c>
      <c r="B817" s="15" t="s">
        <v>2933</v>
      </c>
      <c r="C817" s="15" t="s">
        <v>75</v>
      </c>
      <c r="D817" s="15" t="s">
        <v>59</v>
      </c>
      <c r="E817" s="15" t="s">
        <v>233</v>
      </c>
      <c r="F817" s="38" t="n">
        <v>1423690206</v>
      </c>
      <c r="G817" s="15" t="s">
        <v>62</v>
      </c>
      <c r="H817" s="15" t="s">
        <v>110</v>
      </c>
      <c r="J817" s="15" t="s">
        <v>2980</v>
      </c>
      <c r="K817" s="15" t="s">
        <v>2981</v>
      </c>
      <c r="M817" s="15" t="s">
        <v>93</v>
      </c>
      <c r="P817" s="15" t="s">
        <v>643</v>
      </c>
      <c r="Q817" s="38" t="n">
        <v>1423.690206</v>
      </c>
      <c r="R817" s="38" t="n">
        <f aca="false">IFERROR(Q817/VLOOKUP(P817,'Exchange rates to USD'!$L$2:$N$225,3,FALSE()),"")</f>
        <v>1423.690206</v>
      </c>
      <c r="T817" s="180"/>
    </row>
    <row r="818" customFormat="false" ht="13.25" hidden="false" customHeight="true" outlineLevel="0" collapsed="false">
      <c r="A818" s="15" t="s">
        <v>2982</v>
      </c>
      <c r="B818" s="15" t="s">
        <v>2933</v>
      </c>
      <c r="C818" s="15" t="s">
        <v>122</v>
      </c>
      <c r="D818" s="15" t="s">
        <v>59</v>
      </c>
      <c r="E818" s="15" t="s">
        <v>76</v>
      </c>
      <c r="F818" s="38"/>
      <c r="G818" s="15" t="s">
        <v>158</v>
      </c>
      <c r="J818" s="15" t="s">
        <v>2983</v>
      </c>
      <c r="K818" s="15" t="s">
        <v>2984</v>
      </c>
      <c r="M818" s="15" t="s">
        <v>93</v>
      </c>
      <c r="Q818" s="38" t="n">
        <v>0</v>
      </c>
      <c r="R818" s="38" t="str">
        <f aca="false">IFERROR(Q818/VLOOKUP(P818,'Exchange rates to USD'!$L$2:$N$225,3,FALSE()),"")</f>
        <v/>
      </c>
      <c r="T818" s="180"/>
    </row>
    <row r="819" customFormat="false" ht="13.25" hidden="false" customHeight="true" outlineLevel="0" collapsed="false">
      <c r="A819" s="15" t="s">
        <v>2985</v>
      </c>
      <c r="B819" s="15" t="s">
        <v>2933</v>
      </c>
      <c r="C819" s="15" t="s">
        <v>249</v>
      </c>
      <c r="D819" s="15" t="s">
        <v>59</v>
      </c>
      <c r="E819" s="15" t="s">
        <v>233</v>
      </c>
      <c r="F819" s="38"/>
      <c r="G819" s="15" t="s">
        <v>62</v>
      </c>
      <c r="H819" s="15" t="s">
        <v>110</v>
      </c>
      <c r="J819" s="27" t="s">
        <v>2986</v>
      </c>
      <c r="M819" s="15" t="s">
        <v>93</v>
      </c>
      <c r="Q819" s="38" t="n">
        <v>0</v>
      </c>
      <c r="R819" s="38" t="str">
        <f aca="false">IFERROR(Q819/VLOOKUP(P819,'Exchange rates to USD'!$L$2:$N$225,3,FALSE()),"")</f>
        <v/>
      </c>
      <c r="T819" s="180"/>
    </row>
    <row r="820" customFormat="false" ht="13.25" hidden="false" customHeight="true" outlineLevel="0" collapsed="false">
      <c r="A820" s="15" t="s">
        <v>2987</v>
      </c>
      <c r="B820" s="15" t="s">
        <v>2933</v>
      </c>
      <c r="C820" s="15" t="s">
        <v>122</v>
      </c>
      <c r="D820" s="15" t="s">
        <v>59</v>
      </c>
      <c r="E820" s="15" t="s">
        <v>123</v>
      </c>
      <c r="F820" s="38"/>
      <c r="G820" s="15" t="s">
        <v>77</v>
      </c>
      <c r="J820" s="15" t="s">
        <v>2988</v>
      </c>
      <c r="M820" s="15" t="s">
        <v>113</v>
      </c>
      <c r="Q820" s="38" t="n">
        <v>0</v>
      </c>
      <c r="R820" s="38" t="str">
        <f aca="false">IFERROR(Q820/VLOOKUP(P820,'Exchange rates to USD'!$L$2:$N$225,3,FALSE()),"")</f>
        <v/>
      </c>
      <c r="T820" s="180"/>
    </row>
    <row r="821" customFormat="false" ht="13.25" hidden="false" customHeight="true" outlineLevel="0" collapsed="false">
      <c r="A821" s="15" t="s">
        <v>2989</v>
      </c>
      <c r="B821" s="15" t="s">
        <v>2933</v>
      </c>
      <c r="C821" s="15" t="s">
        <v>75</v>
      </c>
      <c r="D821" s="15" t="s">
        <v>59</v>
      </c>
      <c r="E821" s="15" t="s">
        <v>123</v>
      </c>
      <c r="F821" s="38"/>
      <c r="G821" s="15" t="s">
        <v>77</v>
      </c>
      <c r="J821" s="15" t="s">
        <v>2990</v>
      </c>
      <c r="K821" s="15" t="s">
        <v>2991</v>
      </c>
      <c r="M821" s="15" t="s">
        <v>70</v>
      </c>
      <c r="Q821" s="38" t="n">
        <v>0</v>
      </c>
      <c r="R821" s="38" t="str">
        <f aca="false">IFERROR(Q821/VLOOKUP(P821,'Exchange rates to USD'!$L$2:$N$225,3,FALSE()),"")</f>
        <v/>
      </c>
      <c r="T821" s="180"/>
    </row>
    <row r="822" customFormat="false" ht="13.25" hidden="false" customHeight="true" outlineLevel="0" collapsed="false">
      <c r="A822" s="15" t="s">
        <v>2992</v>
      </c>
      <c r="B822" s="15" t="s">
        <v>2933</v>
      </c>
      <c r="C822" s="15" t="s">
        <v>122</v>
      </c>
      <c r="D822" s="15" t="s">
        <v>108</v>
      </c>
      <c r="E822" s="15" t="s">
        <v>76</v>
      </c>
      <c r="F822" s="38"/>
      <c r="G822" s="15" t="s">
        <v>62</v>
      </c>
      <c r="J822" s="27" t="s">
        <v>2993</v>
      </c>
      <c r="K822" s="15" t="s">
        <v>2994</v>
      </c>
      <c r="M822" s="15" t="s">
        <v>70</v>
      </c>
      <c r="Q822" s="38" t="n">
        <v>0</v>
      </c>
      <c r="R822" s="38" t="str">
        <f aca="false">IFERROR(Q822/VLOOKUP(P822,'Exchange rates to USD'!$L$2:$N$225,3,FALSE()),"")</f>
        <v/>
      </c>
      <c r="T822" s="180"/>
    </row>
    <row r="823" customFormat="false" ht="13.25" hidden="false" customHeight="true" outlineLevel="0" collapsed="false">
      <c r="A823" s="15" t="s">
        <v>2995</v>
      </c>
      <c r="B823" s="15" t="s">
        <v>2933</v>
      </c>
      <c r="C823" s="15" t="s">
        <v>122</v>
      </c>
      <c r="D823" s="15" t="s">
        <v>59</v>
      </c>
      <c r="E823" s="15" t="s">
        <v>123</v>
      </c>
      <c r="F823" s="38"/>
      <c r="G823" s="15" t="s">
        <v>105</v>
      </c>
      <c r="J823" s="27" t="s">
        <v>2996</v>
      </c>
      <c r="K823" s="15" t="s">
        <v>2997</v>
      </c>
      <c r="M823" s="15" t="s">
        <v>65</v>
      </c>
      <c r="Q823" s="38" t="n">
        <v>0</v>
      </c>
      <c r="R823" s="38" t="str">
        <f aca="false">IFERROR(Q823/VLOOKUP(P823,'Exchange rates to USD'!$L$2:$N$225,3,FALSE()),"")</f>
        <v/>
      </c>
      <c r="T823" s="180"/>
    </row>
    <row r="824" customFormat="false" ht="13.25" hidden="false" customHeight="true" outlineLevel="0" collapsed="false">
      <c r="A824" s="15" t="s">
        <v>2998</v>
      </c>
      <c r="B824" s="15" t="s">
        <v>2933</v>
      </c>
      <c r="C824" s="15" t="s">
        <v>122</v>
      </c>
      <c r="D824" s="15" t="s">
        <v>59</v>
      </c>
      <c r="E824" s="15" t="s">
        <v>116</v>
      </c>
      <c r="F824" s="38"/>
      <c r="G824" s="15" t="s">
        <v>62</v>
      </c>
      <c r="J824" s="15" t="s">
        <v>2999</v>
      </c>
      <c r="K824" s="15" t="s">
        <v>3000</v>
      </c>
      <c r="M824" s="15" t="s">
        <v>93</v>
      </c>
      <c r="Q824" s="38" t="n">
        <v>0</v>
      </c>
      <c r="R824" s="38" t="str">
        <f aca="false">IFERROR(Q824/VLOOKUP(P824,'Exchange rates to USD'!$L$2:$N$225,3,FALSE()),"")</f>
        <v/>
      </c>
      <c r="T824" s="180"/>
    </row>
    <row r="825" customFormat="false" ht="13.25" hidden="false" customHeight="true" outlineLevel="0" collapsed="false">
      <c r="A825" s="15" t="s">
        <v>3001</v>
      </c>
      <c r="B825" s="15" t="s">
        <v>2933</v>
      </c>
      <c r="C825" s="15" t="s">
        <v>122</v>
      </c>
      <c r="D825" s="15" t="s">
        <v>80</v>
      </c>
      <c r="E825" s="15" t="s">
        <v>76</v>
      </c>
      <c r="F825" s="38"/>
      <c r="G825" s="15" t="s">
        <v>77</v>
      </c>
      <c r="J825" s="15" t="s">
        <v>3002</v>
      </c>
      <c r="K825" s="15" t="s">
        <v>3003</v>
      </c>
      <c r="M825" s="15" t="s">
        <v>70</v>
      </c>
      <c r="Q825" s="38" t="n">
        <v>0</v>
      </c>
      <c r="R825" s="38" t="str">
        <f aca="false">IFERROR(Q825/VLOOKUP(P825,'Exchange rates to USD'!$L$2:$N$225,3,FALSE()),"")</f>
        <v/>
      </c>
      <c r="T825" s="180"/>
    </row>
    <row r="826" customFormat="false" ht="13.25" hidden="false" customHeight="true" outlineLevel="0" collapsed="false">
      <c r="A826" s="15" t="s">
        <v>3004</v>
      </c>
      <c r="B826" s="15" t="s">
        <v>2933</v>
      </c>
      <c r="C826" s="15" t="s">
        <v>122</v>
      </c>
      <c r="D826" s="15" t="s">
        <v>80</v>
      </c>
      <c r="E826" s="15" t="s">
        <v>76</v>
      </c>
      <c r="F826" s="38"/>
      <c r="G826" s="15" t="s">
        <v>62</v>
      </c>
      <c r="H826" s="15" t="s">
        <v>97</v>
      </c>
      <c r="I826" s="15" t="s">
        <v>110</v>
      </c>
      <c r="J826" s="27" t="s">
        <v>3005</v>
      </c>
      <c r="K826" s="15" t="s">
        <v>3006</v>
      </c>
      <c r="M826" s="15" t="s">
        <v>70</v>
      </c>
      <c r="Q826" s="38" t="n">
        <v>0</v>
      </c>
      <c r="R826" s="38" t="str">
        <f aca="false">IFERROR(Q826/VLOOKUP(P826,'Exchange rates to USD'!$L$2:$N$225,3,FALSE()),"")</f>
        <v/>
      </c>
      <c r="T826" s="180"/>
    </row>
    <row r="827" customFormat="false" ht="13.25" hidden="false" customHeight="true" outlineLevel="0" collapsed="false">
      <c r="A827" s="15" t="s">
        <v>3007</v>
      </c>
      <c r="B827" s="15" t="s">
        <v>2933</v>
      </c>
      <c r="C827" s="15" t="s">
        <v>122</v>
      </c>
      <c r="D827" s="15" t="s">
        <v>80</v>
      </c>
      <c r="E827" s="15" t="s">
        <v>76</v>
      </c>
      <c r="F827" s="38"/>
      <c r="G827" s="15" t="s">
        <v>158</v>
      </c>
      <c r="H827" s="15" t="s">
        <v>97</v>
      </c>
      <c r="J827" s="27" t="s">
        <v>3008</v>
      </c>
      <c r="K827" s="15" t="s">
        <v>3009</v>
      </c>
      <c r="M827" s="15" t="s">
        <v>93</v>
      </c>
      <c r="Q827" s="38" t="n">
        <v>0</v>
      </c>
      <c r="R827" s="38" t="str">
        <f aca="false">IFERROR(Q827/VLOOKUP(P827,'Exchange rates to USD'!$L$2:$N$225,3,FALSE()),"")</f>
        <v/>
      </c>
      <c r="T827" s="180"/>
    </row>
    <row r="828" customFormat="false" ht="13.25" hidden="false" customHeight="true" outlineLevel="0" collapsed="false">
      <c r="A828" s="35" t="s">
        <v>3010</v>
      </c>
      <c r="B828" s="35" t="s">
        <v>2933</v>
      </c>
      <c r="C828" s="15" t="s">
        <v>75</v>
      </c>
      <c r="D828" s="35" t="s">
        <v>80</v>
      </c>
      <c r="E828" s="35" t="s">
        <v>76</v>
      </c>
      <c r="F828" s="38" t="n">
        <v>18280000</v>
      </c>
      <c r="G828" s="35" t="s">
        <v>158</v>
      </c>
      <c r="H828" s="35" t="s">
        <v>97</v>
      </c>
      <c r="I828" s="35"/>
      <c r="J828" s="62" t="s">
        <v>3011</v>
      </c>
      <c r="K828" s="35" t="s">
        <v>3012</v>
      </c>
      <c r="L828" s="35"/>
      <c r="M828" s="35" t="s">
        <v>93</v>
      </c>
      <c r="N828" s="35"/>
      <c r="O828" s="36"/>
      <c r="P828" s="35" t="s">
        <v>643</v>
      </c>
      <c r="Q828" s="38" t="n">
        <v>18.28</v>
      </c>
      <c r="R828" s="38" t="n">
        <f aca="false">IFERROR(Q828/VLOOKUP(P828,'Exchange rates to USD'!$L$2:$N$225,3,FALSE()),"")</f>
        <v>18.28</v>
      </c>
      <c r="T828" s="180"/>
    </row>
    <row r="829" customFormat="false" ht="13.25" hidden="false" customHeight="true" outlineLevel="0" collapsed="false">
      <c r="A829" s="55" t="s">
        <v>3013</v>
      </c>
      <c r="B829" s="55" t="s">
        <v>2933</v>
      </c>
      <c r="C829" s="55" t="s">
        <v>122</v>
      </c>
      <c r="D829" s="55" t="s">
        <v>59</v>
      </c>
      <c r="E829" s="55" t="s">
        <v>95</v>
      </c>
      <c r="F829" s="58" t="n">
        <v>8623</v>
      </c>
      <c r="G829" s="55" t="s">
        <v>62</v>
      </c>
      <c r="H829" s="55" t="s">
        <v>110</v>
      </c>
      <c r="I829" s="55"/>
      <c r="J829" s="55" t="s">
        <v>3014</v>
      </c>
      <c r="K829" s="181" t="s">
        <v>3015</v>
      </c>
      <c r="L829" s="55"/>
      <c r="M829" s="55" t="s">
        <v>65</v>
      </c>
      <c r="N829" s="55"/>
      <c r="O829" s="56"/>
      <c r="P829" s="55" t="s">
        <v>3016</v>
      </c>
      <c r="Q829" s="58" t="n">
        <v>8.623</v>
      </c>
      <c r="R829" s="58" t="n">
        <f aca="false">IFERROR(Q829/VLOOKUP(P829,'Exchange rates to USD'!$L$2:$N$225,3,FALSE()),"")</f>
        <v>1.24998050392408</v>
      </c>
    </row>
    <row r="830" customFormat="false" ht="13.25" hidden="false" customHeight="true" outlineLevel="0" collapsed="false">
      <c r="A830" s="15" t="s">
        <v>3017</v>
      </c>
      <c r="B830" s="15" t="s">
        <v>3018</v>
      </c>
      <c r="C830" s="15" t="s">
        <v>58</v>
      </c>
      <c r="D830" s="15" t="s">
        <v>80</v>
      </c>
      <c r="E830" s="15" t="s">
        <v>95</v>
      </c>
      <c r="F830" s="15" t="s">
        <v>3019</v>
      </c>
      <c r="G830" s="15" t="s">
        <v>110</v>
      </c>
      <c r="H830" s="15" t="s">
        <v>62</v>
      </c>
      <c r="J830" s="27" t="s">
        <v>3020</v>
      </c>
      <c r="K830" s="15" t="s">
        <v>3021</v>
      </c>
      <c r="L830" s="15" t="s">
        <v>3022</v>
      </c>
      <c r="M830" s="15" t="s">
        <v>113</v>
      </c>
      <c r="P830" s="15" t="s">
        <v>3023</v>
      </c>
      <c r="Q830" s="15" t="n">
        <v>900000</v>
      </c>
      <c r="R830" s="38" t="n">
        <f aca="false">IFERROR(Q830/VLOOKUP(P830,'Exchange rates to USD'!$L$2:$N$225,3,FALSE()),"")</f>
        <v>13460.8079465287</v>
      </c>
    </row>
    <row r="831" customFormat="false" ht="13.25" hidden="false" customHeight="true" outlineLevel="0" collapsed="false">
      <c r="A831" s="15" t="s">
        <v>3024</v>
      </c>
      <c r="B831" s="15" t="s">
        <v>3018</v>
      </c>
      <c r="C831" s="15" t="s">
        <v>122</v>
      </c>
      <c r="D831" s="15" t="s">
        <v>59</v>
      </c>
      <c r="E831" s="15" t="s">
        <v>95</v>
      </c>
      <c r="F831" s="15" t="s">
        <v>1351</v>
      </c>
      <c r="G831" s="15" t="s">
        <v>110</v>
      </c>
      <c r="H831" s="15" t="s">
        <v>62</v>
      </c>
      <c r="J831" s="27" t="s">
        <v>3025</v>
      </c>
      <c r="K831" s="15" t="s">
        <v>3026</v>
      </c>
      <c r="L831" s="15" t="s">
        <v>3027</v>
      </c>
      <c r="M831" s="15" t="s">
        <v>65</v>
      </c>
      <c r="P831" s="15" t="s">
        <v>3023</v>
      </c>
      <c r="Q831" s="15"/>
      <c r="R831" s="38" t="n">
        <f aca="false">IFERROR(Q831/VLOOKUP(P831,'Exchange rates to USD'!$L$2:$N$225,3,FALSE()),"")</f>
        <v>0</v>
      </c>
    </row>
    <row r="832" customFormat="false" ht="13.25" hidden="false" customHeight="true" outlineLevel="0" collapsed="false">
      <c r="A832" s="15" t="s">
        <v>3028</v>
      </c>
      <c r="B832" s="15" t="s">
        <v>3018</v>
      </c>
      <c r="C832" s="15" t="s">
        <v>58</v>
      </c>
      <c r="D832" s="15" t="s">
        <v>59</v>
      </c>
      <c r="E832" s="15" t="s">
        <v>233</v>
      </c>
      <c r="F832" s="15" t="s">
        <v>3029</v>
      </c>
      <c r="G832" s="15" t="s">
        <v>110</v>
      </c>
      <c r="H832" s="15" t="s">
        <v>62</v>
      </c>
      <c r="J832" s="15" t="s">
        <v>3030</v>
      </c>
      <c r="M832" s="15" t="s">
        <v>65</v>
      </c>
      <c r="P832" s="15" t="s">
        <v>3023</v>
      </c>
      <c r="Q832" s="15" t="n">
        <v>500000</v>
      </c>
      <c r="R832" s="38" t="n">
        <f aca="false">IFERROR(Q832/VLOOKUP(P832,'Exchange rates to USD'!$L$2:$N$225,3,FALSE()),"")</f>
        <v>7478.22663696037</v>
      </c>
    </row>
    <row r="833" customFormat="false" ht="13.25" hidden="false" customHeight="true" outlineLevel="0" collapsed="false">
      <c r="A833" s="15" t="s">
        <v>3031</v>
      </c>
      <c r="B833" s="15" t="s">
        <v>3018</v>
      </c>
      <c r="C833" s="15" t="s">
        <v>75</v>
      </c>
      <c r="D833" s="15" t="s">
        <v>108</v>
      </c>
      <c r="E833" s="15" t="s">
        <v>76</v>
      </c>
      <c r="F833" s="160" t="s">
        <v>3032</v>
      </c>
      <c r="G833" s="15" t="s">
        <v>77</v>
      </c>
      <c r="J833" s="27" t="s">
        <v>3033</v>
      </c>
      <c r="M833" s="15" t="s">
        <v>93</v>
      </c>
      <c r="P833" s="15" t="s">
        <v>3023</v>
      </c>
      <c r="Q833" s="15" t="n">
        <v>60000</v>
      </c>
      <c r="R833" s="38" t="n">
        <f aca="false">IFERROR(Q833/VLOOKUP(P833,'Exchange rates to USD'!$L$2:$N$225,3,FALSE()),"")</f>
        <v>897.387196435245</v>
      </c>
    </row>
    <row r="834" customFormat="false" ht="13.25" hidden="false" customHeight="true" outlineLevel="0" collapsed="false">
      <c r="A834" s="15" t="s">
        <v>3034</v>
      </c>
      <c r="B834" s="15" t="s">
        <v>3018</v>
      </c>
      <c r="C834" s="15" t="s">
        <v>58</v>
      </c>
      <c r="D834" s="15" t="s">
        <v>59</v>
      </c>
      <c r="E834" s="15" t="s">
        <v>76</v>
      </c>
      <c r="F834" s="160" t="s">
        <v>3035</v>
      </c>
      <c r="G834" s="15" t="s">
        <v>77</v>
      </c>
      <c r="H834" s="15" t="s">
        <v>105</v>
      </c>
      <c r="J834" s="27" t="s">
        <v>3036</v>
      </c>
      <c r="M834" s="15" t="s">
        <v>113</v>
      </c>
      <c r="P834" s="15" t="s">
        <v>3023</v>
      </c>
      <c r="Q834" s="15" t="n">
        <v>2000000</v>
      </c>
      <c r="R834" s="38" t="n">
        <f aca="false">IFERROR(Q834/VLOOKUP(P834,'Exchange rates to USD'!$L$2:$N$225,3,FALSE()),"")</f>
        <v>29912.9065478415</v>
      </c>
    </row>
    <row r="835" customFormat="false" ht="13.25" hidden="false" customHeight="true" outlineLevel="0" collapsed="false">
      <c r="A835" s="15" t="s">
        <v>3037</v>
      </c>
      <c r="B835" s="15" t="s">
        <v>3018</v>
      </c>
      <c r="C835" s="15" t="s">
        <v>58</v>
      </c>
      <c r="D835" s="15" t="s">
        <v>59</v>
      </c>
      <c r="E835" s="15" t="s">
        <v>76</v>
      </c>
      <c r="F835" s="160" t="s">
        <v>3038</v>
      </c>
      <c r="G835" s="15" t="s">
        <v>77</v>
      </c>
      <c r="J835" s="27" t="s">
        <v>3039</v>
      </c>
      <c r="M835" s="15" t="s">
        <v>70</v>
      </c>
      <c r="P835" s="15" t="s">
        <v>3023</v>
      </c>
      <c r="Q835" s="17" t="n">
        <v>200000</v>
      </c>
      <c r="R835" s="38" t="n">
        <f aca="false">IFERROR(Q835/VLOOKUP(P835,'Exchange rates to USD'!$L$2:$N$225,3,FALSE()),"")</f>
        <v>2991.29065478415</v>
      </c>
    </row>
    <row r="836" customFormat="false" ht="13.25" hidden="false" customHeight="true" outlineLevel="0" collapsed="false">
      <c r="A836" s="15" t="s">
        <v>3040</v>
      </c>
      <c r="B836" s="15" t="s">
        <v>3018</v>
      </c>
      <c r="C836" s="15" t="s">
        <v>122</v>
      </c>
      <c r="D836" s="15" t="s">
        <v>80</v>
      </c>
      <c r="E836" s="15" t="s">
        <v>76</v>
      </c>
      <c r="F836" s="160" t="s">
        <v>1351</v>
      </c>
      <c r="G836" s="15" t="s">
        <v>62</v>
      </c>
      <c r="H836" s="15" t="s">
        <v>105</v>
      </c>
      <c r="J836" s="27" t="s">
        <v>3041</v>
      </c>
      <c r="K836" s="15" t="s">
        <v>3042</v>
      </c>
      <c r="M836" s="15" t="s">
        <v>65</v>
      </c>
      <c r="P836" s="15" t="s">
        <v>3023</v>
      </c>
      <c r="R836" s="38" t="n">
        <f aca="false">IFERROR(Q836/VLOOKUP(P836,'Exchange rates to USD'!$L$2:$N$225,3,FALSE()),"")</f>
        <v>0</v>
      </c>
    </row>
    <row r="837" customFormat="false" ht="13.25" hidden="false" customHeight="true" outlineLevel="0" collapsed="false">
      <c r="A837" s="15" t="s">
        <v>3043</v>
      </c>
      <c r="B837" s="15" t="s">
        <v>3018</v>
      </c>
      <c r="C837" s="15" t="s">
        <v>75</v>
      </c>
      <c r="D837" s="15" t="s">
        <v>59</v>
      </c>
      <c r="E837" s="15" t="s">
        <v>95</v>
      </c>
      <c r="F837" s="160" t="s">
        <v>3044</v>
      </c>
      <c r="G837" s="15" t="s">
        <v>110</v>
      </c>
      <c r="H837" s="15" t="s">
        <v>105</v>
      </c>
      <c r="J837" s="15" t="s">
        <v>3045</v>
      </c>
      <c r="K837" s="15" t="s">
        <v>3046</v>
      </c>
      <c r="M837" s="15" t="s">
        <v>113</v>
      </c>
      <c r="P837" s="15" t="s">
        <v>3023</v>
      </c>
      <c r="Q837" s="17" t="n">
        <v>97000</v>
      </c>
      <c r="R837" s="38" t="n">
        <f aca="false">IFERROR(Q837/VLOOKUP(P837,'Exchange rates to USD'!$L$2:$N$225,3,FALSE()),"")</f>
        <v>1450.77596757031</v>
      </c>
    </row>
    <row r="838" customFormat="false" ht="13.25" hidden="false" customHeight="true" outlineLevel="0" collapsed="false">
      <c r="A838" s="15" t="s">
        <v>3047</v>
      </c>
      <c r="B838" s="15" t="s">
        <v>3018</v>
      </c>
      <c r="C838" s="15" t="s">
        <v>75</v>
      </c>
      <c r="D838" s="15" t="s">
        <v>80</v>
      </c>
      <c r="E838" s="15" t="s">
        <v>233</v>
      </c>
      <c r="F838" s="160" t="s">
        <v>1351</v>
      </c>
      <c r="G838" s="15" t="s">
        <v>110</v>
      </c>
      <c r="J838" s="15" t="s">
        <v>3048</v>
      </c>
      <c r="K838" s="15" t="s">
        <v>3049</v>
      </c>
      <c r="M838" s="15" t="s">
        <v>93</v>
      </c>
      <c r="R838" s="38" t="str">
        <f aca="false">IFERROR(Q838/VLOOKUP(P838,'Exchange rates to USD'!$L$2:$N$225,3,FALSE()),"")</f>
        <v/>
      </c>
    </row>
    <row r="839" customFormat="false" ht="13.25" hidden="false" customHeight="true" outlineLevel="0" collapsed="false">
      <c r="A839" s="15" t="s">
        <v>3050</v>
      </c>
      <c r="B839" s="15" t="s">
        <v>3018</v>
      </c>
      <c r="C839" s="15" t="s">
        <v>122</v>
      </c>
      <c r="D839" s="15" t="s">
        <v>59</v>
      </c>
      <c r="E839" s="15" t="s">
        <v>95</v>
      </c>
      <c r="F839" s="160" t="s">
        <v>1351</v>
      </c>
      <c r="G839" s="15" t="s">
        <v>62</v>
      </c>
      <c r="H839" s="15" t="s">
        <v>110</v>
      </c>
      <c r="J839" s="15" t="s">
        <v>3051</v>
      </c>
      <c r="K839" s="15" t="s">
        <v>3052</v>
      </c>
      <c r="M839" s="15" t="s">
        <v>93</v>
      </c>
      <c r="R839" s="38" t="str">
        <f aca="false">IFERROR(Q839/VLOOKUP(P839,'Exchange rates to USD'!$L$2:$N$225,3,FALSE()),"")</f>
        <v/>
      </c>
    </row>
    <row r="840" customFormat="false" ht="13.25" hidden="false" customHeight="true" outlineLevel="0" collapsed="false">
      <c r="A840" s="55" t="s">
        <v>3053</v>
      </c>
      <c r="B840" s="55" t="s">
        <v>3018</v>
      </c>
      <c r="C840" s="55" t="s">
        <v>122</v>
      </c>
      <c r="D840" s="55" t="s">
        <v>59</v>
      </c>
      <c r="E840" s="55" t="s">
        <v>90</v>
      </c>
      <c r="F840" s="182" t="s">
        <v>1351</v>
      </c>
      <c r="G840" s="55" t="s">
        <v>62</v>
      </c>
      <c r="H840" s="55" t="s">
        <v>110</v>
      </c>
      <c r="I840" s="55"/>
      <c r="J840" s="55" t="s">
        <v>3054</v>
      </c>
      <c r="K840" s="55" t="s">
        <v>3055</v>
      </c>
      <c r="L840" s="55"/>
      <c r="M840" s="55" t="s">
        <v>65</v>
      </c>
      <c r="N840" s="55"/>
      <c r="O840" s="56"/>
      <c r="P840" s="55"/>
      <c r="Q840" s="60"/>
      <c r="R840" s="58" t="str">
        <f aca="false">IFERROR(Q840/VLOOKUP(P840,'Exchange rates to USD'!$L$2:$N$225,3,FALSE()),"")</f>
        <v/>
      </c>
    </row>
    <row r="841" customFormat="false" ht="13.25" hidden="false" customHeight="true" outlineLevel="0" collapsed="false">
      <c r="A841" s="15" t="s">
        <v>3056</v>
      </c>
      <c r="B841" s="15" t="s">
        <v>3057</v>
      </c>
      <c r="C841" s="15" t="s">
        <v>75</v>
      </c>
      <c r="D841" s="15" t="s">
        <v>59</v>
      </c>
      <c r="E841" s="15" t="s">
        <v>95</v>
      </c>
      <c r="F841" s="160" t="s">
        <v>3058</v>
      </c>
      <c r="G841" s="15" t="s">
        <v>62</v>
      </c>
      <c r="J841" s="27" t="s">
        <v>3059</v>
      </c>
      <c r="K841" s="27" t="s">
        <v>3060</v>
      </c>
      <c r="M841" s="15" t="s">
        <v>65</v>
      </c>
      <c r="P841" s="15" t="s">
        <v>3061</v>
      </c>
      <c r="Q841" s="17" t="n">
        <v>110000000</v>
      </c>
      <c r="R841" s="38" t="n">
        <f aca="false">IFERROR(Q841/VLOOKUP(P841,'Exchange rates to USD'!$L$2:$N$225,3,FALSE()),"")</f>
        <v>8052.9441038887</v>
      </c>
    </row>
    <row r="842" customFormat="false" ht="13.25" hidden="false" customHeight="true" outlineLevel="0" collapsed="false">
      <c r="A842" s="55" t="s">
        <v>3062</v>
      </c>
      <c r="B842" s="55" t="s">
        <v>3057</v>
      </c>
      <c r="C842" s="55" t="s">
        <v>122</v>
      </c>
      <c r="D842" s="55" t="s">
        <v>80</v>
      </c>
      <c r="E842" s="55" t="s">
        <v>76</v>
      </c>
      <c r="F842" s="182"/>
      <c r="G842" s="55" t="s">
        <v>62</v>
      </c>
      <c r="H842" s="55" t="s">
        <v>105</v>
      </c>
      <c r="I842" s="55"/>
      <c r="J842" s="55" t="s">
        <v>3063</v>
      </c>
      <c r="K842" s="55" t="s">
        <v>3064</v>
      </c>
      <c r="L842" s="55"/>
      <c r="M842" s="55" t="s">
        <v>113</v>
      </c>
      <c r="N842" s="55" t="s">
        <v>3065</v>
      </c>
      <c r="O842" s="56"/>
      <c r="P842" s="55"/>
      <c r="Q842" s="60"/>
      <c r="R842" s="58" t="str">
        <f aca="false">IFERROR(Q842/VLOOKUP(P842,'Exchange rates to USD'!$L$2:$N$225,3,FALSE()),"")</f>
        <v/>
      </c>
    </row>
    <row r="843" customFormat="false" ht="13.25" hidden="false" customHeight="true" outlineLevel="0" collapsed="false">
      <c r="A843" s="15" t="s">
        <v>3066</v>
      </c>
      <c r="B843" s="15" t="s">
        <v>3067</v>
      </c>
      <c r="C843" s="15" t="s">
        <v>58</v>
      </c>
      <c r="D843" s="15" t="s">
        <v>80</v>
      </c>
      <c r="E843" s="15" t="s">
        <v>76</v>
      </c>
      <c r="F843" s="160"/>
      <c r="G843" s="15" t="s">
        <v>62</v>
      </c>
      <c r="H843" s="15" t="s">
        <v>96</v>
      </c>
      <c r="I843" s="15" t="s">
        <v>97</v>
      </c>
      <c r="J843" s="27" t="s">
        <v>3068</v>
      </c>
      <c r="K843" s="34" t="s">
        <v>3069</v>
      </c>
      <c r="L843" s="34" t="s">
        <v>3070</v>
      </c>
      <c r="M843" s="15" t="s">
        <v>113</v>
      </c>
      <c r="P843" s="15" t="s">
        <v>3071</v>
      </c>
      <c r="R843" s="38"/>
      <c r="U843" s="183" t="n">
        <f aca="false">R843/SUM(R1:R1020)</f>
        <v>0</v>
      </c>
    </row>
    <row r="844" customFormat="false" ht="13.25" hidden="false" customHeight="true" outlineLevel="0" collapsed="false">
      <c r="A844" s="15" t="s">
        <v>3072</v>
      </c>
      <c r="B844" s="15" t="s">
        <v>3067</v>
      </c>
      <c r="C844" s="15" t="s">
        <v>232</v>
      </c>
      <c r="D844" s="15" t="s">
        <v>59</v>
      </c>
      <c r="E844" s="15" t="s">
        <v>95</v>
      </c>
      <c r="F844" s="160"/>
      <c r="G844" s="15" t="s">
        <v>62</v>
      </c>
      <c r="H844" s="15" t="s">
        <v>105</v>
      </c>
      <c r="J844" s="27" t="s">
        <v>3073</v>
      </c>
      <c r="K844" s="27" t="s">
        <v>3074</v>
      </c>
      <c r="M844" s="15" t="s">
        <v>93</v>
      </c>
      <c r="N844" s="15" t="s">
        <v>3075</v>
      </c>
      <c r="R844" s="38" t="str">
        <f aca="false">IFERROR(Q844/VLOOKUP(P844,'Exchange rates to USD'!$L$2:$N$225,3,FALSE()),"")</f>
        <v/>
      </c>
      <c r="U844" s="183" t="n">
        <f aca="false">SUM(R844:R856)/SUM(R1:R1020)</f>
        <v>0.00120184945771418</v>
      </c>
    </row>
    <row r="845" customFormat="false" ht="13.25" hidden="false" customHeight="true" outlineLevel="0" collapsed="false">
      <c r="A845" s="15" t="s">
        <v>3076</v>
      </c>
      <c r="B845" s="15" t="s">
        <v>3067</v>
      </c>
      <c r="C845" s="15" t="s">
        <v>232</v>
      </c>
      <c r="D845" s="15" t="s">
        <v>80</v>
      </c>
      <c r="F845" s="160" t="s">
        <v>3077</v>
      </c>
      <c r="G845" s="15" t="s">
        <v>62</v>
      </c>
      <c r="H845" s="15" t="s">
        <v>105</v>
      </c>
      <c r="J845" s="27" t="s">
        <v>3078</v>
      </c>
      <c r="K845" s="15" t="s">
        <v>3079</v>
      </c>
      <c r="L845" s="15" t="s">
        <v>3080</v>
      </c>
      <c r="M845" s="15" t="s">
        <v>93</v>
      </c>
      <c r="P845" s="15" t="s">
        <v>643</v>
      </c>
      <c r="Q845" s="17" t="n">
        <v>3.5</v>
      </c>
      <c r="R845" s="38" t="n">
        <f aca="false">IFERROR(Q845/VLOOKUP(P845,'Exchange rates to USD'!$L$2:$N$225,3,FALSE()),"")</f>
        <v>3.5</v>
      </c>
    </row>
    <row r="846" customFormat="false" ht="13.25" hidden="false" customHeight="true" outlineLevel="0" collapsed="false">
      <c r="A846" s="15" t="s">
        <v>3081</v>
      </c>
      <c r="B846" s="15" t="s">
        <v>3067</v>
      </c>
      <c r="C846" s="15" t="s">
        <v>122</v>
      </c>
      <c r="D846" s="15" t="s">
        <v>80</v>
      </c>
      <c r="E846" s="15" t="s">
        <v>149</v>
      </c>
      <c r="F846" s="160"/>
      <c r="G846" s="15" t="s">
        <v>96</v>
      </c>
      <c r="J846" s="27" t="s">
        <v>3082</v>
      </c>
      <c r="K846" s="15" t="s">
        <v>3083</v>
      </c>
      <c r="M846" s="15" t="s">
        <v>93</v>
      </c>
      <c r="R846" s="38" t="str">
        <f aca="false">IFERROR(Q846/VLOOKUP(P846,'Exchange rates to USD'!$L$2:$N$225,3,FALSE()),"")</f>
        <v/>
      </c>
    </row>
    <row r="847" customFormat="false" ht="13.25" hidden="false" customHeight="true" outlineLevel="0" collapsed="false">
      <c r="A847" s="15" t="s">
        <v>3084</v>
      </c>
      <c r="B847" s="15" t="s">
        <v>3067</v>
      </c>
      <c r="C847" s="15" t="s">
        <v>122</v>
      </c>
      <c r="D847" s="15" t="s">
        <v>59</v>
      </c>
      <c r="E847" s="15" t="s">
        <v>90</v>
      </c>
      <c r="F847" s="160"/>
      <c r="G847" s="15" t="s">
        <v>110</v>
      </c>
      <c r="H847" s="15" t="s">
        <v>62</v>
      </c>
      <c r="J847" s="27" t="s">
        <v>3085</v>
      </c>
      <c r="K847" s="15" t="s">
        <v>3086</v>
      </c>
      <c r="M847" s="15" t="s">
        <v>93</v>
      </c>
      <c r="N847" s="15" t="s">
        <v>3087</v>
      </c>
      <c r="R847" s="38" t="str">
        <f aca="false">IFERROR(Q847/VLOOKUP(P847,'Exchange rates to USD'!$L$2:$N$225,3,FALSE()),"")</f>
        <v/>
      </c>
    </row>
    <row r="848" customFormat="false" ht="13.25" hidden="false" customHeight="true" outlineLevel="0" collapsed="false">
      <c r="A848" s="15" t="s">
        <v>3088</v>
      </c>
      <c r="B848" s="15" t="s">
        <v>3067</v>
      </c>
      <c r="C848" s="15" t="s">
        <v>58</v>
      </c>
      <c r="D848" s="15" t="s">
        <v>115</v>
      </c>
      <c r="E848" s="15" t="s">
        <v>76</v>
      </c>
      <c r="F848" s="160" t="s">
        <v>3089</v>
      </c>
      <c r="G848" s="15" t="s">
        <v>97</v>
      </c>
      <c r="H848" s="15" t="s">
        <v>110</v>
      </c>
      <c r="J848" s="27" t="s">
        <v>3090</v>
      </c>
      <c r="K848" s="15" t="s">
        <v>3091</v>
      </c>
      <c r="M848" s="15" t="s">
        <v>93</v>
      </c>
      <c r="P848" s="15" t="s">
        <v>643</v>
      </c>
      <c r="Q848" s="17" t="n">
        <v>56</v>
      </c>
      <c r="R848" s="38" t="n">
        <f aca="false">IFERROR(Q848/VLOOKUP(P848,'Exchange rates to USD'!$L$2:$N$225,3,FALSE()),"")</f>
        <v>56</v>
      </c>
    </row>
    <row r="849" s="35" customFormat="true" ht="13.25" hidden="false" customHeight="true" outlineLevel="0" collapsed="false">
      <c r="A849" s="35" t="s">
        <v>3092</v>
      </c>
      <c r="B849" s="35" t="s">
        <v>3067</v>
      </c>
      <c r="C849" s="35" t="s">
        <v>122</v>
      </c>
      <c r="D849" s="35" t="s">
        <v>80</v>
      </c>
      <c r="E849" s="35" t="s">
        <v>76</v>
      </c>
      <c r="F849" s="184"/>
      <c r="G849" s="35" t="s">
        <v>110</v>
      </c>
      <c r="J849" s="35" t="s">
        <v>3093</v>
      </c>
      <c r="K849" s="62" t="s">
        <v>3094</v>
      </c>
      <c r="M849" s="35" t="s">
        <v>3095</v>
      </c>
      <c r="O849" s="36"/>
      <c r="Q849" s="37"/>
      <c r="R849" s="37"/>
      <c r="W849" s="15"/>
    </row>
    <row r="850" s="35" customFormat="true" ht="13.25" hidden="false" customHeight="true" outlineLevel="0" collapsed="false">
      <c r="A850" s="35" t="s">
        <v>3096</v>
      </c>
      <c r="B850" s="35" t="s">
        <v>3067</v>
      </c>
      <c r="C850" s="35" t="s">
        <v>58</v>
      </c>
      <c r="D850" s="35" t="s">
        <v>115</v>
      </c>
      <c r="E850" s="35" t="s">
        <v>233</v>
      </c>
      <c r="F850" s="184" t="s">
        <v>3097</v>
      </c>
      <c r="G850" s="35" t="s">
        <v>62</v>
      </c>
      <c r="H850" s="35" t="s">
        <v>110</v>
      </c>
      <c r="J850" s="35" t="s">
        <v>3098</v>
      </c>
      <c r="K850" s="35" t="s">
        <v>3099</v>
      </c>
      <c r="M850" s="35" t="s">
        <v>93</v>
      </c>
      <c r="O850" s="36" t="n">
        <v>44204</v>
      </c>
      <c r="P850" s="35" t="s">
        <v>3071</v>
      </c>
      <c r="Q850" s="37" t="n">
        <v>6750</v>
      </c>
      <c r="R850" s="38" t="n">
        <f aca="false">IFERROR(Q850/VLOOKUP(P850,'Exchange rates to USD'!$L$2:$N$225,3,FALSE()),"")</f>
        <v>535.252508875138</v>
      </c>
      <c r="W850" s="15"/>
    </row>
    <row r="851" customFormat="false" ht="13.25" hidden="false" customHeight="true" outlineLevel="0" collapsed="false">
      <c r="A851" s="15" t="s">
        <v>3100</v>
      </c>
      <c r="B851" s="15" t="s">
        <v>3067</v>
      </c>
      <c r="C851" s="15" t="s">
        <v>232</v>
      </c>
      <c r="D851" s="15" t="s">
        <v>115</v>
      </c>
      <c r="E851" s="15" t="s">
        <v>263</v>
      </c>
      <c r="F851" s="160" t="s">
        <v>3101</v>
      </c>
      <c r="G851" s="15" t="s">
        <v>62</v>
      </c>
      <c r="H851" s="15" t="s">
        <v>77</v>
      </c>
      <c r="J851" s="15" t="s">
        <v>3102</v>
      </c>
      <c r="K851" s="15" t="s">
        <v>3099</v>
      </c>
      <c r="L851" s="15" t="s">
        <v>3103</v>
      </c>
      <c r="M851" s="15" t="s">
        <v>93</v>
      </c>
      <c r="P851" s="15" t="s">
        <v>3071</v>
      </c>
      <c r="Q851" s="17" t="n">
        <v>1983</v>
      </c>
      <c r="R851" s="38" t="n">
        <f aca="false">IFERROR(Q851/VLOOKUP(P851,'Exchange rates to USD'!$L$2:$N$225,3,FALSE()),"")</f>
        <v>157.245292607318</v>
      </c>
    </row>
    <row r="852" customFormat="false" ht="13.25" hidden="false" customHeight="true" outlineLevel="0" collapsed="false">
      <c r="A852" s="15" t="s">
        <v>3104</v>
      </c>
      <c r="B852" s="15" t="s">
        <v>3067</v>
      </c>
      <c r="C852" s="15" t="s">
        <v>138</v>
      </c>
      <c r="D852" s="15" t="s">
        <v>80</v>
      </c>
      <c r="E852" s="15" t="s">
        <v>76</v>
      </c>
      <c r="F852" s="160" t="s">
        <v>3105</v>
      </c>
      <c r="G852" s="15" t="s">
        <v>62</v>
      </c>
      <c r="H852" s="15" t="s">
        <v>110</v>
      </c>
      <c r="J852" s="15" t="s">
        <v>3106</v>
      </c>
      <c r="K852" s="15" t="s">
        <v>3107</v>
      </c>
      <c r="L852" s="34" t="s">
        <v>3108</v>
      </c>
      <c r="M852" s="15" t="s">
        <v>113</v>
      </c>
      <c r="O852" s="16" t="n">
        <v>44286</v>
      </c>
      <c r="P852" s="15" t="s">
        <v>3071</v>
      </c>
      <c r="Q852" s="17" t="n">
        <v>2000</v>
      </c>
      <c r="R852" s="38" t="n">
        <f aca="false">IFERROR(Q852/VLOOKUP(P852,'Exchange rates to USD'!$L$2:$N$225,3,FALSE()),"")</f>
        <v>158.593335963004</v>
      </c>
    </row>
    <row r="853" customFormat="false" ht="13.25" hidden="false" customHeight="true" outlineLevel="0" collapsed="false">
      <c r="A853" s="15" t="s">
        <v>3109</v>
      </c>
      <c r="B853" s="15" t="s">
        <v>3067</v>
      </c>
      <c r="C853" s="15" t="s">
        <v>58</v>
      </c>
      <c r="D853" s="15" t="s">
        <v>59</v>
      </c>
      <c r="E853" s="15" t="s">
        <v>95</v>
      </c>
      <c r="F853" s="160" t="s">
        <v>3110</v>
      </c>
      <c r="G853" s="15" t="s">
        <v>62</v>
      </c>
      <c r="H853" s="15" t="s">
        <v>110</v>
      </c>
      <c r="J853" s="15" t="s">
        <v>3111</v>
      </c>
      <c r="K853" s="15" t="s">
        <v>3107</v>
      </c>
      <c r="L853" s="15" t="s">
        <v>3112</v>
      </c>
      <c r="M853" s="15" t="s">
        <v>65</v>
      </c>
      <c r="O853" s="16" t="n">
        <v>44286</v>
      </c>
      <c r="P853" s="15" t="s">
        <v>3071</v>
      </c>
      <c r="Q853" s="17" t="n">
        <v>26000</v>
      </c>
      <c r="R853" s="38" t="n">
        <f aca="false">IFERROR(Q853/VLOOKUP(P853,'Exchange rates to USD'!$L$2:$N$225,3,FALSE()),"")</f>
        <v>2061.71336751905</v>
      </c>
    </row>
    <row r="854" customFormat="false" ht="13.25" hidden="false" customHeight="true" outlineLevel="0" collapsed="false">
      <c r="A854" s="15" t="s">
        <v>3113</v>
      </c>
      <c r="B854" s="15" t="s">
        <v>3067</v>
      </c>
      <c r="C854" s="15" t="s">
        <v>58</v>
      </c>
      <c r="D854" s="15" t="s">
        <v>108</v>
      </c>
      <c r="E854" s="15" t="s">
        <v>76</v>
      </c>
      <c r="F854" s="160" t="s">
        <v>3114</v>
      </c>
      <c r="G854" s="15" t="s">
        <v>97</v>
      </c>
      <c r="J854" s="15" t="s">
        <v>3115</v>
      </c>
      <c r="K854" s="15" t="s">
        <v>3107</v>
      </c>
      <c r="L854" s="15" t="s">
        <v>3116</v>
      </c>
      <c r="M854" s="15" t="s">
        <v>93</v>
      </c>
      <c r="O854" s="16" t="n">
        <v>44286</v>
      </c>
      <c r="P854" s="15" t="s">
        <v>3071</v>
      </c>
      <c r="Q854" s="17" t="n">
        <v>10</v>
      </c>
      <c r="R854" s="38" t="n">
        <f aca="false">IFERROR(Q854/VLOOKUP(P854,'Exchange rates to USD'!$L$2:$N$225,3,FALSE()),"")</f>
        <v>0.79296667981502</v>
      </c>
    </row>
    <row r="855" customFormat="false" ht="13.25" hidden="false" customHeight="true" outlineLevel="0" collapsed="false">
      <c r="A855" s="15" t="s">
        <v>3117</v>
      </c>
      <c r="B855" s="15" t="s">
        <v>3067</v>
      </c>
      <c r="C855" s="15" t="s">
        <v>58</v>
      </c>
      <c r="E855" s="15" t="s">
        <v>116</v>
      </c>
      <c r="F855" s="160" t="s">
        <v>3118</v>
      </c>
      <c r="G855" s="15" t="s">
        <v>105</v>
      </c>
      <c r="J855" s="15" t="s">
        <v>3119</v>
      </c>
      <c r="K855" s="15" t="s">
        <v>3107</v>
      </c>
      <c r="L855" s="15" t="s">
        <v>3120</v>
      </c>
      <c r="M855" s="15" t="s">
        <v>93</v>
      </c>
      <c r="O855" s="16" t="n">
        <v>44286</v>
      </c>
      <c r="P855" s="15" t="s">
        <v>3071</v>
      </c>
      <c r="Q855" s="17" t="n">
        <v>600</v>
      </c>
      <c r="R855" s="38" t="n">
        <f aca="false">IFERROR(Q855/VLOOKUP(P855,'Exchange rates to USD'!$L$2:$N$225,3,FALSE()),"")</f>
        <v>47.5780007889012</v>
      </c>
    </row>
    <row r="856" customFormat="false" ht="13.25" hidden="false" customHeight="true" outlineLevel="0" collapsed="false">
      <c r="A856" s="15" t="s">
        <v>3121</v>
      </c>
      <c r="B856" s="15" t="s">
        <v>3067</v>
      </c>
      <c r="C856" s="15" t="s">
        <v>58</v>
      </c>
      <c r="D856" s="15" t="s">
        <v>108</v>
      </c>
      <c r="E856" s="15" t="s">
        <v>95</v>
      </c>
      <c r="F856" s="15" t="s">
        <v>3122</v>
      </c>
      <c r="G856" s="15" t="s">
        <v>62</v>
      </c>
      <c r="H856" s="15" t="s">
        <v>110</v>
      </c>
      <c r="J856" s="15" t="s">
        <v>3123</v>
      </c>
      <c r="K856" s="34" t="s">
        <v>3124</v>
      </c>
      <c r="M856" s="15" t="s">
        <v>93</v>
      </c>
      <c r="O856" s="16" t="n">
        <v>44286</v>
      </c>
      <c r="P856" s="15" t="s">
        <v>3071</v>
      </c>
      <c r="Q856" s="17" t="n">
        <v>135</v>
      </c>
      <c r="R856" s="38" t="n">
        <f aca="false">IFERROR(Q856/VLOOKUP(P856,'Exchange rates to USD'!$L$2:$N$225,3,FALSE()),"")</f>
        <v>10.7050501775028</v>
      </c>
    </row>
    <row r="857" customFormat="false" ht="13.25" hidden="false" customHeight="true" outlineLevel="0" collapsed="false">
      <c r="A857" s="15" t="s">
        <v>3125</v>
      </c>
      <c r="B857" s="15" t="s">
        <v>3067</v>
      </c>
      <c r="C857" s="15" t="s">
        <v>58</v>
      </c>
      <c r="D857" s="15" t="s">
        <v>108</v>
      </c>
      <c r="E857" s="15" t="s">
        <v>95</v>
      </c>
      <c r="F857" s="15" t="s">
        <v>1979</v>
      </c>
      <c r="G857" s="15" t="s">
        <v>62</v>
      </c>
      <c r="H857" s="15" t="s">
        <v>110</v>
      </c>
      <c r="J857" s="15" t="s">
        <v>3126</v>
      </c>
      <c r="K857" s="34" t="s">
        <v>3124</v>
      </c>
      <c r="M857" s="15" t="s">
        <v>93</v>
      </c>
      <c r="O857" s="16" t="n">
        <v>44286</v>
      </c>
      <c r="P857" s="15" t="s">
        <v>3071</v>
      </c>
    </row>
    <row r="858" customFormat="false" ht="13.25" hidden="false" customHeight="true" outlineLevel="0" collapsed="false">
      <c r="A858" s="55" t="s">
        <v>3127</v>
      </c>
      <c r="B858" s="55" t="s">
        <v>3067</v>
      </c>
      <c r="C858" s="55" t="s">
        <v>122</v>
      </c>
      <c r="D858" s="55" t="s">
        <v>59</v>
      </c>
      <c r="E858" s="55" t="s">
        <v>95</v>
      </c>
      <c r="F858" s="55" t="s">
        <v>1979</v>
      </c>
      <c r="G858" s="55" t="s">
        <v>97</v>
      </c>
      <c r="H858" s="55" t="s">
        <v>77</v>
      </c>
      <c r="I858" s="55" t="s">
        <v>105</v>
      </c>
      <c r="J858" s="55" t="s">
        <v>3128</v>
      </c>
      <c r="K858" s="55" t="s">
        <v>3129</v>
      </c>
      <c r="L858" s="55"/>
      <c r="M858" s="55" t="s">
        <v>93</v>
      </c>
      <c r="N858" s="55"/>
      <c r="O858" s="56" t="n">
        <v>44286</v>
      </c>
      <c r="P858" s="55" t="s">
        <v>3071</v>
      </c>
      <c r="Q858" s="60"/>
      <c r="R858" s="60"/>
    </row>
    <row r="859" customFormat="false" ht="13.25" hidden="false" customHeight="true" outlineLevel="0" collapsed="false"/>
    <row r="860" customFormat="false" ht="13.25" hidden="false" customHeight="true" outlineLevel="0" collapsed="false"/>
    <row r="861" customFormat="false" ht="13.25" hidden="false" customHeight="true" outlineLevel="0" collapsed="false"/>
    <row r="862" customFormat="false" ht="13.25" hidden="false" customHeight="true" outlineLevel="0" collapsed="false"/>
    <row r="863" customFormat="false" ht="13.25" hidden="false" customHeight="true" outlineLevel="0" collapsed="false"/>
    <row r="864" customFormat="false" ht="13.25" hidden="false" customHeight="true" outlineLevel="0" collapsed="false">
      <c r="J864" s="185"/>
    </row>
    <row r="865" customFormat="false" ht="13.25" hidden="false" customHeight="true" outlineLevel="0" collapsed="false"/>
    <row r="866" customFormat="false" ht="13.25" hidden="false" customHeight="true" outlineLevel="0" collapsed="false"/>
    <row r="867" customFormat="false" ht="13.25" hidden="false" customHeight="true" outlineLevel="0" collapsed="false"/>
    <row r="868" customFormat="false" ht="13.25" hidden="false" customHeight="true" outlineLevel="0" collapsed="false"/>
    <row r="869" customFormat="false" ht="13.25" hidden="false" customHeight="true" outlineLevel="0" collapsed="false"/>
    <row r="870" customFormat="false" ht="13.25" hidden="false" customHeight="true" outlineLevel="0" collapsed="false"/>
    <row r="871" customFormat="false" ht="13.25" hidden="false" customHeight="true" outlineLevel="0" collapsed="false"/>
    <row r="872" customFormat="false" ht="13.25" hidden="false" customHeight="true" outlineLevel="0" collapsed="false"/>
    <row r="873" customFormat="false" ht="13.25" hidden="false" customHeight="true" outlineLevel="0" collapsed="false"/>
    <row r="874" customFormat="false" ht="13.25" hidden="false" customHeight="true" outlineLevel="0" collapsed="false"/>
    <row r="875" customFormat="false" ht="13.25" hidden="false" customHeight="true" outlineLevel="0" collapsed="false"/>
    <row r="876" customFormat="false" ht="13.25" hidden="false" customHeight="true" outlineLevel="0" collapsed="false"/>
    <row r="877" customFormat="false" ht="13.25" hidden="false" customHeight="true" outlineLevel="0" collapsed="false"/>
    <row r="878" customFormat="false" ht="13.25" hidden="false" customHeight="true" outlineLevel="0" collapsed="false"/>
  </sheetData>
  <autoFilter ref="A1:X858"/>
  <dataValidations count="16">
    <dataValidation allowBlank="true" operator="between" showDropDown="false" showErrorMessage="true" showInputMessage="true" sqref="C850:C860" type="list">
      <formula1>Grant_Loan__including_interest_free_loans</formula1>
      <formula2>0</formula2>
    </dataValidation>
    <dataValidation allowBlank="true" operator="between" showDropDown="false" showErrorMessage="true" showInputMessage="true" sqref="M2:M147 M154:M214 M219:M596 M598:M713 M719:M877" type="list">
      <formula1>'selection lists'!$N$2:$N$5</formula1>
      <formula2>0</formula2>
    </dataValidation>
    <dataValidation allowBlank="true" operator="between" showDropDown="false" showErrorMessage="true" showInputMessage="true" sqref="C2:C13 C46:C424 C426:C590 C598:C713 C719:C849" type="list">
      <formula1>'selection lists'!$C$2:$C$7</formula1>
      <formula2>0</formula2>
    </dataValidation>
    <dataValidation allowBlank="true" operator="between" showDropDown="false" showErrorMessage="true" showInputMessage="true" sqref="C425" type="list">
      <formula1>'c:\users\prag_a\appdata\local\microsoft\windows\inetcache\content.outlook\i9hrgmkc\[(japan )template for changes-additions-deletions-mitigation.xlsx]selection lists'!#ref!</formula1>
      <formula2>0</formula2>
    </dataValidation>
    <dataValidation allowBlank="true" operator="between" showDropDown="false" showErrorMessage="true" showInputMessage="true" sqref="G2:I590 G593 H594:H596 G598:I713 H714:I714 G719:I849 G852:I869 H870:I870" type="list">
      <formula1>'selection lists'!$L$2:$L$9</formula1>
      <formula2>0</formula2>
    </dataValidation>
    <dataValidation allowBlank="true" operator="between" showDropDown="false" showErrorMessage="true" showInputMessage="true" sqref="E852:E877" type="list">
      <formula1>'selection lists'!$H$2:$H$9</formula1>
      <formula2>0</formula2>
    </dataValidation>
    <dataValidation allowBlank="true" operator="between" showDropDown="false" showErrorMessage="true" showInputMessage="true" sqref="D2:D13 D46:D590 D598:D713 D719:D875" type="list">
      <formula1>'selection lists'!$E$2:$E$5</formula1>
      <formula2>0</formula2>
    </dataValidation>
    <dataValidation allowBlank="true" operator="between" showDropDown="false" showErrorMessage="true" showInputMessage="true" sqref="E2:E13 E46:E590 E598:E713 E719:E849" type="list">
      <formula1>'selection lists'!$H$2:$H$11</formula1>
      <formula2>0</formula2>
    </dataValidation>
    <dataValidation allowBlank="false" operator="between" showDropDown="false" showErrorMessage="true" showInputMessage="true" sqref="C15:C25" type="list">
      <formula1>'https://portal.oecd.org/eshare/env/pc/deliverables/greenrecoverytaskforce/database/country replies march 2021/[copy of australia_feb2021-mes additionv2 20210217.xlsx]selection lists'!#ref!</formula1>
      <formula2>0</formula2>
    </dataValidation>
    <dataValidation allowBlank="true" operator="between" showDropDown="false" showErrorMessage="true" showInputMessage="true" sqref="C14 C26:C45" type="list">
      <formula1>'https://portal.oecd.org/eshare/env/pc/deliverables/greenrecoverytaskforce/database/country replies march 2021/[copy of australia_feb2021-mes additionv2 20210217.xlsx]selection lists'!#ref!</formula1>
      <formula2>0</formula2>
    </dataValidation>
    <dataValidation allowBlank="true" operator="between" showDropDown="false" showErrorMessage="true" showInputMessage="true" sqref="D14:E45" type="list">
      <formula1>'https://portal.oecd.org/eshare/env/pc/deliverables/greenrecoverytaskforce/database/country replies march 2021/[copy of australia_feb2021-mes additionv2 20210217.xlsx]selection lists'!#ref!</formula1>
      <formula2>0</formula2>
    </dataValidation>
    <dataValidation allowBlank="true" operator="between" showDropDown="false" showErrorMessage="true" showInputMessage="true" sqref="C591:E596 G591:I592 H593:I593 G594:G596 I594:I596" type="list">
      <formula1>'c:\users\jan.drab\desktop\[master sheet_oecd_env_covid-recovery-database_jan2021.xlsm]selection lists'!#ref!</formula1>
      <formula2>0</formula2>
    </dataValidation>
    <dataValidation allowBlank="true" operator="between" showDropDown="false" showErrorMessage="true" showInputMessage="true" sqref="C597:E597 G597:I597 M597" type="list">
      <formula1>'\\portal.oecd.org@ssl\davwwwroot\eshare\env\pc\deliverables\greenrecoverytaskforce\database\[oecd_env_covid-recovery-database_v4.xlsm]selection lists'!#ref!</formula1>
      <formula2>0</formula2>
    </dataValidation>
    <dataValidation allowBlank="true" operator="between" showDropDown="false" showErrorMessage="true" showInputMessage="true" sqref="C714:E714 G714:G718 C715:D718 E718 H718:I718" type="list">
      <formula1>'c:\users\prag_a\appdata\local\microsoft\windows\inetcache\content.outlook\i9hrgmkc\[united_kingdom_template for changes-additions-deletions_april2021_.xlsx]selection lists'!#ref!</formula1>
      <formula2>0</formula2>
    </dataValidation>
    <dataValidation allowBlank="true" operator="between" showDropDown="false" showErrorMessage="true" showInputMessage="true" sqref="E715:E716 H715:I715 E717" type="list">
      <formula1>'g:\aj\workstreams\eau\international\oecd\epoc\[oecd_env_covid-recovery-database_full-for-epoc_jan2021 (2021-02-22).xlsm]selection lists'!#ref!</formula1>
      <formula2>0</formula2>
    </dataValidation>
    <dataValidation allowBlank="true" operator="between" showDropDown="false" showErrorMessage="true" showInputMessage="true" sqref="M715:M718" type="list">
      <formula1>'\\ler329fs\m182845$\aj\workstreams\eau\international\oecd\epoc\[oecd_env_covid-recovery-database_full-for-epoc_jan2021 - final check.xlsx]selection lists'!#ref!</formula1>
      <formula2>0</formula2>
    </dataValidation>
  </dataValidations>
  <hyperlinks>
    <hyperlink ref="L14" r:id="rId2" display="https://treasury.gov.au/sites/default/files/2020-12/HomeBuilder_extension_factsheet.pdf"/>
    <hyperlink ref="K15" r:id="rId3" display="https://www.awe.gov.au/sites/default/files/2020-10/budget-2020-21_cultivating-profitable-and-resilient-agricultural-businesses.pdf"/>
    <hyperlink ref="K18" r:id="rId4" display="https://www.awe.gov.au/sites/default/files/2020-10/budget-2020-21_protecting-our-iconic-places.pdf"/>
    <hyperlink ref="K51" r:id="rId5" display="https://www.bmk.gv.at/service/presse/gewessler/20200731_gemeindepaket.html"/>
    <hyperlink ref="K213" r:id="rId6" display="https://news.err.ee/1135630/government-to-fund-purchase-of-electric-buses-and-charging-posts"/>
    <hyperlink ref="L213" r:id="rId7" display="https://www.err.ee/1135503/riik-hakkab-toetama-elektribusside-ostu-ja-laadimistaristu-ehitamist "/>
    <hyperlink ref="K214" r:id="rId8" display="https://www.emta.ee/et/ariklient/aktsiisid-vara-hasartmang/kutus-ja-elektrienergia/aktsiisimaarade-ajutine-vahendamine"/>
    <hyperlink ref="L214" r:id="rId9" location="liquid-fuels-and-electricity" display="https://www.emta.ee/eng/business-client/excise-duties-assets-gambling/about-excise-duties/rates-excise-duty#liquid-fuels-and-electricity"/>
    <hyperlink ref="K233" r:id="rId10" display="https://ym.fi/en/wood-building"/>
    <hyperlink ref="K239" r:id="rId11" display="https://mmm.fi/en/forests/biodiversity-and-protection/metso-programme"/>
    <hyperlink ref="K241" r:id="rId12" display="https://ym.fi/documents/1410903/33891761/kestava_elvytys_loppuraportti-2110.pdf/c8edf006-334f-ecd9-5364-9d55720823fe/kestava_elvytys_loppuraportti-2110.pdf?t=1603343569943"/>
    <hyperlink ref="K242" r:id="rId13" display="https://www.vvy.fi/ajankohtaista/uutiset/ymparistoministerion-avustushaku/"/>
    <hyperlink ref="K247" r:id="rId14" display="https://www.businessfinland.fi/kampanjasivut/veturiyrityksista-vipuvartta"/>
    <hyperlink ref="L253" r:id="rId15" display="https://ec.europa.eu/commission/presscorner/detail/en/IP_20_1032 (31 August 2020)"/>
    <hyperlink ref="L254" r:id="rId16" display="https://ec.europa.eu/commission/presscorner/detail/en/MEX_20_904 (31 August 2020)"/>
    <hyperlink ref="N260" r:id="rId17" display="https://www.ecologique-solidaire.gouv.fr/plan-velo-des-mesures-concretes-faciliter-lusage-du-velo"/>
    <hyperlink ref="K272" r:id="rId18" display="https://www.economie.gouv.fr/files/files/directions_services/plan-de-relance/annexe-fiche-mesures.pdf"/>
    <hyperlink ref="K287" r:id="rId19" display="https://www.gouvernement.fr/sites/default/files/contenu/piece-jointe/2020/09/fiches_intro_thematiques_pia_4.pdf"/>
    <hyperlink ref="K289" r:id="rId20" display="https://www.bundesfinanzministerium.de/Content/DE/Standardartikel/Themen/Schlaglichter/Konjunkturpaket/2020-06-03-eckpunktepapier.pdf?__blob=publicationFile"/>
    <hyperlink ref="K290" r:id="rId21" display="https://www.bundesfinanzministerium.de/Content/DE/Standardartikel/Themen/Schlaglichter/Konjunkturpaket/2020-06-03-eckpunktepapier.pdf?__blob=publicationFile"/>
    <hyperlink ref="K291" r:id="rId22" display="https://www.bloomberg.com/news/articles/2020-06-05/germany-s-recovery-fund-gets-green-hue-with-its-focus-on-climate"/>
    <hyperlink ref="K292" r:id="rId23" display="https://www.bloomberg.com/news/articles/2020-06-05/germany-s-recovery-fund-gets-green-hue-with-its-focus-on-climate"/>
    <hyperlink ref="K293" r:id="rId24" display="https://www.bundesfinanzministerium.de/Content/DE/Standardartikel/Themen/Schlaglichter/Konjunkturpaket/2020-06-03-eckpunktepapier.pdf?__blob=publicationFile"/>
    <hyperlink ref="K294" r:id="rId25" display="https://www.bloomberg.com/news/articles/2020-06-05/germany-s-recovery-fund-gets-green-hue-with-its-focus-on-climate"/>
    <hyperlink ref="K295" r:id="rId26" display="https://www.bundesfinanzministerium.de/Content/DE/Standardartikel/Themen/Schlaglichter/Konjunkturpaket/2020-06-03-eckpunktepapier.pdf?__blob=publicationFile"/>
    <hyperlink ref="K296" r:id="rId27" display="https://www.bundesfinanzministerium.de/Content/DE/Standardartikel/Themen/Schlaglichter/Konjunkturpaket/2020-06-03-eckpunktepapier.pdf?__blob=publicationFile"/>
    <hyperlink ref="K297" r:id="rId28" display="https://www.bundesfinanzministerium.de/Content/DE/Standardartikel/Themen/Schlaglichter/Konjunkturpaket/2020-06-03-eckpunktepapier.pdf?__blob=publicationFile"/>
    <hyperlink ref="K298" r:id="rId29" display="https://www.bundesfinanzministerium.de/Content/DE/Standardartikel/Themen/Schlaglichter/Konjunkturpaket/2020-06-03-eckpunktepapier.pdf?__blob=publicationFile"/>
    <hyperlink ref="K299" r:id="rId30" display="https://www.bundesfinanzministerium.de/Content/DE/Standardartikel/Themen/Schlaglichter/Konjunkturpaket/2020-06-03-eckpunktepapier.pdf?__blob=publicationFile"/>
    <hyperlink ref="K300" r:id="rId31" display="https://www.bundesfinanzministerium.de/Content/DE/Standardartikel/Themen/Schlaglichter/Konjunkturpaket/2020-06-03-eckpunktepapier.pdf?__blob=publicationFile"/>
    <hyperlink ref="K301" r:id="rId32" display="https://www.bundesfinanzministerium.de/Content/DE/Standardartikel/Themen/Schlaglichter/Konjunkturpaket/2020-06-03-eckpunktepapier.pdf?__blob=publicationFile"/>
    <hyperlink ref="K302" r:id="rId33" display="https://www.bundesfinanzministerium.de/Content/DE/Standardartikel/Themen/Schlaglichter/Konjunkturpaket/2020-06-03-eckpunktepapier.pdf?__blob=publicationFile"/>
    <hyperlink ref="K303" r:id="rId34" display="https://www.bundesfinanzministerium.de/Content/DE/Standardartikel/Themen/Schlaglichter/Konjunkturpaket/2020-06-03-eckpunktepapier.pdf?__blob=publicationFile"/>
    <hyperlink ref="L307" r:id="rId35" display="https://de.reuters.com/article/us-germany-autos/germany-to-up-financial-aid-for-cars-sector-government-sources-idUSKBN27X1S7"/>
    <hyperlink ref="L308" r:id="rId36" display="https://de.reuters.com/article/us-germany-autos/germany-to-up-financial-aid-for-cars-sector-government-sources-idUSKBN27X1S7"/>
    <hyperlink ref="K309" r:id="rId37" display="https://de.reuters.com/article/us-germany-autos/germany-to-up-financial-aid-for-cars-sector-government-sources-idUSKBN27X1S9"/>
    <hyperlink ref="L309" r:id="rId38" display="https://de.reuters.com/article/us-germany-autos/germany-to-up-financial-aid-for-cars-sector-government-sources-idUSKBN27X1S7"/>
    <hyperlink ref="K353" r:id="rId39" display="https://ceenergynews.com/transport/hungarian-government-to-launch-green-bus-program/"/>
    <hyperlink ref="K354" r:id="rId40" display="https://magyarkozlony.hu/hivatalos-lapok/tMkTed9rU4L8GJ85RJmk5fe3ba8f5a9e6/dokumentumok/859e519d6c6249e6fb9f896bca0f5a928ddcb983/letoltes"/>
    <hyperlink ref="K360" r:id="rId41" display="https://www.palyazat.gov.hu/ginop-128-20-a-mikro-kis-s-kzpvllalkozsok-modern-zleti-s-termelsi-kihvsokhoz-val-alkalmazkodst-segt-fejlesztsek-tmogatsa-1"/>
    <hyperlink ref="K361" r:id="rId42" display="https://www.palyazat.gov.hu/vekop-126-20-a-mikro-kis-s-kzpvllalkozsok-modern-zleti-s-termelsi-kihvsokhoz-val-alkalmazkodst-segt-fejlesztsek-tmogatsa-1"/>
    <hyperlink ref="K362" r:id="rId43" display="https://www.palyazat.gov.hu/ginop-1214-20-divat-s-dizjnipari-mikro-kis-s-kzpvllalkozsok-modern-zleti-s-termelsi-kihvsokhoz-val-alkalmazkodst-segt-fejlesztsek-tmogatsa-1"/>
    <hyperlink ref="K363" r:id="rId44" display="https://www.palyazat.gov.hu/vekop-127-20-divat-s-dizjnipari-mikro-kis-s-kzpvllalkozsok-modern-zleti-s-termelsi-kihvsokhoz-val-alkalmazkodst-segt-fejlesztsek-tmogatsa-1"/>
    <hyperlink ref="K372" r:id="rId45" display="https://isif.ie/pandemic-stabilisation-and-recovery-fund"/>
    <hyperlink ref="L372" r:id="rId46" display="https://isif.ie/uploads/publications/PSRF-GUIDE-PUBLISHED.pdf"/>
    <hyperlink ref="K419" r:id="rId47" display="https://www5.cao.go.jp/keizai1/keizaitaisaku/2020-2/20201208_economic_measures.pdf"/>
    <hyperlink ref="L419" r:id="rId48" display="https://english.kyodonews.net/news/2020/12/8a909b0c27bb-urgent-japan-to-compile-73-tril-yen-new-stimulus-package.html"/>
    <hyperlink ref="K420" r:id="rId49" display="https://www.env.go.jp/saigai/novel_coronavirus_2020.html"/>
    <hyperlink ref="K421" r:id="rId50" display="https://eodashboard.org/"/>
    <hyperlink ref="K422" r:id="rId51" display="https://www.env.go.jp/guide/budget/r02/r02-hos_03-gaiyo/001.pd"/>
    <hyperlink ref="K423" r:id="rId52" display="https://www.meti.go.jp/english/press/2020/1225_001.html"/>
    <hyperlink ref="K424" r:id="rId53" display="https://www.env.go.jp/saigai/novel_coronavirus_2020.html"/>
    <hyperlink ref="K425" r:id="rId54" display="http://www.env.go.jp/guide/budget/r02/r0204-hos-gaiyo/full.pdf"/>
    <hyperlink ref="K426" r:id="rId55" display="http://www.jamstec.go.jp/tougou/eng/research/theme_d.html"/>
    <hyperlink ref="K427" r:id="rId56" display="https://www5.cao.go.jp/keizai1/keizaitaisaku/2020/20200420_economic_measures_all.pdf"/>
    <hyperlink ref="K428" r:id="rId57" display="https://www.env.go.jp/en/earth/cc/adaptation.html"/>
    <hyperlink ref="K442" r:id="rId58" display="https://asia.nikkei.com/Business/Transportation/Virus-hit-Korean-Air-and-Asiana-offered-2bn-bailout Accessed 7 July 2020"/>
    <hyperlink ref="K485" r:id="rId59" display="https://treasury.govt.nz/system/files/2020-05/b20-sum-initiatives-crrf.pdf"/>
    <hyperlink ref="K526" r:id="rId60" display="https://www.gov.pl/web/tarczaantykryzysowa/nowe-terminy "/>
    <hyperlink ref="L526" r:id="rId61" display="https://dziennikustaw.gov.pl/D2020000069501.pdf&#10;https://wyborcza.pl/7,155287,25821533,sa-juz-gotowe-projekty-ustaw-o-pomocy-pracownikom-i-firmom.html"/>
    <hyperlink ref="K536" r:id="rId62" display="www.ekodotacje.ios.edu.pl"/>
    <hyperlink ref="L537" r:id="rId63" display="https://www.rockefellerfoundation.org/report/city-resilience-framework/"/>
    <hyperlink ref="K542" r:id="rId64" display="www.nfosigw.gov.pl"/>
    <hyperlink ref="K543" r:id="rId65" display="https://www.gov.pl/web/klimat/ustawa-offshore-przyjeta-przez-senat"/>
    <hyperlink ref="K544" r:id="rId66" display="https://www.gov.pl/web/fundusze-regiony/konkurs-dotacji-w-ramach-partnerskiej-inicjatywy-miast-dla-sieci-pilotazowych-w-latach-2017--2019"/>
    <hyperlink ref="K640" r:id="rId67" display="https://www.swissinfo.ch/eng/sign-off-session_swiss-parliament-extends-coronavirus-relief-package/45737938"/>
    <hyperlink ref="K657" r:id="rId68" display="https://www.gov.uk/government/publications/the-ten-point-plan-for-a-green-industrial-revolution/title"/>
    <hyperlink ref="K664" r:id="rId69" display="https://www.gov.uk/government/publications/policy-design-of-the-uk-infrastructure-bank"/>
    <hyperlink ref="K666" r:id="rId70" display="https://assets.publishing.service.gov.uk/government/uploads/system/uploads/attachment_data/file/963166/Supplementary_Estimates_2020-21_web.pdf"/>
    <hyperlink ref="K668" r:id="rId71" display="https://www.gov.uk/government/news/735-million-to-boost-green-economic-recovery-in-automotive-sector"/>
    <hyperlink ref="K714" r:id="rId72" display="https://www.gov.uk/government/news/government-boosts-energy-efficiency-spending-to-13-billion-with-extra-funding-for-green-homes"/>
    <hyperlink ref="K715" r:id="rId73" display="https://assets.publishing.service.gov.uk/government/uploads/system/uploads/attachment_data/file/966868/BUDGET_2021_-_web.pdf"/>
    <hyperlink ref="K716" r:id="rId74" display="https://assets.publishing.service.gov.uk/government/uploads/system/uploads/attachment_data/file/966868/BUDGET_2021_-_web.pdf"/>
    <hyperlink ref="K717" r:id="rId75" display="https://assets.publishing.service.gov.uk/government/uploads/system/uploads/attachment_data/file/966868/BUDGET_2021_-_web.pdf"/>
    <hyperlink ref="K718" r:id="rId76" display="https://www.gov.uk/government/publications/green-homes-grant-local-authority-delivery-scheme-entering-a-bid"/>
    <hyperlink ref="K719" r:id="rId77" display="https://www.epa.gov/sites/production/files/2020-06/documents/covid19addendumontermination.pdf"/>
    <hyperlink ref="L719" r:id="rId78" display="https://www.epa.gov/sites/production/files/2020-06/documents/covid19addendumontermination.pdf"/>
    <hyperlink ref="K720" r:id="rId79" display="https://www.federalregister.gov/documents/2020/06/09/2020-12584/accelerating-the-nations-economic-recovery-from-the-covid-19-emergency-by-expediting-infrastructure"/>
    <hyperlink ref="K721" r:id="rId80" display="https://www.nytimes.com/2020/06/01/climate/trump-clean-water-pipelines.html?smid=tw-share"/>
    <hyperlink ref="L721" r:id="rId81" display="https://www.onegreenplanet.org/environment/21-states-sue-trump-administration-for-rollback-of-nepa/"/>
    <hyperlink ref="K722" r:id="rId82" display="https://www.whitehouse.gov/presidential-actions/executive-order-regulatory-relief-support-economic-recovery/"/>
    <hyperlink ref="K723" r:id="rId83" display="https://www.irs.gov/newsroom/treasury-irs-provide-safe-harbor-for-taxpayers-that-develop-renewable-energy-projects"/>
    <hyperlink ref="L723" r:id="rId84" display="https://www.renewableenergymagazine.com/wind/new-american-wind-power-total-capacity-over-20200817"/>
    <hyperlink ref="K724" r:id="rId85" display="https://www.energy.gov/articles/doe-announces-intent-provide-122m-establish-coal-products-innovation-centers"/>
    <hyperlink ref="K726" r:id="rId86" display="https://www.reuters.com/article/us-usa-energy-carboncapture/u-s-treasury-unveils-rules-for-carbon-capture-tax-credits-idUSKBN2352S6"/>
    <hyperlink ref="L726" r:id="rId87" display="https://www.cpapracticeadvisor.com/tax-compliance/news/21151392/what-does-irs-treasury-carbon-capture-tax-credit-guidance-mean-for-future-energy-production"/>
    <hyperlink ref="K727" r:id="rId88" display="https://www.reuters.com/article/us-usa-interior-renewables/trump-admin-slaps-solar-wind-operators-with-retroactive-rent-bills-idUSKBN22U0FW"/>
    <hyperlink ref="K728" r:id="rId89" display="https://www.dol.gov/newsroom/releases/eta/eta20200310"/>
    <hyperlink ref="K729" r:id="rId90" display="https://www.congress.gov/bill/116th-congress/senate-bill/3779"/>
    <hyperlink ref="K730" r:id="rId91" display="https://www.governor.ny.gov/news/governor-cuomo-announces-nation-leading-initiatives-expand-electric-vehicle-use-combat-climate"/>
    <hyperlink ref="K731" r:id="rId92" display="https://www.energy.ca.gov/news/2020-05/geothermal-lithium-recovery-projects-get-boost-california-energy-commission"/>
    <hyperlink ref="K732" r:id="rId93" display="https://news.bloombergtax.com/daily-tax-report/u-s-treasury-extends-deadlines-for-renewable-energy-projects"/>
    <hyperlink ref="K733" r:id="rId94" display="https://www.congress.gov/bill/116th-congress/senate-bill/3779"/>
    <hyperlink ref="K734" r:id="rId95" display="https://joebiden.com/BeyondHS/"/>
    <hyperlink ref="K735" r:id="rId96" display="https://www.vivideconomics.com/wp-content/uploads/2020/07/GreenStimulusIndex14July.pdf"/>
    <hyperlink ref="K736" r:id="rId97" display="https://www.ft.com/content/4d3d88c8-7eb6-4d06-bec0-c0ca8d91a045"/>
    <hyperlink ref="K738" r:id="rId98" display="https://www.bloomberg.com/news/articles/2020-04-15/u-s-weighs-paying-drillers-to-leave-oil-in-the-ground-amid-glut?sref=HeRxKWIM"/>
    <hyperlink ref="K739" r:id="rId99" display="https://oilprice.com/Energy/Crude-Oil/The-Cowboy-State-Looks-To-Stimulate-Oil-Drilling-With-Tax-Cuts.html"/>
    <hyperlink ref="K740" r:id="rId100" display="https://eplanning.blm.gov/public_projects/102555/200241580/20024135/250030339/Coastal%20Plain%20Record%20of%20Decision.pdf"/>
    <hyperlink ref="K741" r:id="rId101" display="https://www.legis.state.pa.us/cfdocs/billInfo/billInfo.cfm?sYear=2019&amp;sInd=0&amp;body=H&amp;type=B&amp;bn=732"/>
    <hyperlink ref="K763" r:id="rId102" display="https://agenciadenoticias.bndes.gov.br/detalhe/noticia/Fundo-para-eficiencia-energetica-do-BNDES-recebera-aporte-de-R$-30-milhoes-do-Procel/"/>
    <hyperlink ref="K764" r:id="rId103" display="https://www.gov.br/anp/pt-br/canais_atendimento/imprensa/noticias-comunicados/reducao-de-royalties-para-empresas-de-pequeno-e-medio-portes-e-tema-de-workshop-1"/>
    <hyperlink ref="K765" r:id="rId104" display="https://www.gov.br/casacivil/pt-br/assuntos/noticias/2020/junho/mais-luz-para-a-amazonia-manual-de-operacionalizacao-do-programa-e-aprovado"/>
    <hyperlink ref="L770" r:id="rId105" display="https://www.demarest.com.br/wp-content/uploads/2020/06/Boletim-Energia-Junho-2020-Demarest-Advogados_.pdf"/>
    <hyperlink ref="L773" r:id="rId106" display="https://www.iea.org/reports/sustainable-recovery/a-sustainable-recovery-plan-for-the-energy-sector "/>
    <hyperlink ref="L783" r:id="rId107" display="eb.archive.org/web/20200701115203/; http://www.mme.gov.br/web/guest/todas-as-noticias/-/asset_publisher/pdAS9IcdBICN/content/73-leilao-de-biodiesel-negocia-1-19-bilhao-de-litros?inheritRedirect=false&amp;redirect="/>
    <hyperlink ref="K790" r:id="rId108" display="https://www.gov.br/mma/pt-br/noticias/mma-institui-programa-floresta-para-remunerar-quem-protege-a-mata-nativa"/>
    <hyperlink ref="K791" r:id="rId109" display="https://www25.senado.leg.br/web/atividade/materias/-/materia/126049"/>
    <hyperlink ref="K792" r:id="rId110" display="http://www.planalto.gov.br/ccivil_03/_Ato2019-2022/2020/Lei/L14066.htm#art2 &#10;https://www12.senado.leg.br/noticias/materias/2020/10/01/brasil-tem-nova-lei-de-seguranca-de-barragens&#10;"/>
    <hyperlink ref="K793" r:id="rId111" location=":~:text=O%20presidente%20Jair%20Bolsonaro%20sancionou,em%20troca%20do%20bem%20preservado." display="https://www.camara.leg.br/noticias/721368-sancionada-lei-de-pagamento-por-servicos-ambientais/#:~:text=O%20presidente%20Jair%20Bolsonaro%20sancionou,em%20troca%20do%20bem%20preservado."/>
    <hyperlink ref="K794" r:id="rId112" display="https://www.euractiv.com/section/energy-environment/news/eu-does-not-exclude-funding-gas-highways-under-green-recovery-plan/"/>
    <hyperlink ref="K797" r:id="rId113" display="https://www.gov.br/casacivil/pt-br/assuntos/noticias/2020/outubro/decreto-institui-a-estrategia-federal-de-desenvolvimento-para-o-brasil-ate-2031"/>
    <hyperlink ref="K798" r:id="rId114" location=":~:text=PL%203729%2F2004%20Inteiro%20teor&amp;text=Dispõe%20sobre%20o%20licenciamento%20ambiental,Federal%2C%20e%20dá%20outras%20providências." display="https://www.camara.leg.br/proposicoesWeb/fichadetramitacao?idProposicao=257161#:~:text=PL%203729%2F2004%20Inteiro%20teor&amp;text=Disp%C3%B5e%20sobre%20o%20licenciamento%20ambiental,Federal%2C%20e%20d%C3%A1%20outras%20provid%C3%AAncias."/>
    <hyperlink ref="K799" r:id="rId115" display="https://www25.senado.leg.br/web/atividade/materias/-/materia/111929"/>
    <hyperlink ref="K829" r:id="rId116" display="https://www.ndrc.gov.cn/xxgk/zcfb/tz/202103/t20210304_1268929.html"/>
    <hyperlink ref="K843" r:id="rId117" display="https://pmg.org.za/committee-meeting/30523/"/>
    <hyperlink ref="L843" r:id="rId118" display="https://www.tralac.org/documents/news/3777-sustainable-infrastructure-development-symposium-south-africa-sidssa-23-june-2020/file.html"/>
    <hyperlink ref="L852" r:id="rId119" display="http://www.treasury.gov.za/comm_media/press/2020/20200423%20Media%20statement%20-%20Further%20tax%20measures%20to%20combat%20COVID-19.pdf ; "/>
    <hyperlink ref="K856" r:id="rId120" display="https://www.environment.gov.za/speech/sotyu_onlinesustainabilitysummit2020"/>
    <hyperlink ref="K857" r:id="rId121" display="https://www.environment.gov.za/speech/sotyu_onlinesustainabilitysummit2020"/>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22"/>
  <legacyDrawing r:id="rId12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2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31" activeCellId="1" sqref="J666 L31"/>
    </sheetView>
  </sheetViews>
  <sheetFormatPr defaultColWidth="8.515625" defaultRowHeight="12.5" zeroHeight="false" outlineLevelRow="0" outlineLevelCol="0"/>
  <cols>
    <col collapsed="false" customWidth="true" hidden="false" outlineLevel="0" max="2" min="2" style="0" width="23.91"/>
    <col collapsed="false" customWidth="true" hidden="false" outlineLevel="0" max="6" min="6" style="0" width="11.37"/>
    <col collapsed="false" customWidth="true" hidden="false" outlineLevel="0" max="14" min="13" style="0" width="9.46"/>
  </cols>
  <sheetData>
    <row r="1" customFormat="false" ht="13" hidden="false" customHeight="false" outlineLevel="0" collapsed="false">
      <c r="A1" s="186"/>
      <c r="B1" s="7"/>
      <c r="G1" s="187" t="s">
        <v>3130</v>
      </c>
      <c r="J1" s="0" t="s">
        <v>3131</v>
      </c>
      <c r="K1" s="0" t="s">
        <v>3132</v>
      </c>
      <c r="L1" s="0" t="s">
        <v>3133</v>
      </c>
      <c r="M1" s="0" t="s">
        <v>3134</v>
      </c>
      <c r="N1" s="0" t="s">
        <v>3135</v>
      </c>
    </row>
    <row r="2" customFormat="false" ht="12.5" hidden="false" customHeight="false" outlineLevel="0" collapsed="false">
      <c r="D2" s="188"/>
      <c r="J2" s="0" t="s">
        <v>57</v>
      </c>
      <c r="K2" s="0" t="s">
        <v>3136</v>
      </c>
      <c r="L2" s="0" t="s">
        <v>66</v>
      </c>
      <c r="M2" s="189" t="n">
        <v>1.43850696086884</v>
      </c>
      <c r="N2" s="189" t="n">
        <v>1.41438508033752</v>
      </c>
    </row>
    <row r="3" customFormat="false" ht="12.5" hidden="false" customHeight="false" outlineLevel="0" collapsed="false">
      <c r="B3" s="190"/>
      <c r="D3" s="191"/>
      <c r="J3" s="0" t="s">
        <v>231</v>
      </c>
      <c r="K3" s="0" t="s">
        <v>3137</v>
      </c>
      <c r="L3" s="0" t="s">
        <v>240</v>
      </c>
      <c r="M3" s="189" t="n">
        <v>0.89327597618103</v>
      </c>
      <c r="N3" s="189" t="n">
        <v>0.906890511512756</v>
      </c>
    </row>
    <row r="4" customFormat="false" ht="12.5" hidden="false" customHeight="false" outlineLevel="0" collapsed="false">
      <c r="D4" s="188"/>
      <c r="J4" s="0" t="s">
        <v>272</v>
      </c>
      <c r="K4" s="0" t="s">
        <v>3138</v>
      </c>
      <c r="L4" s="0" t="s">
        <v>240</v>
      </c>
      <c r="M4" s="189" t="n">
        <v>0.89327597618103</v>
      </c>
      <c r="N4" s="189" t="n">
        <v>0.906890511512756</v>
      </c>
    </row>
    <row r="5" customFormat="false" ht="12.5" hidden="false" customHeight="false" outlineLevel="0" collapsed="false">
      <c r="D5" s="188"/>
      <c r="J5" s="0" t="s">
        <v>322</v>
      </c>
      <c r="K5" s="0" t="s">
        <v>3139</v>
      </c>
      <c r="L5" s="0" t="s">
        <v>326</v>
      </c>
      <c r="M5" s="189" t="n">
        <v>1.32685399055481</v>
      </c>
      <c r="N5" s="189" t="n">
        <v>1.30981767177582</v>
      </c>
    </row>
    <row r="6" customFormat="false" ht="12.5" hidden="false" customHeight="false" outlineLevel="0" collapsed="false">
      <c r="D6" s="188"/>
      <c r="J6" s="0" t="s">
        <v>2353</v>
      </c>
      <c r="K6" s="0" t="s">
        <v>3140</v>
      </c>
      <c r="L6" s="0" t="s">
        <v>3141</v>
      </c>
      <c r="M6" s="189" t="n">
        <v>0.993840992450714</v>
      </c>
      <c r="N6" s="189" t="n">
        <v>1.0495491027832</v>
      </c>
    </row>
    <row r="7" customFormat="false" ht="12.5" hidden="false" customHeight="false" outlineLevel="0" collapsed="false">
      <c r="D7" s="188"/>
      <c r="J7" s="0" t="s">
        <v>638</v>
      </c>
      <c r="K7" s="0" t="s">
        <v>3142</v>
      </c>
      <c r="L7" s="0" t="s">
        <v>656</v>
      </c>
      <c r="M7" s="189" t="n">
        <v>702.897399902344</v>
      </c>
      <c r="N7" s="189" t="n">
        <v>622.558776855469</v>
      </c>
    </row>
    <row r="8" customFormat="false" ht="12.5" hidden="false" customHeight="false" outlineLevel="0" collapsed="false">
      <c r="D8" s="188"/>
      <c r="J8" s="0" t="s">
        <v>685</v>
      </c>
      <c r="K8" s="0" t="s">
        <v>3143</v>
      </c>
      <c r="L8" s="0" t="s">
        <v>702</v>
      </c>
      <c r="M8" s="189" t="n">
        <v>3280.83154296875</v>
      </c>
      <c r="N8" s="189" t="n">
        <v>2880.34448242187</v>
      </c>
    </row>
    <row r="9" customFormat="false" ht="12.5" hidden="false" customHeight="false" outlineLevel="0" collapsed="false">
      <c r="D9" s="188"/>
      <c r="J9" s="0" t="s">
        <v>745</v>
      </c>
      <c r="K9" s="0" t="s">
        <v>3144</v>
      </c>
      <c r="L9" s="0" t="s">
        <v>749</v>
      </c>
      <c r="M9" s="189" t="n">
        <v>22.9322490692139</v>
      </c>
      <c r="N9" s="189" t="n">
        <v>22.510705947876</v>
      </c>
    </row>
    <row r="10" customFormat="false" ht="12.5" hidden="false" customHeight="false" outlineLevel="0" collapsed="false">
      <c r="D10" s="188"/>
      <c r="J10" s="0" t="s">
        <v>1127</v>
      </c>
      <c r="K10" s="0" t="s">
        <v>3145</v>
      </c>
      <c r="L10" s="0" t="s">
        <v>240</v>
      </c>
      <c r="M10" s="189" t="n">
        <v>0.89327597618103</v>
      </c>
      <c r="N10" s="189" t="n">
        <v>0.906890511512756</v>
      </c>
    </row>
    <row r="11" customFormat="false" ht="12.5" hidden="false" customHeight="false" outlineLevel="0" collapsed="false">
      <c r="D11" s="188"/>
      <c r="J11" s="0" t="s">
        <v>756</v>
      </c>
      <c r="K11" s="0" t="s">
        <v>3146</v>
      </c>
      <c r="L11" s="0" t="s">
        <v>760</v>
      </c>
      <c r="M11" s="189" t="n">
        <v>6.66944694519043</v>
      </c>
      <c r="N11" s="189" t="n">
        <v>6.77768421173096</v>
      </c>
    </row>
    <row r="12" customFormat="false" ht="12.5" hidden="false" customHeight="false" outlineLevel="0" collapsed="false">
      <c r="D12" s="188"/>
      <c r="J12" s="0" t="s">
        <v>2206</v>
      </c>
      <c r="K12" s="0" t="s">
        <v>3147</v>
      </c>
      <c r="L12" s="0" t="s">
        <v>240</v>
      </c>
      <c r="M12" s="189" t="n">
        <v>0.89327597618103</v>
      </c>
      <c r="N12" s="189" t="n">
        <v>0.906890511512756</v>
      </c>
    </row>
    <row r="13" customFormat="false" ht="12.5" hidden="false" customHeight="false" outlineLevel="0" collapsed="false">
      <c r="D13" s="188"/>
      <c r="J13" s="0" t="s">
        <v>839</v>
      </c>
      <c r="K13" s="0" t="s">
        <v>3148</v>
      </c>
      <c r="L13" s="0" t="s">
        <v>240</v>
      </c>
      <c r="M13" s="189" t="n">
        <v>0.89327597618103</v>
      </c>
      <c r="N13" s="189" t="n">
        <v>0.906890511512756</v>
      </c>
    </row>
    <row r="14" customFormat="false" ht="12.5" hidden="false" customHeight="false" outlineLevel="0" collapsed="false">
      <c r="D14" s="188"/>
      <c r="J14" s="0" t="s">
        <v>930</v>
      </c>
      <c r="K14" s="0" t="s">
        <v>3149</v>
      </c>
      <c r="L14" s="0" t="s">
        <v>240</v>
      </c>
      <c r="M14" s="189" t="n">
        <v>0.89327597618103</v>
      </c>
      <c r="N14" s="189" t="n">
        <v>0.906890511512756</v>
      </c>
    </row>
    <row r="15" customFormat="false" ht="12.5" hidden="false" customHeight="false" outlineLevel="0" collapsed="false">
      <c r="D15" s="188"/>
      <c r="J15" s="0" t="s">
        <v>1020</v>
      </c>
      <c r="K15" s="0" t="s">
        <v>3150</v>
      </c>
      <c r="L15" s="0" t="s">
        <v>240</v>
      </c>
      <c r="M15" s="189" t="n">
        <v>0.89327597618103</v>
      </c>
      <c r="N15" s="189" t="n">
        <v>0.906890511512756</v>
      </c>
    </row>
    <row r="16" customFormat="false" ht="12.5" hidden="false" customHeight="false" outlineLevel="0" collapsed="false">
      <c r="D16" s="188"/>
      <c r="J16" s="0" t="s">
        <v>2423</v>
      </c>
      <c r="K16" s="0" t="s">
        <v>3151</v>
      </c>
      <c r="L16" s="0" t="s">
        <v>2427</v>
      </c>
      <c r="M16" s="189" t="n">
        <v>0.783445000648499</v>
      </c>
      <c r="N16" s="189" t="n">
        <v>0.784878492355347</v>
      </c>
    </row>
    <row r="17" customFormat="false" ht="12.5" hidden="false" customHeight="false" outlineLevel="0" collapsed="false">
      <c r="D17" s="188"/>
      <c r="J17" s="0" t="s">
        <v>1192</v>
      </c>
      <c r="K17" s="0" t="s">
        <v>3152</v>
      </c>
      <c r="L17" s="0" t="s">
        <v>240</v>
      </c>
      <c r="M17" s="189" t="n">
        <v>0.89327597618103</v>
      </c>
      <c r="N17" s="189" t="n">
        <v>0.906890511512756</v>
      </c>
    </row>
    <row r="18" customFormat="false" ht="12.5" hidden="false" customHeight="false" outlineLevel="0" collapsed="false">
      <c r="D18" s="188"/>
      <c r="J18" s="0" t="s">
        <v>1280</v>
      </c>
      <c r="K18" s="0" t="s">
        <v>3153</v>
      </c>
      <c r="L18" s="0" t="s">
        <v>1284</v>
      </c>
      <c r="M18" s="189" t="n">
        <v>290.660003662109</v>
      </c>
      <c r="N18" s="189" t="n">
        <v>272.606903076172</v>
      </c>
    </row>
    <row r="19" customFormat="false" ht="12.5" hidden="false" customHeight="false" outlineLevel="0" collapsed="false">
      <c r="D19" s="188"/>
      <c r="J19" s="0" t="s">
        <v>1418</v>
      </c>
      <c r="K19" s="0" t="s">
        <v>3154</v>
      </c>
      <c r="L19" s="0" t="s">
        <v>240</v>
      </c>
      <c r="M19" s="189" t="n">
        <v>0.89327597618103</v>
      </c>
      <c r="N19" s="189" t="n">
        <v>0.906890511512756</v>
      </c>
    </row>
    <row r="20" customFormat="false" ht="12.5" hidden="false" customHeight="false" outlineLevel="0" collapsed="false">
      <c r="D20" s="188"/>
      <c r="J20" s="0" t="s">
        <v>1393</v>
      </c>
      <c r="K20" s="0" t="s">
        <v>3155</v>
      </c>
      <c r="L20" s="0" t="s">
        <v>1400</v>
      </c>
      <c r="M20" s="189" t="n">
        <v>122.606773376465</v>
      </c>
      <c r="N20" s="189" t="n">
        <v>110.013572692871</v>
      </c>
    </row>
    <row r="21" customFormat="false" ht="12.5" hidden="false" customHeight="false" outlineLevel="0" collapsed="false">
      <c r="D21" s="188"/>
      <c r="J21" s="0" t="s">
        <v>1502</v>
      </c>
      <c r="K21" s="0" t="s">
        <v>3156</v>
      </c>
      <c r="L21" s="0" t="s">
        <v>1506</v>
      </c>
      <c r="M21" s="189" t="n">
        <v>3.56452703475952</v>
      </c>
      <c r="N21" s="189" t="n">
        <v>3.67140197753906</v>
      </c>
    </row>
    <row r="22" customFormat="false" ht="12.5" hidden="false" customHeight="false" outlineLevel="0" collapsed="false">
      <c r="D22" s="188"/>
      <c r="J22" s="0" t="s">
        <v>1531</v>
      </c>
      <c r="K22" s="0" t="s">
        <v>3157</v>
      </c>
      <c r="L22" s="0" t="s">
        <v>240</v>
      </c>
      <c r="M22" s="189" t="n">
        <v>0.89327597618103</v>
      </c>
      <c r="N22" s="189" t="n">
        <v>0.906890511512756</v>
      </c>
    </row>
    <row r="23" customFormat="false" ht="12.5" hidden="false" customHeight="false" outlineLevel="0" collapsed="false">
      <c r="D23" s="188"/>
      <c r="J23" s="0" t="s">
        <v>1587</v>
      </c>
      <c r="K23" s="0" t="s">
        <v>3158</v>
      </c>
      <c r="L23" s="0" t="s">
        <v>1592</v>
      </c>
      <c r="M23" s="189" t="n">
        <v>109.009666442871</v>
      </c>
      <c r="N23" s="189" t="n">
        <v>111.220710754395</v>
      </c>
    </row>
    <row r="24" customFormat="false" ht="12.5" hidden="false" customHeight="false" outlineLevel="0" collapsed="false">
      <c r="D24" s="188"/>
      <c r="J24" s="0" t="s">
        <v>1645</v>
      </c>
      <c r="K24" s="0" t="s">
        <v>3159</v>
      </c>
      <c r="L24" s="0" t="s">
        <v>1652</v>
      </c>
      <c r="M24" s="189" t="n">
        <v>1165.49890136719</v>
      </c>
      <c r="N24" s="189" t="n">
        <v>1146.26000976563</v>
      </c>
    </row>
    <row r="25" customFormat="false" ht="12.5" hidden="false" customHeight="false" outlineLevel="0" collapsed="false">
      <c r="D25" s="188"/>
      <c r="J25" s="0" t="s">
        <v>1703</v>
      </c>
      <c r="K25" s="0" t="s">
        <v>3160</v>
      </c>
      <c r="L25" s="0" t="s">
        <v>240</v>
      </c>
      <c r="M25" s="189" t="n">
        <v>0.89327597618103</v>
      </c>
      <c r="N25" s="189" t="n">
        <v>0.906890511512756</v>
      </c>
    </row>
    <row r="26" customFormat="false" ht="12.5" hidden="false" customHeight="false" outlineLevel="0" collapsed="false">
      <c r="D26" s="188"/>
      <c r="J26" s="0" t="s">
        <v>1719</v>
      </c>
      <c r="K26" s="0" t="s">
        <v>3161</v>
      </c>
      <c r="L26" s="0" t="s">
        <v>240</v>
      </c>
      <c r="M26" s="189" t="n">
        <v>0.89327597618103</v>
      </c>
      <c r="N26" s="189" t="n">
        <v>0.906890511512756</v>
      </c>
    </row>
    <row r="27" customFormat="false" ht="12.5" hidden="false" customHeight="false" outlineLevel="0" collapsed="false">
      <c r="D27" s="188"/>
      <c r="J27" s="0" t="s">
        <v>1691</v>
      </c>
      <c r="K27" s="0" t="s">
        <v>3162</v>
      </c>
      <c r="L27" s="0" t="s">
        <v>240</v>
      </c>
      <c r="M27" s="189" t="n">
        <v>0.89327597618103</v>
      </c>
      <c r="N27" s="189" t="n">
        <v>0.906890511512756</v>
      </c>
    </row>
    <row r="28" customFormat="false" ht="12.5" hidden="false" customHeight="false" outlineLevel="0" collapsed="false">
      <c r="D28" s="188"/>
      <c r="J28" s="0" t="s">
        <v>1754</v>
      </c>
      <c r="K28" s="0" t="s">
        <v>3163</v>
      </c>
      <c r="L28" s="0" t="s">
        <v>3164</v>
      </c>
      <c r="M28" s="189" t="n">
        <v>19.2636337280273</v>
      </c>
      <c r="N28" s="189" t="n">
        <v>17.2222442626953</v>
      </c>
    </row>
    <row r="29" customFormat="false" ht="12.5" hidden="false" customHeight="false" outlineLevel="0" collapsed="false">
      <c r="D29" s="188"/>
      <c r="J29" s="0" t="s">
        <v>1785</v>
      </c>
      <c r="K29" s="0" t="s">
        <v>3165</v>
      </c>
      <c r="L29" s="0" t="s">
        <v>240</v>
      </c>
      <c r="M29" s="189" t="n">
        <v>0.89327597618103</v>
      </c>
      <c r="N29" s="189" t="n">
        <v>0.906890511512756</v>
      </c>
    </row>
    <row r="30" customFormat="false" ht="12.5" hidden="false" customHeight="false" outlineLevel="0" collapsed="false">
      <c r="D30" s="188"/>
      <c r="J30" s="0" t="s">
        <v>1886</v>
      </c>
      <c r="K30" s="0" t="s">
        <v>3166</v>
      </c>
      <c r="L30" s="0" t="s">
        <v>1889</v>
      </c>
      <c r="M30" s="189" t="n">
        <v>8.80000019073486</v>
      </c>
      <c r="N30" s="189" t="n">
        <v>8.15642166137695</v>
      </c>
    </row>
    <row r="31" customFormat="false" ht="12.5" hidden="false" customHeight="false" outlineLevel="0" collapsed="false">
      <c r="D31" s="188"/>
      <c r="J31" s="0" t="s">
        <v>1814</v>
      </c>
      <c r="K31" s="0" t="s">
        <v>3167</v>
      </c>
      <c r="L31" s="0" t="s">
        <v>1818</v>
      </c>
      <c r="M31" s="189" t="n">
        <v>1.51787495613098</v>
      </c>
      <c r="N31" s="189" t="n">
        <v>1.48677265644074</v>
      </c>
    </row>
    <row r="32" customFormat="false" ht="12.5" hidden="false" customHeight="false" outlineLevel="0" collapsed="false">
      <c r="J32" s="0" t="s">
        <v>1967</v>
      </c>
      <c r="K32" s="0" t="s">
        <v>3168</v>
      </c>
      <c r="L32" s="0" t="s">
        <v>2007</v>
      </c>
      <c r="M32" s="189" t="n">
        <v>3.83937501907349</v>
      </c>
      <c r="N32" s="189" t="n">
        <v>3.75617933273315</v>
      </c>
    </row>
    <row r="33" customFormat="false" ht="12.5" hidden="false" customHeight="false" outlineLevel="0" collapsed="false">
      <c r="J33" s="0" t="s">
        <v>2050</v>
      </c>
      <c r="K33" s="0" t="s">
        <v>3169</v>
      </c>
      <c r="L33" s="0" t="s">
        <v>240</v>
      </c>
      <c r="M33" s="189" t="n">
        <v>0.89327597618103</v>
      </c>
      <c r="N33" s="189" t="n">
        <v>0.906890511512756</v>
      </c>
    </row>
    <row r="34" customFormat="false" ht="12.5" hidden="false" customHeight="false" outlineLevel="0" collapsed="false">
      <c r="J34" s="0" t="s">
        <v>2145</v>
      </c>
      <c r="K34" s="0" t="s">
        <v>3170</v>
      </c>
      <c r="L34" s="0" t="s">
        <v>240</v>
      </c>
      <c r="M34" s="189" t="n">
        <v>0.89327597618103</v>
      </c>
      <c r="N34" s="189" t="n">
        <v>0.906890511512756</v>
      </c>
    </row>
    <row r="35" customFormat="false" ht="12.5" hidden="false" customHeight="false" outlineLevel="0" collapsed="false">
      <c r="J35" s="0" t="s">
        <v>2199</v>
      </c>
      <c r="K35" s="0" t="s">
        <v>3171</v>
      </c>
      <c r="L35" s="0" t="s">
        <v>240</v>
      </c>
      <c r="M35" s="189" t="n">
        <v>0.89327597618103</v>
      </c>
      <c r="N35" s="189" t="n">
        <v>0.906890511512756</v>
      </c>
    </row>
    <row r="36" customFormat="false" ht="12.5" hidden="false" customHeight="false" outlineLevel="0" collapsed="false">
      <c r="J36" s="0" t="s">
        <v>2292</v>
      </c>
      <c r="K36" s="0" t="s">
        <v>3172</v>
      </c>
      <c r="L36" s="0" t="s">
        <v>2297</v>
      </c>
      <c r="M36" s="189" t="n">
        <v>9.45834922790527</v>
      </c>
      <c r="N36" s="189" t="n">
        <v>9.66104030609131</v>
      </c>
    </row>
    <row r="37" customFormat="false" ht="12.5" hidden="false" customHeight="false" outlineLevel="0" collapsed="false">
      <c r="J37" s="0" t="s">
        <v>2404</v>
      </c>
      <c r="K37" s="0" t="s">
        <v>3173</v>
      </c>
      <c r="L37" s="0" t="s">
        <v>3174</v>
      </c>
      <c r="M37" s="189" t="n">
        <v>5.67381906509399</v>
      </c>
      <c r="N37" s="189" t="n">
        <v>4.57300615310669</v>
      </c>
    </row>
    <row r="38" customFormat="false" ht="12.5" hidden="false" customHeight="false" outlineLevel="0" collapsed="false">
      <c r="J38" s="0" t="s">
        <v>2714</v>
      </c>
      <c r="K38" s="0" t="s">
        <v>3175</v>
      </c>
      <c r="L38" s="0" t="s">
        <v>643</v>
      </c>
      <c r="M38" s="189" t="n">
        <v>1</v>
      </c>
      <c r="N38" s="189" t="n">
        <v>1</v>
      </c>
    </row>
    <row r="39" customFormat="false" ht="13" hidden="false" customHeight="false" outlineLevel="0" collapsed="false">
      <c r="J39" s="0" t="s">
        <v>2735</v>
      </c>
      <c r="K39" s="0" t="s">
        <v>3176</v>
      </c>
      <c r="L39" s="0" t="s">
        <v>3177</v>
      </c>
      <c r="M39" s="189" t="n">
        <v>587.294616699219</v>
      </c>
      <c r="N39" s="192" t="n">
        <f aca="false">M39</f>
        <v>587.294616699219</v>
      </c>
    </row>
    <row r="40" customFormat="false" ht="12.5" hidden="false" customHeight="false" outlineLevel="0" collapsed="false">
      <c r="J40" s="0" t="s">
        <v>2764</v>
      </c>
      <c r="K40" s="0" t="s">
        <v>3178</v>
      </c>
      <c r="L40" s="0" t="s">
        <v>2798</v>
      </c>
      <c r="M40" s="189" t="n">
        <v>3.9273419380188</v>
      </c>
      <c r="N40" s="189" t="n">
        <v>2.98998212814331</v>
      </c>
    </row>
    <row r="41" customFormat="false" ht="12.5" hidden="false" customHeight="false" outlineLevel="0" collapsed="false">
      <c r="J41" s="0" t="s">
        <v>2933</v>
      </c>
      <c r="K41" s="0" t="s">
        <v>3179</v>
      </c>
      <c r="L41" s="0" t="s">
        <v>3016</v>
      </c>
      <c r="M41" s="189" t="n">
        <v>6.90838479995728</v>
      </c>
      <c r="N41" s="189" t="n">
        <v>6.89850759506226</v>
      </c>
    </row>
    <row r="42" customFormat="false" ht="12.5" hidden="false" customHeight="false" outlineLevel="0" collapsed="false">
      <c r="J42" s="0" t="s">
        <v>3018</v>
      </c>
      <c r="K42" s="0" t="s">
        <v>3180</v>
      </c>
      <c r="L42" s="0" t="s">
        <v>3023</v>
      </c>
      <c r="M42" s="189" t="n">
        <v>70.4199676513672</v>
      </c>
      <c r="N42" s="189" t="n">
        <v>66.8607711791992</v>
      </c>
    </row>
    <row r="43" customFormat="false" ht="12.5" hidden="false" customHeight="false" outlineLevel="0" collapsed="false">
      <c r="J43" s="0" t="s">
        <v>3057</v>
      </c>
      <c r="K43" s="0" t="s">
        <v>3181</v>
      </c>
      <c r="L43" s="0" t="s">
        <v>3061</v>
      </c>
      <c r="M43" s="189" t="n">
        <v>14147.6708984375</v>
      </c>
      <c r="N43" s="189" t="n">
        <v>13659.6005859375</v>
      </c>
    </row>
    <row r="44" customFormat="false" ht="12.5" hidden="false" customHeight="false" outlineLevel="0" collapsed="false">
      <c r="J44" s="0" t="s">
        <v>3182</v>
      </c>
      <c r="K44" s="0" t="s">
        <v>3183</v>
      </c>
      <c r="L44" s="0" t="s">
        <v>3184</v>
      </c>
      <c r="M44" s="189" t="n">
        <v>64.7376556396484</v>
      </c>
      <c r="N44" s="189" t="n">
        <v>57.6037368774414</v>
      </c>
    </row>
    <row r="45" customFormat="false" ht="12.5" hidden="false" customHeight="false" outlineLevel="0" collapsed="false">
      <c r="J45" s="0" t="s">
        <v>3067</v>
      </c>
      <c r="K45" s="0" t="s">
        <v>3185</v>
      </c>
      <c r="L45" s="0" t="s">
        <v>3071</v>
      </c>
      <c r="M45" s="189" t="n">
        <v>14.4484272003174</v>
      </c>
      <c r="N45" s="189" t="n">
        <v>12.6108703613281</v>
      </c>
    </row>
    <row r="46" customFormat="false" ht="12.5" hidden="false" customHeight="false" outlineLevel="0" collapsed="false">
      <c r="J46" s="0" t="s">
        <v>3186</v>
      </c>
      <c r="K46" s="0" t="s">
        <v>3187</v>
      </c>
      <c r="L46" s="0" t="s">
        <v>3188</v>
      </c>
      <c r="M46" s="189" t="n">
        <v>48.147891998291</v>
      </c>
      <c r="N46" s="189" t="n">
        <v>32.531078338623</v>
      </c>
    </row>
    <row r="47" customFormat="false" ht="12.5" hidden="false" customHeight="false" outlineLevel="0" collapsed="false">
      <c r="M47" s="189"/>
      <c r="N47" s="189"/>
    </row>
    <row r="48" customFormat="false" ht="12.5" hidden="false" customHeight="false" outlineLevel="0" collapsed="false">
      <c r="M48" s="189"/>
      <c r="N48" s="189"/>
    </row>
    <row r="49" customFormat="false" ht="12.5" hidden="false" customHeight="false" outlineLevel="0" collapsed="false">
      <c r="M49" s="189"/>
      <c r="N49" s="189"/>
    </row>
    <row r="50" customFormat="false" ht="12.5" hidden="false" customHeight="false" outlineLevel="0" collapsed="false">
      <c r="M50" s="189"/>
      <c r="N50" s="189"/>
    </row>
    <row r="51" customFormat="false" ht="12.5" hidden="false" customHeight="false" outlineLevel="0" collapsed="false">
      <c r="M51" s="189"/>
      <c r="N51" s="189"/>
    </row>
    <row r="52" customFormat="false" ht="12.5" hidden="false" customHeight="false" outlineLevel="0" collapsed="false">
      <c r="M52" s="189"/>
      <c r="N52" s="189"/>
    </row>
    <row r="53" customFormat="false" ht="12.5" hidden="false" customHeight="false" outlineLevel="0" collapsed="false">
      <c r="M53" s="189"/>
      <c r="N53" s="189"/>
    </row>
    <row r="54" customFormat="false" ht="12.5" hidden="false" customHeight="false" outlineLevel="0" collapsed="false">
      <c r="M54" s="189"/>
      <c r="N54" s="189"/>
    </row>
    <row r="55" customFormat="false" ht="12.5" hidden="false" customHeight="false" outlineLevel="0" collapsed="false">
      <c r="M55" s="189"/>
      <c r="N55" s="189"/>
    </row>
    <row r="56" customFormat="false" ht="12.5" hidden="false" customHeight="false" outlineLevel="0" collapsed="false">
      <c r="M56" s="189"/>
      <c r="N56" s="189"/>
    </row>
    <row r="57" customFormat="false" ht="12.5" hidden="false" customHeight="false" outlineLevel="0" collapsed="false">
      <c r="M57" s="189"/>
      <c r="N57" s="189"/>
    </row>
    <row r="58" customFormat="false" ht="12.5" hidden="false" customHeight="false" outlineLevel="0" collapsed="false">
      <c r="M58" s="189"/>
      <c r="N58" s="189"/>
    </row>
    <row r="59" customFormat="false" ht="12.5" hidden="false" customHeight="false" outlineLevel="0" collapsed="false">
      <c r="M59" s="189"/>
      <c r="N59" s="189"/>
    </row>
    <row r="60" customFormat="false" ht="12.5" hidden="false" customHeight="false" outlineLevel="0" collapsed="false">
      <c r="M60" s="189"/>
      <c r="N60" s="189"/>
    </row>
    <row r="61" customFormat="false" ht="12.5" hidden="false" customHeight="false" outlineLevel="0" collapsed="false">
      <c r="M61" s="189"/>
      <c r="N61" s="189"/>
    </row>
    <row r="62" customFormat="false" ht="12.5" hidden="false" customHeight="false" outlineLevel="0" collapsed="false">
      <c r="M62" s="189"/>
      <c r="N62" s="189"/>
    </row>
    <row r="63" customFormat="false" ht="12.5" hidden="false" customHeight="false" outlineLevel="0" collapsed="false">
      <c r="M63" s="189"/>
      <c r="N63" s="189"/>
    </row>
    <row r="64" customFormat="false" ht="12.5" hidden="false" customHeight="false" outlineLevel="0" collapsed="false">
      <c r="M64" s="189"/>
      <c r="N64" s="189"/>
    </row>
    <row r="65" customFormat="false" ht="12.5" hidden="false" customHeight="false" outlineLevel="0" collapsed="false">
      <c r="M65" s="189"/>
      <c r="N65" s="189"/>
    </row>
    <row r="66" customFormat="false" ht="12.5" hidden="false" customHeight="false" outlineLevel="0" collapsed="false">
      <c r="M66" s="189"/>
      <c r="N66" s="189"/>
    </row>
    <row r="67" customFormat="false" ht="12.5" hidden="false" customHeight="false" outlineLevel="0" collapsed="false">
      <c r="M67" s="189"/>
      <c r="N67" s="189"/>
    </row>
    <row r="68" customFormat="false" ht="12.5" hidden="false" customHeight="false" outlineLevel="0" collapsed="false">
      <c r="M68" s="189"/>
      <c r="N68" s="189"/>
    </row>
    <row r="69" customFormat="false" ht="12.5" hidden="false" customHeight="false" outlineLevel="0" collapsed="false">
      <c r="M69" s="189"/>
      <c r="N69" s="189"/>
    </row>
    <row r="70" customFormat="false" ht="12.5" hidden="false" customHeight="false" outlineLevel="0" collapsed="false">
      <c r="M70" s="189"/>
      <c r="N70" s="189"/>
    </row>
    <row r="71" customFormat="false" ht="12.5" hidden="false" customHeight="false" outlineLevel="0" collapsed="false">
      <c r="M71" s="189"/>
      <c r="N71" s="189"/>
    </row>
    <row r="72" customFormat="false" ht="12.5" hidden="false" customHeight="false" outlineLevel="0" collapsed="false">
      <c r="M72" s="189"/>
      <c r="N72" s="189"/>
    </row>
    <row r="73" customFormat="false" ht="12.5" hidden="false" customHeight="false" outlineLevel="0" collapsed="false">
      <c r="M73" s="189"/>
      <c r="N73" s="189"/>
    </row>
    <row r="74" customFormat="false" ht="12.5" hidden="false" customHeight="false" outlineLevel="0" collapsed="false">
      <c r="M74" s="189"/>
      <c r="N74" s="189"/>
    </row>
    <row r="75" customFormat="false" ht="12.5" hidden="false" customHeight="false" outlineLevel="0" collapsed="false">
      <c r="M75" s="189"/>
      <c r="N75" s="189"/>
    </row>
    <row r="76" customFormat="false" ht="12.5" hidden="false" customHeight="false" outlineLevel="0" collapsed="false">
      <c r="M76" s="189"/>
      <c r="N76" s="189"/>
    </row>
    <row r="77" customFormat="false" ht="12.5" hidden="false" customHeight="false" outlineLevel="0" collapsed="false">
      <c r="M77" s="189"/>
      <c r="N77" s="189"/>
    </row>
    <row r="78" customFormat="false" ht="12.5" hidden="false" customHeight="false" outlineLevel="0" collapsed="false">
      <c r="M78" s="189"/>
      <c r="N78" s="189"/>
    </row>
    <row r="79" customFormat="false" ht="12.5" hidden="false" customHeight="false" outlineLevel="0" collapsed="false">
      <c r="M79" s="189"/>
      <c r="N79" s="189"/>
    </row>
    <row r="80" customFormat="false" ht="12.5" hidden="false" customHeight="false" outlineLevel="0" collapsed="false">
      <c r="M80" s="189"/>
      <c r="N80" s="189"/>
    </row>
    <row r="81" customFormat="false" ht="12.5" hidden="false" customHeight="false" outlineLevel="0" collapsed="false">
      <c r="M81" s="189"/>
      <c r="N81" s="189"/>
    </row>
    <row r="82" customFormat="false" ht="12.5" hidden="false" customHeight="false" outlineLevel="0" collapsed="false">
      <c r="M82" s="189"/>
      <c r="N82" s="189"/>
    </row>
    <row r="83" customFormat="false" ht="12.5" hidden="false" customHeight="false" outlineLevel="0" collapsed="false">
      <c r="M83" s="189"/>
      <c r="N83" s="189"/>
    </row>
    <row r="84" customFormat="false" ht="12.5" hidden="false" customHeight="false" outlineLevel="0" collapsed="false">
      <c r="M84" s="189"/>
      <c r="N84" s="189"/>
    </row>
    <row r="85" customFormat="false" ht="12.5" hidden="false" customHeight="false" outlineLevel="0" collapsed="false">
      <c r="M85" s="189"/>
      <c r="N85" s="189"/>
    </row>
    <row r="86" customFormat="false" ht="12.5" hidden="false" customHeight="false" outlineLevel="0" collapsed="false">
      <c r="M86" s="189"/>
      <c r="N86" s="189"/>
    </row>
    <row r="87" customFormat="false" ht="12.5" hidden="false" customHeight="false" outlineLevel="0" collapsed="false">
      <c r="M87" s="189"/>
      <c r="N87" s="189"/>
    </row>
    <row r="88" customFormat="false" ht="12.5" hidden="false" customHeight="false" outlineLevel="0" collapsed="false">
      <c r="M88" s="189"/>
      <c r="N88" s="189"/>
    </row>
    <row r="89" customFormat="false" ht="12.5" hidden="false" customHeight="false" outlineLevel="0" collapsed="false">
      <c r="M89" s="189"/>
      <c r="N89" s="189"/>
    </row>
    <row r="90" customFormat="false" ht="12.5" hidden="false" customHeight="false" outlineLevel="0" collapsed="false">
      <c r="M90" s="189"/>
      <c r="N90" s="189"/>
    </row>
    <row r="91" customFormat="false" ht="12.5" hidden="false" customHeight="false" outlineLevel="0" collapsed="false">
      <c r="M91" s="189"/>
      <c r="N91" s="189"/>
    </row>
    <row r="92" customFormat="false" ht="12.5" hidden="false" customHeight="false" outlineLevel="0" collapsed="false">
      <c r="M92" s="189"/>
      <c r="N92" s="189"/>
    </row>
    <row r="93" customFormat="false" ht="12.5" hidden="false" customHeight="false" outlineLevel="0" collapsed="false">
      <c r="M93" s="189"/>
      <c r="N93" s="189"/>
    </row>
    <row r="94" customFormat="false" ht="12.5" hidden="false" customHeight="false" outlineLevel="0" collapsed="false">
      <c r="M94" s="189"/>
      <c r="N94" s="189"/>
    </row>
    <row r="95" customFormat="false" ht="12.5" hidden="false" customHeight="false" outlineLevel="0" collapsed="false">
      <c r="M95" s="189"/>
      <c r="N95" s="189"/>
    </row>
    <row r="96" customFormat="false" ht="12.5" hidden="false" customHeight="false" outlineLevel="0" collapsed="false">
      <c r="M96" s="189"/>
      <c r="N96" s="189"/>
    </row>
    <row r="97" customFormat="false" ht="12.5" hidden="false" customHeight="false" outlineLevel="0" collapsed="false">
      <c r="M97" s="189"/>
      <c r="N97" s="189"/>
    </row>
    <row r="98" customFormat="false" ht="12.5" hidden="false" customHeight="false" outlineLevel="0" collapsed="false">
      <c r="M98" s="189"/>
      <c r="N98" s="189"/>
    </row>
    <row r="99" customFormat="false" ht="12.5" hidden="false" customHeight="false" outlineLevel="0" collapsed="false">
      <c r="M99" s="189"/>
      <c r="N99" s="189"/>
    </row>
    <row r="100" customFormat="false" ht="12.5" hidden="false" customHeight="false" outlineLevel="0" collapsed="false">
      <c r="M100" s="189"/>
      <c r="N100" s="189"/>
    </row>
    <row r="101" customFormat="false" ht="12.5" hidden="false" customHeight="false" outlineLevel="0" collapsed="false">
      <c r="M101" s="189"/>
      <c r="N101" s="189"/>
    </row>
    <row r="102" customFormat="false" ht="12.5" hidden="false" customHeight="false" outlineLevel="0" collapsed="false">
      <c r="M102" s="189"/>
      <c r="N102" s="189"/>
    </row>
    <row r="103" customFormat="false" ht="12.5" hidden="false" customHeight="false" outlineLevel="0" collapsed="false">
      <c r="M103" s="189"/>
      <c r="N103" s="189"/>
    </row>
    <row r="104" customFormat="false" ht="12.5" hidden="false" customHeight="false" outlineLevel="0" collapsed="false">
      <c r="M104" s="189"/>
      <c r="N104" s="189"/>
    </row>
    <row r="105" customFormat="false" ht="12.5" hidden="false" customHeight="false" outlineLevel="0" collapsed="false">
      <c r="M105" s="189"/>
      <c r="N105" s="189"/>
    </row>
    <row r="106" customFormat="false" ht="12.5" hidden="false" customHeight="false" outlineLevel="0" collapsed="false">
      <c r="M106" s="189"/>
      <c r="N106" s="189"/>
    </row>
    <row r="107" customFormat="false" ht="12.5" hidden="false" customHeight="false" outlineLevel="0" collapsed="false">
      <c r="M107" s="189"/>
      <c r="N107" s="189"/>
    </row>
    <row r="108" customFormat="false" ht="12.5" hidden="false" customHeight="false" outlineLevel="0" collapsed="false">
      <c r="M108" s="189"/>
      <c r="N108" s="189"/>
    </row>
    <row r="109" customFormat="false" ht="12.5" hidden="false" customHeight="false" outlineLevel="0" collapsed="false">
      <c r="M109" s="189"/>
      <c r="N109" s="189"/>
    </row>
    <row r="110" customFormat="false" ht="12.5" hidden="false" customHeight="false" outlineLevel="0" collapsed="false">
      <c r="M110" s="189"/>
      <c r="N110" s="189"/>
    </row>
    <row r="111" customFormat="false" ht="12.5" hidden="false" customHeight="false" outlineLevel="0" collapsed="false">
      <c r="M111" s="189"/>
      <c r="N111" s="189"/>
    </row>
    <row r="112" customFormat="false" ht="12.5" hidden="false" customHeight="false" outlineLevel="0" collapsed="false">
      <c r="M112" s="189"/>
      <c r="N112" s="189"/>
    </row>
    <row r="113" customFormat="false" ht="12.5" hidden="false" customHeight="false" outlineLevel="0" collapsed="false">
      <c r="M113" s="189"/>
      <c r="N113" s="189"/>
    </row>
    <row r="114" customFormat="false" ht="12.5" hidden="false" customHeight="false" outlineLevel="0" collapsed="false">
      <c r="M114" s="189"/>
      <c r="N114" s="189"/>
    </row>
    <row r="115" customFormat="false" ht="12.5" hidden="false" customHeight="false" outlineLevel="0" collapsed="false">
      <c r="M115" s="189"/>
      <c r="N115" s="189"/>
    </row>
    <row r="116" customFormat="false" ht="12.5" hidden="false" customHeight="false" outlineLevel="0" collapsed="false">
      <c r="M116" s="189"/>
      <c r="N116" s="189"/>
    </row>
    <row r="117" customFormat="false" ht="12.5" hidden="false" customHeight="false" outlineLevel="0" collapsed="false">
      <c r="M117" s="189"/>
      <c r="N117" s="189"/>
    </row>
    <row r="118" customFormat="false" ht="12.5" hidden="false" customHeight="false" outlineLevel="0" collapsed="false">
      <c r="M118" s="189"/>
      <c r="N118" s="189"/>
    </row>
    <row r="119" customFormat="false" ht="12.5" hidden="false" customHeight="false" outlineLevel="0" collapsed="false">
      <c r="M119" s="189"/>
      <c r="N119" s="189"/>
    </row>
    <row r="120" customFormat="false" ht="12.5" hidden="false" customHeight="false" outlineLevel="0" collapsed="false">
      <c r="M120" s="189"/>
      <c r="N120" s="189"/>
    </row>
    <row r="121" customFormat="false" ht="12.5" hidden="false" customHeight="false" outlineLevel="0" collapsed="false">
      <c r="M121" s="189"/>
      <c r="N121" s="189"/>
    </row>
    <row r="122" customFormat="false" ht="12.5" hidden="false" customHeight="false" outlineLevel="0" collapsed="false">
      <c r="M122" s="189"/>
      <c r="N122" s="189"/>
    </row>
    <row r="123" customFormat="false" ht="12.5" hidden="false" customHeight="false" outlineLevel="0" collapsed="false">
      <c r="M123" s="189"/>
      <c r="N123" s="189"/>
    </row>
    <row r="124" customFormat="false" ht="12.5" hidden="false" customHeight="false" outlineLevel="0" collapsed="false">
      <c r="M124" s="189"/>
      <c r="N124" s="189"/>
    </row>
    <row r="125" customFormat="false" ht="12.5" hidden="false" customHeight="false" outlineLevel="0" collapsed="false">
      <c r="M125" s="189"/>
      <c r="N125" s="189"/>
    </row>
    <row r="126" customFormat="false" ht="12.5" hidden="false" customHeight="false" outlineLevel="0" collapsed="false">
      <c r="M126" s="189"/>
      <c r="N126" s="189"/>
    </row>
    <row r="127" customFormat="false" ht="12.5" hidden="false" customHeight="false" outlineLevel="0" collapsed="false">
      <c r="M127" s="189"/>
      <c r="N127" s="189"/>
    </row>
    <row r="128" customFormat="false" ht="12.5" hidden="false" customHeight="false" outlineLevel="0" collapsed="false">
      <c r="M128" s="189"/>
      <c r="N128" s="189"/>
    </row>
    <row r="129" customFormat="false" ht="12.5" hidden="false" customHeight="false" outlineLevel="0" collapsed="false">
      <c r="M129" s="189"/>
      <c r="N129" s="189"/>
    </row>
    <row r="130" customFormat="false" ht="12.5" hidden="false" customHeight="false" outlineLevel="0" collapsed="false">
      <c r="M130" s="189"/>
      <c r="N130" s="189"/>
    </row>
    <row r="131" customFormat="false" ht="12.5" hidden="false" customHeight="false" outlineLevel="0" collapsed="false">
      <c r="M131" s="189"/>
      <c r="N131" s="189"/>
    </row>
    <row r="132" customFormat="false" ht="12.5" hidden="false" customHeight="false" outlineLevel="0" collapsed="false">
      <c r="M132" s="189"/>
      <c r="N132" s="189"/>
    </row>
    <row r="133" customFormat="false" ht="12.5" hidden="false" customHeight="false" outlineLevel="0" collapsed="false">
      <c r="M133" s="189"/>
      <c r="N133" s="189"/>
    </row>
    <row r="134" customFormat="false" ht="12.5" hidden="false" customHeight="false" outlineLevel="0" collapsed="false">
      <c r="M134" s="189"/>
      <c r="N134" s="189"/>
    </row>
    <row r="135" customFormat="false" ht="12.5" hidden="false" customHeight="false" outlineLevel="0" collapsed="false">
      <c r="M135" s="189"/>
      <c r="N135" s="189"/>
    </row>
    <row r="136" customFormat="false" ht="12.5" hidden="false" customHeight="false" outlineLevel="0" collapsed="false">
      <c r="M136" s="189"/>
      <c r="N136" s="189"/>
    </row>
    <row r="137" customFormat="false" ht="12.5" hidden="false" customHeight="false" outlineLevel="0" collapsed="false">
      <c r="M137" s="189"/>
      <c r="N137" s="189"/>
    </row>
    <row r="138" customFormat="false" ht="12.5" hidden="false" customHeight="false" outlineLevel="0" collapsed="false">
      <c r="M138" s="189"/>
      <c r="N138" s="189"/>
    </row>
    <row r="139" customFormat="false" ht="12.5" hidden="false" customHeight="false" outlineLevel="0" collapsed="false">
      <c r="M139" s="189"/>
      <c r="N139" s="189"/>
    </row>
    <row r="140" customFormat="false" ht="12.5" hidden="false" customHeight="false" outlineLevel="0" collapsed="false">
      <c r="M140" s="189"/>
      <c r="N140" s="189"/>
    </row>
    <row r="141" customFormat="false" ht="12.5" hidden="false" customHeight="false" outlineLevel="0" collapsed="false">
      <c r="M141" s="189"/>
      <c r="N141" s="189"/>
    </row>
    <row r="142" customFormat="false" ht="12.5" hidden="false" customHeight="false" outlineLevel="0" collapsed="false">
      <c r="M142" s="189"/>
      <c r="N142" s="189"/>
    </row>
    <row r="143" customFormat="false" ht="12.5" hidden="false" customHeight="false" outlineLevel="0" collapsed="false">
      <c r="M143" s="189"/>
      <c r="N143" s="189"/>
    </row>
    <row r="144" customFormat="false" ht="12.5" hidden="false" customHeight="false" outlineLevel="0" collapsed="false">
      <c r="M144" s="189"/>
      <c r="N144" s="189"/>
    </row>
    <row r="145" customFormat="false" ht="12.5" hidden="false" customHeight="false" outlineLevel="0" collapsed="false">
      <c r="M145" s="189"/>
      <c r="N145" s="189"/>
    </row>
    <row r="146" customFormat="false" ht="12.5" hidden="false" customHeight="false" outlineLevel="0" collapsed="false">
      <c r="M146" s="189"/>
      <c r="N146" s="189"/>
    </row>
    <row r="147" customFormat="false" ht="12.5" hidden="false" customHeight="false" outlineLevel="0" collapsed="false">
      <c r="M147" s="189"/>
      <c r="N147" s="189"/>
    </row>
    <row r="148" customFormat="false" ht="12.5" hidden="false" customHeight="false" outlineLevel="0" collapsed="false">
      <c r="M148" s="189"/>
      <c r="N148" s="189"/>
    </row>
    <row r="149" customFormat="false" ht="12.5" hidden="false" customHeight="false" outlineLevel="0" collapsed="false">
      <c r="M149" s="189"/>
      <c r="N149" s="189"/>
    </row>
    <row r="150" customFormat="false" ht="12.5" hidden="false" customHeight="false" outlineLevel="0" collapsed="false">
      <c r="M150" s="189"/>
      <c r="N150" s="189"/>
    </row>
    <row r="151" customFormat="false" ht="12.5" hidden="false" customHeight="false" outlineLevel="0" collapsed="false">
      <c r="M151" s="189"/>
      <c r="N151" s="189"/>
    </row>
    <row r="152" customFormat="false" ht="12.5" hidden="false" customHeight="false" outlineLevel="0" collapsed="false">
      <c r="M152" s="189"/>
      <c r="N152" s="189"/>
    </row>
    <row r="153" customFormat="false" ht="12.5" hidden="false" customHeight="false" outlineLevel="0" collapsed="false">
      <c r="M153" s="189"/>
      <c r="N153" s="189"/>
    </row>
    <row r="154" customFormat="false" ht="12.5" hidden="false" customHeight="false" outlineLevel="0" collapsed="false">
      <c r="M154" s="189"/>
      <c r="N154" s="189"/>
    </row>
    <row r="155" customFormat="false" ht="12.5" hidden="false" customHeight="false" outlineLevel="0" collapsed="false">
      <c r="M155" s="189"/>
      <c r="N155" s="189"/>
    </row>
    <row r="156" customFormat="false" ht="12.5" hidden="false" customHeight="false" outlineLevel="0" collapsed="false">
      <c r="M156" s="189"/>
      <c r="N156" s="189"/>
    </row>
    <row r="157" customFormat="false" ht="12.5" hidden="false" customHeight="false" outlineLevel="0" collapsed="false">
      <c r="M157" s="189"/>
      <c r="N157" s="189"/>
    </row>
    <row r="158" customFormat="false" ht="12.5" hidden="false" customHeight="false" outlineLevel="0" collapsed="false">
      <c r="M158" s="189"/>
      <c r="N158" s="189"/>
    </row>
    <row r="159" customFormat="false" ht="12.5" hidden="false" customHeight="false" outlineLevel="0" collapsed="false">
      <c r="M159" s="189"/>
      <c r="N159" s="189"/>
    </row>
    <row r="160" customFormat="false" ht="12.5" hidden="false" customHeight="false" outlineLevel="0" collapsed="false">
      <c r="M160" s="189"/>
      <c r="N160" s="189"/>
    </row>
    <row r="161" customFormat="false" ht="12.5" hidden="false" customHeight="false" outlineLevel="0" collapsed="false">
      <c r="M161" s="189"/>
      <c r="N161" s="189"/>
    </row>
    <row r="162" customFormat="false" ht="12.5" hidden="false" customHeight="false" outlineLevel="0" collapsed="false">
      <c r="M162" s="189"/>
      <c r="N162" s="189"/>
    </row>
    <row r="163" customFormat="false" ht="12.5" hidden="false" customHeight="false" outlineLevel="0" collapsed="false">
      <c r="M163" s="189"/>
      <c r="N163" s="189"/>
    </row>
    <row r="164" customFormat="false" ht="12.5" hidden="false" customHeight="false" outlineLevel="0" collapsed="false">
      <c r="M164" s="189"/>
      <c r="N164" s="189"/>
    </row>
    <row r="165" customFormat="false" ht="12.5" hidden="false" customHeight="false" outlineLevel="0" collapsed="false">
      <c r="M165" s="189"/>
      <c r="N165" s="189"/>
    </row>
    <row r="166" customFormat="false" ht="12.5" hidden="false" customHeight="false" outlineLevel="0" collapsed="false">
      <c r="M166" s="189"/>
      <c r="N166" s="189"/>
    </row>
    <row r="167" customFormat="false" ht="12.5" hidden="false" customHeight="false" outlineLevel="0" collapsed="false">
      <c r="M167" s="189"/>
      <c r="N167" s="189"/>
    </row>
    <row r="168" customFormat="false" ht="12.5" hidden="false" customHeight="false" outlineLevel="0" collapsed="false">
      <c r="M168" s="189"/>
      <c r="N168" s="189"/>
    </row>
    <row r="169" customFormat="false" ht="12.5" hidden="false" customHeight="false" outlineLevel="0" collapsed="false">
      <c r="M169" s="189"/>
      <c r="N169" s="189"/>
    </row>
    <row r="170" customFormat="false" ht="12.5" hidden="false" customHeight="false" outlineLevel="0" collapsed="false">
      <c r="M170" s="189"/>
      <c r="N170" s="189"/>
    </row>
    <row r="171" customFormat="false" ht="12.5" hidden="false" customHeight="false" outlineLevel="0" collapsed="false">
      <c r="M171" s="189"/>
      <c r="N171" s="189"/>
    </row>
    <row r="172" customFormat="false" ht="12.5" hidden="false" customHeight="false" outlineLevel="0" collapsed="false">
      <c r="M172" s="189"/>
      <c r="N172" s="189"/>
    </row>
    <row r="173" customFormat="false" ht="12.5" hidden="false" customHeight="false" outlineLevel="0" collapsed="false">
      <c r="M173" s="189"/>
      <c r="N173" s="189"/>
    </row>
    <row r="174" customFormat="false" ht="12.5" hidden="false" customHeight="false" outlineLevel="0" collapsed="false">
      <c r="M174" s="189"/>
      <c r="N174" s="189"/>
    </row>
    <row r="175" customFormat="false" ht="12.5" hidden="false" customHeight="false" outlineLevel="0" collapsed="false">
      <c r="M175" s="189"/>
      <c r="N175" s="189"/>
    </row>
    <row r="176" customFormat="false" ht="12.5" hidden="false" customHeight="false" outlineLevel="0" collapsed="false">
      <c r="M176" s="189"/>
      <c r="N176" s="189"/>
    </row>
    <row r="177" customFormat="false" ht="12.5" hidden="false" customHeight="false" outlineLevel="0" collapsed="false">
      <c r="M177" s="189"/>
      <c r="N177" s="189"/>
    </row>
    <row r="178" customFormat="false" ht="12.5" hidden="false" customHeight="false" outlineLevel="0" collapsed="false">
      <c r="M178" s="189"/>
      <c r="N178" s="189"/>
    </row>
    <row r="179" customFormat="false" ht="12.5" hidden="false" customHeight="false" outlineLevel="0" collapsed="false">
      <c r="M179" s="189"/>
      <c r="N179" s="189"/>
    </row>
    <row r="180" customFormat="false" ht="12.5" hidden="false" customHeight="false" outlineLevel="0" collapsed="false">
      <c r="M180" s="189"/>
      <c r="N180" s="189"/>
    </row>
    <row r="181" customFormat="false" ht="12.5" hidden="false" customHeight="false" outlineLevel="0" collapsed="false">
      <c r="M181" s="189"/>
      <c r="N181" s="189"/>
    </row>
    <row r="182" customFormat="false" ht="12.5" hidden="false" customHeight="false" outlineLevel="0" collapsed="false">
      <c r="M182" s="189"/>
      <c r="N182" s="189"/>
    </row>
    <row r="183" customFormat="false" ht="12.5" hidden="false" customHeight="false" outlineLevel="0" collapsed="false">
      <c r="M183" s="189"/>
      <c r="N183" s="189"/>
    </row>
    <row r="184" customFormat="false" ht="12.5" hidden="false" customHeight="false" outlineLevel="0" collapsed="false">
      <c r="M184" s="189"/>
      <c r="N184" s="189"/>
    </row>
    <row r="185" customFormat="false" ht="12.5" hidden="false" customHeight="false" outlineLevel="0" collapsed="false">
      <c r="M185" s="189"/>
      <c r="N185" s="189"/>
    </row>
    <row r="186" customFormat="false" ht="12.5" hidden="false" customHeight="false" outlineLevel="0" collapsed="false">
      <c r="M186" s="189"/>
      <c r="N186" s="189"/>
    </row>
    <row r="187" customFormat="false" ht="12.5" hidden="false" customHeight="false" outlineLevel="0" collapsed="false">
      <c r="M187" s="189"/>
      <c r="N187" s="189"/>
    </row>
    <row r="188" customFormat="false" ht="12.5" hidden="false" customHeight="false" outlineLevel="0" collapsed="false">
      <c r="M188" s="189"/>
      <c r="N188" s="189"/>
    </row>
    <row r="189" customFormat="false" ht="12.5" hidden="false" customHeight="false" outlineLevel="0" collapsed="false">
      <c r="M189" s="189"/>
      <c r="N189" s="189"/>
    </row>
    <row r="190" customFormat="false" ht="12.5" hidden="false" customHeight="false" outlineLevel="0" collapsed="false">
      <c r="M190" s="189"/>
      <c r="N190" s="189"/>
    </row>
    <row r="191" customFormat="false" ht="12.5" hidden="false" customHeight="false" outlineLevel="0" collapsed="false">
      <c r="M191" s="189"/>
      <c r="N191" s="189"/>
    </row>
    <row r="192" customFormat="false" ht="12.5" hidden="false" customHeight="false" outlineLevel="0" collapsed="false">
      <c r="M192" s="189"/>
      <c r="N192" s="189"/>
    </row>
    <row r="193" customFormat="false" ht="12.5" hidden="false" customHeight="false" outlineLevel="0" collapsed="false">
      <c r="M193" s="189"/>
      <c r="N193" s="189"/>
    </row>
    <row r="194" customFormat="false" ht="12.5" hidden="false" customHeight="false" outlineLevel="0" collapsed="false">
      <c r="M194" s="189"/>
      <c r="N194" s="189"/>
    </row>
    <row r="195" customFormat="false" ht="12.5" hidden="false" customHeight="false" outlineLevel="0" collapsed="false">
      <c r="M195" s="189"/>
      <c r="N195" s="189"/>
    </row>
    <row r="196" customFormat="false" ht="12.5" hidden="false" customHeight="false" outlineLevel="0" collapsed="false">
      <c r="M196" s="189"/>
      <c r="N196" s="189"/>
    </row>
    <row r="197" customFormat="false" ht="12.5" hidden="false" customHeight="false" outlineLevel="0" collapsed="false">
      <c r="M197" s="189"/>
      <c r="N197" s="189"/>
    </row>
    <row r="198" customFormat="false" ht="12.5" hidden="false" customHeight="false" outlineLevel="0" collapsed="false">
      <c r="M198" s="189"/>
      <c r="N198" s="189"/>
    </row>
    <row r="199" customFormat="false" ht="12.5" hidden="false" customHeight="false" outlineLevel="0" collapsed="false">
      <c r="M199" s="189"/>
      <c r="N199" s="189"/>
    </row>
    <row r="200" customFormat="false" ht="12.5" hidden="false" customHeight="false" outlineLevel="0" collapsed="false">
      <c r="M200" s="189"/>
      <c r="N200" s="189"/>
    </row>
    <row r="201" customFormat="false" ht="12.5" hidden="false" customHeight="false" outlineLevel="0" collapsed="false">
      <c r="M201" s="189"/>
      <c r="N201" s="189"/>
    </row>
    <row r="202" customFormat="false" ht="12.5" hidden="false" customHeight="false" outlineLevel="0" collapsed="false">
      <c r="M202" s="189"/>
      <c r="N202" s="189"/>
    </row>
    <row r="203" customFormat="false" ht="12.5" hidden="false" customHeight="false" outlineLevel="0" collapsed="false">
      <c r="M203" s="189"/>
      <c r="N203" s="189"/>
    </row>
    <row r="204" customFormat="false" ht="12.5" hidden="false" customHeight="false" outlineLevel="0" collapsed="false">
      <c r="M204" s="189"/>
      <c r="N204" s="189"/>
    </row>
    <row r="205" customFormat="false" ht="12.5" hidden="false" customHeight="false" outlineLevel="0" collapsed="false">
      <c r="M205" s="189"/>
      <c r="N205" s="189"/>
    </row>
    <row r="206" customFormat="false" ht="12.5" hidden="false" customHeight="false" outlineLevel="0" collapsed="false">
      <c r="M206" s="189"/>
      <c r="N206" s="189"/>
    </row>
    <row r="207" customFormat="false" ht="12.5" hidden="false" customHeight="false" outlineLevel="0" collapsed="false">
      <c r="M207" s="189"/>
      <c r="N207" s="189"/>
    </row>
    <row r="208" customFormat="false" ht="12.5" hidden="false" customHeight="false" outlineLevel="0" collapsed="false">
      <c r="M208" s="189"/>
      <c r="N208" s="189"/>
    </row>
    <row r="209" customFormat="false" ht="12.5" hidden="false" customHeight="false" outlineLevel="0" collapsed="false">
      <c r="M209" s="189"/>
      <c r="N209" s="189"/>
    </row>
    <row r="210" customFormat="false" ht="12.5" hidden="false" customHeight="false" outlineLevel="0" collapsed="false">
      <c r="M210" s="189"/>
      <c r="N210" s="189"/>
    </row>
    <row r="211" customFormat="false" ht="12.5" hidden="false" customHeight="false" outlineLevel="0" collapsed="false">
      <c r="M211" s="189"/>
      <c r="N211" s="189"/>
    </row>
    <row r="212" customFormat="false" ht="12.5" hidden="false" customHeight="false" outlineLevel="0" collapsed="false">
      <c r="M212" s="189"/>
      <c r="N212" s="189"/>
    </row>
    <row r="213" customFormat="false" ht="12.5" hidden="false" customHeight="false" outlineLevel="0" collapsed="false">
      <c r="M213" s="189"/>
      <c r="N213" s="189"/>
    </row>
    <row r="214" customFormat="false" ht="12.5" hidden="false" customHeight="false" outlineLevel="0" collapsed="false">
      <c r="M214" s="189"/>
      <c r="N214" s="189"/>
    </row>
    <row r="215" customFormat="false" ht="12.5" hidden="false" customHeight="false" outlineLevel="0" collapsed="false">
      <c r="M215" s="189"/>
      <c r="N215" s="189"/>
    </row>
    <row r="216" customFormat="false" ht="12.5" hidden="false" customHeight="false" outlineLevel="0" collapsed="false">
      <c r="M216" s="189"/>
      <c r="N216" s="189"/>
    </row>
    <row r="217" customFormat="false" ht="12.5" hidden="false" customHeight="false" outlineLevel="0" collapsed="false">
      <c r="M217" s="189"/>
      <c r="N217" s="189"/>
    </row>
    <row r="218" customFormat="false" ht="12.5" hidden="false" customHeight="false" outlineLevel="0" collapsed="false">
      <c r="M218" s="189"/>
      <c r="N218" s="189"/>
    </row>
    <row r="219" customFormat="false" ht="12.5" hidden="false" customHeight="false" outlineLevel="0" collapsed="false">
      <c r="M219" s="189"/>
      <c r="N219" s="189"/>
    </row>
    <row r="220" customFormat="false" ht="12.5" hidden="false" customHeight="false" outlineLevel="0" collapsed="false">
      <c r="M220" s="189"/>
      <c r="N220" s="189"/>
    </row>
    <row r="221" customFormat="false" ht="12.5" hidden="false" customHeight="false" outlineLevel="0" collapsed="false">
      <c r="M221" s="189"/>
      <c r="N221" s="189"/>
    </row>
    <row r="222" customFormat="false" ht="12.5" hidden="false" customHeight="false" outlineLevel="0" collapsed="false">
      <c r="M222" s="189"/>
      <c r="N222" s="189"/>
    </row>
    <row r="223" customFormat="false" ht="12.5" hidden="false" customHeight="false" outlineLevel="0" collapsed="false">
      <c r="M223" s="189"/>
      <c r="N223" s="189"/>
    </row>
    <row r="224" customFormat="false" ht="12.5" hidden="false" customHeight="false" outlineLevel="0" collapsed="false">
      <c r="M224" s="189"/>
      <c r="N224" s="189"/>
    </row>
    <row r="225" customFormat="false" ht="12.5" hidden="false" customHeight="false" outlineLevel="0" collapsed="false">
      <c r="M225" s="189"/>
      <c r="N225" s="189"/>
    </row>
    <row r="226" customFormat="false" ht="12.5" hidden="false" customHeight="false" outlineLevel="0" collapsed="false">
      <c r="M226" s="189"/>
      <c r="N226" s="189"/>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N4" activeCellId="1" sqref="J666 N4"/>
    </sheetView>
  </sheetViews>
  <sheetFormatPr defaultColWidth="8.515625" defaultRowHeight="12.5" zeroHeight="false" outlineLevelRow="0" outlineLevelCol="0"/>
  <cols>
    <col collapsed="false" customWidth="true" hidden="false" outlineLevel="0" max="1" min="1" style="4" width="9.09"/>
    <col collapsed="false" customWidth="true" hidden="false" outlineLevel="0" max="3" min="3" style="4" width="20.45"/>
    <col collapsed="false" customWidth="true" hidden="false" outlineLevel="0" max="5" min="5" style="4" width="9.09"/>
    <col collapsed="false" customWidth="true" hidden="false" outlineLevel="0" max="8" min="8" style="4" width="9.09"/>
    <col collapsed="false" customWidth="true" hidden="false" outlineLevel="0" max="12" min="12" style="4" width="10.99"/>
    <col collapsed="false" customWidth="true" hidden="false" outlineLevel="0" max="14" min="14" style="193" width="25.91"/>
  </cols>
  <sheetData>
    <row r="1" s="193" customFormat="true" ht="13" hidden="false" customHeight="false" outlineLevel="0" collapsed="false">
      <c r="A1" s="194" t="s">
        <v>11</v>
      </c>
      <c r="C1" s="194" t="s">
        <v>3189</v>
      </c>
      <c r="E1" s="194" t="s">
        <v>14</v>
      </c>
      <c r="H1" s="194" t="s">
        <v>17</v>
      </c>
      <c r="J1" s="195" t="s">
        <v>3190</v>
      </c>
      <c r="L1" s="194" t="s">
        <v>3191</v>
      </c>
      <c r="N1" s="195" t="s">
        <v>3192</v>
      </c>
    </row>
    <row r="2" customFormat="false" ht="12.5" hidden="false" customHeight="false" outlineLevel="0" collapsed="false">
      <c r="A2" s="59" t="s">
        <v>3193</v>
      </c>
      <c r="C2" s="59" t="s">
        <v>138</v>
      </c>
      <c r="E2" s="59" t="s">
        <v>59</v>
      </c>
      <c r="H2" s="59" t="s">
        <v>95</v>
      </c>
      <c r="J2" s="3" t="s">
        <v>3194</v>
      </c>
      <c r="L2" s="59" t="s">
        <v>3195</v>
      </c>
      <c r="N2" s="193" t="s">
        <v>70</v>
      </c>
    </row>
    <row r="3" customFormat="false" ht="12.5" hidden="false" customHeight="false" outlineLevel="0" collapsed="false">
      <c r="A3" s="59" t="s">
        <v>2793</v>
      </c>
      <c r="C3" s="59" t="s">
        <v>58</v>
      </c>
      <c r="E3" s="59" t="s">
        <v>80</v>
      </c>
      <c r="H3" s="59" t="s">
        <v>233</v>
      </c>
      <c r="J3" s="3" t="s">
        <v>3196</v>
      </c>
      <c r="L3" s="59" t="s">
        <v>110</v>
      </c>
      <c r="N3" s="193" t="s">
        <v>113</v>
      </c>
    </row>
    <row r="4" customFormat="false" ht="12.5" hidden="false" customHeight="false" outlineLevel="0" collapsed="false">
      <c r="A4" s="59" t="s">
        <v>3197</v>
      </c>
      <c r="C4" s="59" t="s">
        <v>122</v>
      </c>
      <c r="E4" s="59" t="s">
        <v>108</v>
      </c>
      <c r="H4" s="59" t="s">
        <v>3198</v>
      </c>
      <c r="J4" s="3" t="s">
        <v>1979</v>
      </c>
      <c r="L4" s="59" t="s">
        <v>77</v>
      </c>
      <c r="N4" s="193" t="s">
        <v>65</v>
      </c>
    </row>
    <row r="5" customFormat="false" ht="12.5" hidden="false" customHeight="false" outlineLevel="0" collapsed="false">
      <c r="A5" s="196"/>
      <c r="C5" s="59" t="s">
        <v>232</v>
      </c>
      <c r="E5" s="4" t="s">
        <v>115</v>
      </c>
      <c r="H5" s="196" t="s">
        <v>123</v>
      </c>
      <c r="L5" s="59" t="s">
        <v>97</v>
      </c>
      <c r="N5" s="193" t="s">
        <v>93</v>
      </c>
    </row>
    <row r="6" customFormat="false" ht="12.5" hidden="false" customHeight="false" outlineLevel="0" collapsed="false">
      <c r="A6" s="196"/>
      <c r="C6" s="196" t="s">
        <v>176</v>
      </c>
      <c r="H6" s="59" t="s">
        <v>90</v>
      </c>
      <c r="L6" s="59" t="s">
        <v>105</v>
      </c>
    </row>
    <row r="7" customFormat="false" ht="12.5" hidden="false" customHeight="false" outlineLevel="0" collapsed="false">
      <c r="A7" s="196"/>
      <c r="C7" s="59" t="s">
        <v>249</v>
      </c>
      <c r="H7" s="59" t="s">
        <v>116</v>
      </c>
      <c r="L7" s="59" t="s">
        <v>96</v>
      </c>
    </row>
    <row r="8" customFormat="false" ht="12.5" hidden="false" customHeight="false" outlineLevel="0" collapsed="false">
      <c r="A8" s="197"/>
      <c r="H8" s="59" t="s">
        <v>60</v>
      </c>
      <c r="L8" s="59" t="s">
        <v>812</v>
      </c>
    </row>
    <row r="9" customFormat="false" ht="12.5" hidden="false" customHeight="false" outlineLevel="0" collapsed="false">
      <c r="H9" s="4" t="s">
        <v>263</v>
      </c>
      <c r="L9" s="196" t="s">
        <v>158</v>
      </c>
    </row>
    <row r="10" customFormat="false" ht="12.5" hidden="false" customHeight="false" outlineLevel="0" collapsed="false">
      <c r="H10" s="59" t="s">
        <v>997</v>
      </c>
    </row>
    <row r="11" customFormat="false" ht="12.5" hidden="false" customHeight="false" outlineLevel="0" collapsed="false">
      <c r="H11" s="59" t="s">
        <v>149</v>
      </c>
      <c r="L11" s="59"/>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_rels/item5.xml.rels><?xml version="1.0" encoding="UTF-8"?>
<Relationships xmlns="http://schemas.openxmlformats.org/package/2006/relationships"><Relationship Id="rId1" Type="http://schemas.openxmlformats.org/officeDocument/2006/relationships/customXmlProps" Target="itemProps5.xml"/>
</Relationships>
</file>

<file path=customXml/_rels/item6.xml.rels><?xml version="1.0" encoding="UTF-8"?>
<Relationships xmlns="http://schemas.openxmlformats.org/package/2006/relationships"><Relationship Id="rId1" Type="http://schemas.openxmlformats.org/officeDocument/2006/relationships/customXmlProps" Target="itemProps6.xml"/>
</Relationships>
</file>

<file path=customXml/item1.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643</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TermName>2.3.1 Environmental Peer Reviews, Indicators and Outlooks</TermName>
          <TermId>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124</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CALDER Jennifer, ENV/CBW</DisplayName>
        <AccountId>264</AccountId>
        <AccountType/>
      </UserInfo>
      <UserInfo>
        <DisplayName>MIRABILE Mariana, ENV/CBW</DisplayName>
        <AccountId>1061</AccountId>
        <AccountType/>
      </UserInfo>
      <UserInfo>
        <DisplayName>RÖTTGERS Dirk, ENV/CBW</DisplayName>
        <AccountId>1083</AccountId>
        <AccountType/>
      </UserInfo>
      <UserInfo>
        <DisplayName>BOYD Rodney, ENV/CBW</DisplayName>
        <AccountId>1883</AccountId>
        <AccountType/>
      </UserInfo>
      <UserInfo>
        <DisplayName>DEL BOURGO Beth, ENV</DisplayName>
        <AccountId>643</AccountId>
        <AccountType/>
      </UserInfo>
      <UserInfo>
        <DisplayName>DANIELSON Lisa, ENV/CBW</DisplayName>
        <AccountId>2085</AccountId>
        <AccountType/>
      </UserInfo>
      <UserInfo>
        <DisplayName>AL TAHER CUCCI Sama, ENV/CBW</DisplayName>
        <AccountId>68</AccountId>
        <AccountType/>
      </UserInfo>
      <UserInfo>
        <DisplayName>HALEVA Dominique, ENV/CBW</DisplayName>
        <AccountId>941</AccountId>
        <AccountType/>
      </UserInfo>
      <UserInfo>
        <DisplayName>PERRY Edward, ENV/CBW</DisplayName>
        <AccountId>2250</AccountId>
        <AccountType/>
      </UserInfo>
      <UserInfo>
        <DisplayName>KOOKA Kate, ENV</DisplayName>
        <AccountId>2181</AccountId>
        <AccountType/>
      </UserInfo>
      <UserInfo>
        <DisplayName>HERRICK Douglas, ENV/GGGR</DisplayName>
        <AccountId>2299</AccountId>
        <AccountType/>
      </UserInfo>
      <UserInfo>
        <DisplayName>MARCHAL Virginie, ENV/GGGR</DisplayName>
        <AccountId>152</AccountId>
        <AccountType/>
      </UserInfo>
      <UserInfo>
        <DisplayName>SYMES Will, TAD/ARP</DisplayName>
        <AccountId>2341</AccountId>
        <AccountType/>
      </UserInfo>
      <UserInfo>
        <DisplayName>ANDERSON Brilé, ENV/CBW</DisplayName>
        <AccountId>2060</AccountId>
        <AccountType/>
      </UserInfo>
      <UserInfo>
        <DisplayName>AGUILAR JABER Aimee, ENV/CBW</DisplayName>
        <AccountId>2495</AccountId>
        <AccountType/>
      </UserInfo>
      <UserInfo>
        <DisplayName>LAGARDE Zoe, ENV</DisplayName>
        <AccountId>2673</AccountId>
        <AccountType/>
      </UserInfo>
      <UserInfo>
        <DisplayName>LAMHAUGE Nicolina, ENV/CBW</DisplayName>
        <AccountId>203</AccountId>
        <AccountType/>
      </UserInfo>
      <UserInfo>
        <DisplayName>GARRETT Justine, ENV/EPI</DisplayName>
        <AccountId>657</AccountId>
        <AccountType/>
      </UserInfo>
      <UserInfo>
        <DisplayName>MARTINI Mireille, ENV/CBW</DisplayName>
        <AccountId>2844</AccountId>
        <AccountType/>
      </UserInfo>
      <UserInfo>
        <DisplayName>LECKIE Hannah, ENV/CBW</DisplayName>
        <AccountId>832</AccountId>
        <AccountType/>
      </UserInfo>
      <UserInfo>
        <DisplayName>KAROUSAKIS Katia, ENV/CBW</DisplayName>
        <AccountId>355</AccountId>
        <AccountType/>
      </UserInfo>
      <UserInfo>
        <DisplayName>BUZZI Elena, ENV/EEI</DisplayName>
        <AccountId>3475</AccountId>
        <AccountType/>
      </UserInfo>
    </OECDProjectMembers>
    <OECDAllRelatedUsers xmlns="e36e4070-fdd8-494c-ae17-1a8cf14e7707">
      <UserInfo>
        <DisplayName/>
        <AccountId xsi:nil="true"/>
        <AccountType/>
      </UserInfo>
    </OECDAllRelatedUsers>
    <OECDCommunityDocumentID xmlns="7348197b-4e95-41c6-b270-341eaa4cbbb2" xsi:nil="true"/>
    <IconOverlay xmlns="http://schemas.microsoft.com/sharepoint/v4" xsi:nil="true"/>
    <OECDCommunityDocumentURL xmlns="7348197b-4e95-41c6-b270-341eaa4cbbb2" xsi:nil="true"/>
    <DocumentSetDescription xmlns="http://schemas.microsoft.com/sharepoint/v3" xsi:nil="true"/>
    <OECDYear xmlns="54c4cd27-f286-408f-9ce0-33c1e0f3ab39" xsi:nil="true"/>
    <eShareHorizProjTaxHTField0 xmlns="e36e4070-fdd8-494c-ae17-1a8cf14e7707" xsi:nil="true"/>
    <OECDSharingStatus xmlns="7348197b-4e95-41c6-b270-341eaa4cbbb2" xsi:nil="true"/>
  </documentManagement>
</p:properties>
</file>

<file path=customXml/item2.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3.xml><?xml version="1.0" encoding="utf-8"?>
<ct:contentTypeSchema xmlns:ct="http://schemas.microsoft.com/office/2006/metadata/contentType" xmlns:ma="http://schemas.microsoft.com/office/2006/metadata/properties/metaAttributes" ct:_="" ma:_="" ma:contentTypeName="Working Document" ma:contentTypeID="0x0101008B4DD370EC31429186F3AD49F0D3098F00D44DBCB9EB4F45278CB5C9765BE5299500A4858B360C6A491AA753F8BCA47AA91000D6712DEE41081B4DBBA433D0B03F813E" ma:contentTypeVersion="194" ma:contentTypeDescription="" ma:contentTypeScope="" ma:versionID="df98214cff47e272742fec03c8fc3ad0">
  <xsd:schema xmlns:xsd="http://www.w3.org/2001/XMLSchema" xmlns:xs="http://www.w3.org/2001/XMLSchema" xmlns:p="http://schemas.microsoft.com/office/2006/metadata/properties" xmlns:ns1="http://schemas.microsoft.com/sharepoint/v3" xmlns:ns2="54c4cd27-f286-408f-9ce0-33c1e0f3ab39" xmlns:ns3="e36e4070-fdd8-494c-ae17-1a8cf14e7707" xmlns:ns4="ca82dde9-3436-4d3d-bddd-d31447390034" xmlns:ns5="7348197b-4e95-41c6-b270-341eaa4cbbb2" xmlns:ns6="c9f238dd-bb73-4aef-a7a5-d644ad823e52" xmlns:ns7="http://schemas.microsoft.com/sharepoint/v4" targetNamespace="http://schemas.microsoft.com/office/2006/metadata/properties" ma:root="true" ma:fieldsID="1c4691378bc955129995c1675e126a92" ns1:_="" ns2:_="" ns3:_="" ns4:_="" ns5:_="" ns6:_="" ns7:_="">
    <xsd:import namespace="http://schemas.microsoft.com/sharepoint/v3"/>
    <xsd:import namespace="54c4cd27-f286-408f-9ce0-33c1e0f3ab39"/>
    <xsd:import namespace="e36e4070-fdd8-494c-ae17-1a8cf14e7707"/>
    <xsd:import namespace="ca82dde9-3436-4d3d-bddd-d31447390034"/>
    <xsd:import namespace="7348197b-4e95-41c6-b270-341eaa4cbbb2"/>
    <xsd:import namespace="c9f238dd-bb73-4aef-a7a5-d644ad823e52"/>
    <xsd:import namespace="http://schemas.microsoft.com/sharepoint/v4"/>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5:OECDTagsCache" minOccurs="0"/>
                <xsd:element ref="ns3:_dlc_DocIdUrl" minOccurs="0"/>
                <xsd:element ref="ns6:eShareCountryTaxHTField0" minOccurs="0"/>
                <xsd:element ref="ns6:eShareTopicTaxHTField0" minOccurs="0"/>
                <xsd:element ref="ns6:eShareKeywordsTaxHTField0" minOccurs="0"/>
                <xsd:element ref="ns6:eShareCommitteeTaxHTField0" minOccurs="0"/>
                <xsd:element ref="ns6:eSharePWBTaxHTField0" minOccurs="0"/>
                <xsd:element ref="ns5:Project_x003a_Project_x0020_status" minOccurs="0"/>
                <xsd:element ref="ns3:_dlc_DocIdPersistId" minOccurs="0"/>
                <xsd:element ref="ns2:OECDKimBussinessContext" minOccurs="0"/>
                <xsd:element ref="ns4:TaxCatchAll" minOccurs="0"/>
                <xsd:element ref="ns2:OECDKimProvenance" minOccurs="0"/>
                <xsd:element ref="ns3:_dlc_DocId" minOccurs="0"/>
                <xsd:element ref="ns7:IconOverlay" minOccurs="0"/>
                <xsd:element ref="ns5:n8655da54a064da182923cf6cbb46907" minOccurs="0"/>
                <xsd:element ref="ns4:TaxCatchAllLabel" minOccurs="0"/>
                <xsd:element ref="ns3:g1cb84c392954f02b97ef964d7fd5f94" minOccurs="0"/>
                <xsd:element ref="ns5:a5c695ec21c747a0bdb8a6375755520a" minOccurs="0"/>
                <xsd:element ref="ns1:DocumentSetDescription" minOccurs="0"/>
                <xsd:element ref="ns5:OECDSharingStatus" minOccurs="0"/>
                <xsd:element ref="ns5:OECDCommunityDocumentURL" minOccurs="0"/>
                <xsd:element ref="ns5:OECDCommunityDocumentID" minOccurs="0"/>
                <xsd:element ref="ns3:eShareHorizProjTaxHTField0" minOccurs="0"/>
                <xsd:element ref="ns3:OECDAllRelatedUsers" minOccurs="0"/>
                <xsd:element ref="ns5:SharedWithUsers" minOccurs="0"/>
                <xsd:element ref="ns2:OECDYea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1" nillable="true" ma:displayName="Description" ma:description="A description of the Document Set"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30" nillable="true" ma:displayName="Kim business context" ma:description="" ma:hidden="true" ma:internalName="OECDKimBussinessContext">
      <xsd:simpleType>
        <xsd:restriction base="dms:Text"/>
      </xsd:simpleType>
    </xsd:element>
    <xsd:element name="OECDKimProvenance" ma:index="32" nillable="true" ma:displayName="Kim provenance" ma:description="" ma:hidden="true" ma:internalName="OECDKimProvenance">
      <xsd:simpleType>
        <xsd:restriction base="dms:Text">
          <xsd:maxLength value="255"/>
        </xsd:restriction>
      </xsd:simpleType>
    </xsd:element>
    <xsd:element name="OECDYear" ma:index="50" nillable="true" ma:displayName="Year" ma:description="" ma:internalName="OECDYear"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18"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_dlc_DocId" ma:index="33" nillable="true" ma:displayName="Document ID" ma:description="" ma:hidden="true" ma:internalName="_dlc_DocId" ma:readOnly="true">
      <xsd:simpleType>
        <xsd:restriction base="dms:Text"/>
      </xsd:simpleType>
    </xsd:element>
    <xsd:element name="g1cb84c392954f02b97ef964d7fd5f94" ma:index="38"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eShareHorizProjTaxHTField0" ma:index="45" nillable="true" ma:displayName="OECDHorizontalProjects_0" ma:description="" ma:hidden="true" ma:internalName="eShareHorizProjTaxHTField0">
      <xsd:simpleType>
        <xsd:restriction base="dms:Note"/>
      </xsd:simpleType>
    </xsd:element>
    <xsd:element name="OECDAllRelatedUsers" ma:index="48" nillable="true" ma:displayName="All related users" ma:description="" ma:hidden="true" ma:internalName="OECDAllRelatedUs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6"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TagsCache" ma:index="17" nillable="true" ma:displayName="Tags cache" ma:description="" ma:hidden="true" ma:internalName="OECDTagsCache">
      <xsd:simpleType>
        <xsd:restriction base="dms:Note"/>
      </xsd:simpleType>
    </xsd:element>
    <xsd:element name="Project_x003a_Project_x0020_status" ma:index="25"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n8655da54a064da182923cf6cbb46907" ma:index="35" nillable="true" ma:displayName="Deliverable partners_0" ma:hidden="true" ma:internalName="n8655da54a064da182923cf6cbb46907">
      <xsd:simpleType>
        <xsd:restriction base="dms:Note"/>
      </xsd:simpleType>
    </xsd:element>
    <xsd:element name="a5c695ec21c747a0bdb8a6375755520a" ma:index="39"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SharingStatus" ma:index="42" nillable="true" ma:displayName="O.N.E Document Sharing Status" ma:description="" ma:hidden="true" ma:internalName="OECDSharingStatus">
      <xsd:simpleType>
        <xsd:restriction base="dms:Text"/>
      </xsd:simpleType>
    </xsd:element>
    <xsd:element name="OECDCommunityDocumentURL" ma:index="43" nillable="true" ma:displayName="O.N.E Community Document URL" ma:description="" ma:hidden="true" ma:internalName="OECDCommunityDocumentURL">
      <xsd:simpleType>
        <xsd:restriction base="dms:Text"/>
      </xsd:simpleType>
    </xsd:element>
    <xsd:element name="OECDCommunityDocumentID" ma:index="44" nillable="true" ma:displayName="O.N.E Community Document ID" ma:decimals="0" ma:description="" ma:hidden="true" ma:internalName="OECDCommunityDocumentID">
      <xsd:simpleType>
        <xsd:restriction base="dms:Number"/>
      </xsd:simpleType>
    </xsd:element>
    <xsd:element name="SharedWithUsers" ma:index="4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CountryTaxHTField0" ma:index="20" nillable="true" ma:taxonomy="true" ma:internalName="eShareCountryTaxHTField0" ma:taxonomyFieldName="OECDCountry" ma:displayName="Country"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TopicTaxHTField0" ma:index="21" nillable="true" ma:taxonomy="true" ma:internalName="eShareTopicTaxHTField0" ma:taxonomyFieldName="OECDTopic" ma:displayName="Topic"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KeywordsTaxHTField0" ma:index="22"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CommitteeTaxHTField0" ma:index="23" nillable="true" ma:taxonomy="true" ma:internalName="eShareCommitteeTaxHTField0" ma:taxonomyFieldName="OECDCommittee" ma:displayName="Committe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24" nillable="true" ma:taxonomy="true" ma:internalName="eSharePWBTaxHTField0" ma:taxonomyFieldName="OECDPWB" ma:displayName="PWB"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5.xml><?xml version="1.0" encoding="utf-8"?>
<?mso-contentType ?>
<FormTemplates xmlns="http://schemas.microsoft.com/sharepoint/v3/contenttype/forms">
  <Display>OECDListFormCollapsible</Display>
  <Edit>OECDListFormCollapsible</Edit>
  <New>OECDListFormCollapsible</New>
</FormTemplates>
</file>

<file path=customXml/item6.xml><?xml version="1.0" encoding="utf-8"?>
<?mso-contentType ?>
<SharedContentType xmlns="Microsoft.SharePoint.Taxonomy.ContentTypeSync" SourceId="27ec883c-a62c-444f-a935-fcddb579e39d" ContentTypeId="0x0101008B4DD370EC31429186F3AD49F0D3098F00D44DBCB9EB4F45278CB5C9765BE52995" PreviousValue="false"/>
</file>

<file path=customXml/itemProps1.xml><?xml version="1.0" encoding="utf-8"?>
<ds:datastoreItem xmlns:ds="http://schemas.openxmlformats.org/officeDocument/2006/customXml" ds:itemID="{C4347DB2-02A9-48BD-9329-8AC02EF54EBB}">
  <ds:schemaRefs>
    <ds:schemaRef ds:uri="http://purl.org/dc/dcmitype/"/>
    <ds:schemaRef ds:uri="ca82dde9-3436-4d3d-bddd-d31447390034"/>
    <ds:schemaRef ds:uri="http://schemas.microsoft.com/office/2006/documentManagement/types"/>
    <ds:schemaRef ds:uri="http://schemas.microsoft.com/office/infopath/2007/PartnerControls"/>
    <ds:schemaRef ds:uri="http://schemas.microsoft.com/office/2006/metadata/properties"/>
    <ds:schemaRef ds:uri="e36e4070-fdd8-494c-ae17-1a8cf14e7707"/>
    <ds:schemaRef ds:uri="http://purl.org/dc/elements/1.1/"/>
    <ds:schemaRef ds:uri="http://schemas.microsoft.com/sharepoint/v3"/>
    <ds:schemaRef ds:uri="http://schemas.openxmlformats.org/package/2006/metadata/core-properties"/>
    <ds:schemaRef ds:uri="http://purl.org/dc/terms/"/>
    <ds:schemaRef ds:uri="http://schemas.microsoft.com/sharepoint/v4"/>
    <ds:schemaRef ds:uri="c9f238dd-bb73-4aef-a7a5-d644ad823e52"/>
    <ds:schemaRef ds:uri="7348197b-4e95-41c6-b270-341eaa4cbbb2"/>
    <ds:schemaRef ds:uri="54c4cd27-f286-408f-9ce0-33c1e0f3ab39"/>
    <ds:schemaRef ds:uri="http://www.w3.org/XML/1998/namespace"/>
  </ds:schemaRefs>
</ds:datastoreItem>
</file>

<file path=customXml/itemProps2.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customXml/itemProps3.xml><?xml version="1.0" encoding="utf-8"?>
<ds:datastoreItem xmlns:ds="http://schemas.openxmlformats.org/officeDocument/2006/customXml" ds:itemID="{4EA89808-60BF-4390-8365-C756077A01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F6A495-44F5-420E-83B5-27BB04E6B1D5}">
  <ds:schemaRefs>
    <ds:schemaRef ds:uri="http://schemas.microsoft.com/sharepoint/events"/>
  </ds:schemaRefs>
</ds:datastoreItem>
</file>

<file path=customXml/itemProps5.xml><?xml version="1.0" encoding="utf-8"?>
<ds:datastoreItem xmlns:ds="http://schemas.openxmlformats.org/officeDocument/2006/customXml" ds:itemID="{AE3F0B54-B724-4936-981C-3E16B3426B1D}">
  <ds:schemaRefs>
    <ds:schemaRef ds:uri="http://schemas.microsoft.com/sharepoint/v3/contenttype/forms"/>
  </ds:schemaRefs>
</ds:datastoreItem>
</file>

<file path=customXml/itemProps6.xml><?xml version="1.0" encoding="utf-8"?>
<ds:datastoreItem xmlns:ds="http://schemas.openxmlformats.org/officeDocument/2006/customXml" ds:itemID="{D9F8561E-654E-4718-8CDD-148CC9C26B7E}">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emplate/>
  <TotalTime>5</TotalTime>
  <Application>LibreOffice/7.0.3.1$MacOSX_X86_64 LibreOffice_project/d7547858d014d4cf69878db179d326fc3483e082</Application>
  <Company>OECD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2020-07-31T11:24:08Z</dcterms:created>
  <dc:creator>DOBRINEVSKI Alexander</dc:creator>
  <dc:description/>
  <dc:language>en-US</dc:language>
  <cp:lastModifiedBy>Vincent Finat-Duclos</cp:lastModifiedBy>
  <dcterms:modified xsi:type="dcterms:W3CDTF">2021-04-20T09:08:42Z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OECD</vt:lpwstr>
  </property>
  <property fmtid="{D5CDD505-2E9C-101B-9397-08002B2CF9AE}" pid="4" name="ContentTypeId">
    <vt:lpwstr>0x0101008B4DD370EC31429186F3AD49F0D3098F00D44DBCB9EB4F45278CB5C9765BE5299500A4858B360C6A491AA753F8BCA47AA91000D6712DEE41081B4DBBA433D0B03F813E</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OECDCommittee">
    <vt:lpwstr/>
  </property>
  <property fmtid="{D5CDD505-2E9C-101B-9397-08002B2CF9AE}" pid="9" name="OECDCountry">
    <vt:lpwstr/>
  </property>
  <property fmtid="{D5CDD505-2E9C-101B-9397-08002B2CF9AE}" pid="10" name="OECDDeliverablePartnersStructure">
    <vt:lpwstr/>
  </property>
  <property fmtid="{D5CDD505-2E9C-101B-9397-08002B2CF9AE}" pid="11" name="OECDHorizontalProjects">
    <vt:lpwstr/>
  </property>
  <property fmtid="{D5CDD505-2E9C-101B-9397-08002B2CF9AE}" pid="12" name="OECDKeywords">
    <vt:lpwstr/>
  </property>
  <property fmtid="{D5CDD505-2E9C-101B-9397-08002B2CF9AE}" pid="13" name="OECDOrganisation">
    <vt:lpwstr/>
  </property>
  <property fmtid="{D5CDD505-2E9C-101B-9397-08002B2CF9AE}" pid="14" name="OECDPWB">
    <vt:lpwstr>904;#2.3.1 Environmental Peer Reviews, Indicators and Outlooks|3996ec45-8abc-425e-9a15-cc44b9a83721</vt:lpwstr>
  </property>
  <property fmtid="{D5CDD505-2E9C-101B-9397-08002B2CF9AE}" pid="15" name="OECDProjectOwnerStructure">
    <vt:lpwstr/>
  </property>
  <property fmtid="{D5CDD505-2E9C-101B-9397-08002B2CF9AE}" pid="16" name="OECDTopic">
    <vt:lpwstr/>
  </property>
  <property fmtid="{D5CDD505-2E9C-101B-9397-08002B2CF9AE}" pid="17" name="ScaleCrop">
    <vt:bool>0</vt:bool>
  </property>
  <property fmtid="{D5CDD505-2E9C-101B-9397-08002B2CF9AE}" pid="18" name="ShareDoc">
    <vt:bool>0</vt:bool>
  </property>
  <property fmtid="{D5CDD505-2E9C-101B-9397-08002B2CF9AE}" pid="19" name="_docset_NoMedatataSyncRequired">
    <vt:lpwstr>False</vt:lpwstr>
  </property>
  <property fmtid="{D5CDD505-2E9C-101B-9397-08002B2CF9AE}" pid="20" name="eShareOrganisationTaxHTField0">
    <vt:lpwstr/>
  </property>
</Properties>
</file>