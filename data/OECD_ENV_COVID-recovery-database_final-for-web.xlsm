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main.oecd.org\Homedir3\Prag_A\COVID\"/>
    </mc:Choice>
  </mc:AlternateContent>
  <bookViews>
    <workbookView xWindow="0" yWindow="0" windowWidth="23040" windowHeight="8950" tabRatio="591" activeTab="1"/>
  </bookViews>
  <sheets>
    <sheet name="Description of columns" sheetId="28" r:id="rId1"/>
    <sheet name="Measures" sheetId="1" r:id="rId2"/>
    <sheet name="Exchange rates to USD" sheetId="3" r:id="rId3"/>
    <sheet name="selection lists" sheetId="8" r:id="rId4"/>
  </sheets>
  <functionGroups builtInGroupCount="18"/>
  <externalReferences>
    <externalReference r:id="rId5"/>
    <externalReference r:id="rId6"/>
    <externalReference r:id="rId7"/>
    <externalReference r:id="rId8"/>
    <externalReference r:id="rId9"/>
    <externalReference r:id="rId10"/>
    <externalReference r:id="rId11"/>
    <externalReference r:id="rId12"/>
  </externalReferences>
  <definedNames>
    <definedName name="_xlnm._FilterDatabase" localSheetId="1" hidden="1">Measures!$A$1:$X$858</definedName>
    <definedName name="Countries">#REF!</definedName>
    <definedName name="Grant">Measures!$C$850:$C$856</definedName>
    <definedName name="Grant_Loan__including_interest_free_loans">'selection lists'!$C$2:$C$7</definedName>
  </definedNames>
  <calcPr calcId="162913"/>
</workbook>
</file>

<file path=xl/calcChain.xml><?xml version="1.0" encoding="utf-8"?>
<calcChain xmlns="http://schemas.openxmlformats.org/spreadsheetml/2006/main">
  <c r="R143" i="1" l="1"/>
  <c r="R544" i="1" l="1"/>
  <c r="R710" i="1"/>
  <c r="R711" i="1"/>
  <c r="R712" i="1"/>
  <c r="R713" i="1"/>
  <c r="R714" i="1"/>
  <c r="R715" i="1"/>
  <c r="R716" i="1"/>
  <c r="R717" i="1"/>
  <c r="R718" i="1"/>
  <c r="R656" i="1" l="1"/>
  <c r="U763" i="1" l="1"/>
  <c r="V763" i="1"/>
  <c r="R593" i="1" l="1"/>
  <c r="R594" i="1"/>
  <c r="R595" i="1"/>
  <c r="R596" i="1"/>
  <c r="R592" i="1"/>
  <c r="R597" i="1"/>
  <c r="R16" i="1" l="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15" i="1"/>
  <c r="R441" i="1" l="1"/>
  <c r="R828" i="1"/>
  <c r="R432" i="1"/>
  <c r="R856" i="1" l="1"/>
  <c r="R855" i="1"/>
  <c r="R854" i="1"/>
  <c r="R853" i="1"/>
  <c r="R851" i="1"/>
  <c r="R852" i="1"/>
  <c r="R331" i="1" l="1"/>
  <c r="R332" i="1"/>
  <c r="R63" i="1"/>
  <c r="R64" i="1"/>
  <c r="R65" i="1"/>
  <c r="R66" i="1"/>
  <c r="R67" i="1"/>
  <c r="R62" i="1"/>
  <c r="R61" i="1"/>
  <c r="R58" i="1"/>
  <c r="R59" i="1"/>
  <c r="R60" i="1"/>
  <c r="R207" i="1"/>
  <c r="R542" i="1" l="1"/>
  <c r="R541" i="1"/>
  <c r="R539" i="1"/>
  <c r="R540" i="1"/>
  <c r="R538" i="1" l="1"/>
  <c r="R536" i="1"/>
  <c r="R537" i="1"/>
  <c r="R535" i="1"/>
  <c r="R850" i="1" l="1"/>
  <c r="R248" i="1"/>
  <c r="R249" i="1"/>
  <c r="R250" i="1"/>
  <c r="R251" i="1"/>
  <c r="R252" i="1"/>
  <c r="R253" i="1"/>
  <c r="R254" i="1"/>
  <c r="R240" i="1"/>
  <c r="R241" i="1"/>
  <c r="R242" i="1"/>
  <c r="R243" i="1"/>
  <c r="R244" i="1"/>
  <c r="R245" i="1"/>
  <c r="R246" i="1"/>
  <c r="R247" i="1"/>
  <c r="Q231" i="1"/>
  <c r="R231" i="1" s="1"/>
  <c r="R144" i="1"/>
  <c r="R145" i="1"/>
  <c r="R146" i="1"/>
  <c r="R147" i="1"/>
  <c r="R148" i="1"/>
  <c r="R149" i="1"/>
  <c r="R150" i="1"/>
  <c r="R151" i="1"/>
  <c r="R152" i="1"/>
  <c r="R153" i="1"/>
  <c r="R142" i="1"/>
  <c r="R208" i="1"/>
  <c r="R213" i="1"/>
  <c r="R361" i="1"/>
  <c r="R362" i="1"/>
  <c r="R363" i="1"/>
  <c r="R360" i="1"/>
  <c r="R335" i="1"/>
  <c r="R336" i="1"/>
  <c r="R337" i="1"/>
  <c r="R338" i="1"/>
  <c r="R339" i="1"/>
  <c r="R340" i="1"/>
  <c r="R341" i="1"/>
  <c r="R342" i="1"/>
  <c r="R343" i="1"/>
  <c r="R344" i="1"/>
  <c r="R345" i="1"/>
  <c r="R346" i="1"/>
  <c r="R347" i="1"/>
  <c r="R348" i="1"/>
  <c r="R349" i="1"/>
  <c r="R350" i="1"/>
  <c r="R351" i="1"/>
  <c r="R352" i="1"/>
  <c r="R353" i="1"/>
  <c r="Q364" i="1"/>
  <c r="R364" i="1" s="1"/>
  <c r="R334" i="1"/>
  <c r="R478" i="1"/>
  <c r="R479" i="1"/>
  <c r="R217" i="1"/>
  <c r="R218" i="1"/>
  <c r="R439" i="1"/>
  <c r="R440" i="1"/>
  <c r="R438" i="1"/>
  <c r="R419" i="1"/>
  <c r="R225" i="1"/>
  <c r="R226" i="1"/>
  <c r="R227" i="1"/>
  <c r="R727" i="1"/>
  <c r="R783" i="1"/>
  <c r="R784" i="1"/>
  <c r="R785" i="1"/>
  <c r="R786" i="1"/>
  <c r="R621" i="1"/>
  <c r="R844" i="1"/>
  <c r="R845" i="1"/>
  <c r="R846" i="1"/>
  <c r="R847" i="1"/>
  <c r="R848" i="1"/>
  <c r="R831" i="1"/>
  <c r="R832" i="1"/>
  <c r="R833" i="1"/>
  <c r="R834" i="1"/>
  <c r="R835" i="1"/>
  <c r="R836" i="1"/>
  <c r="R837" i="1"/>
  <c r="R838" i="1"/>
  <c r="R839" i="1"/>
  <c r="R840" i="1"/>
  <c r="R841" i="1"/>
  <c r="R842" i="1"/>
  <c r="R83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9" i="1"/>
  <c r="R800"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46" i="1"/>
  <c r="R747" i="1"/>
  <c r="R748" i="1"/>
  <c r="R749" i="1"/>
  <c r="R750" i="1"/>
  <c r="R751" i="1"/>
  <c r="R752" i="1"/>
  <c r="R745" i="1"/>
  <c r="R720" i="1"/>
  <c r="R721" i="1"/>
  <c r="R722" i="1"/>
  <c r="R723" i="1"/>
  <c r="R724" i="1"/>
  <c r="R725" i="1"/>
  <c r="R726" i="1"/>
  <c r="R728" i="1"/>
  <c r="R729" i="1"/>
  <c r="R730" i="1"/>
  <c r="R731" i="1"/>
  <c r="R732" i="1"/>
  <c r="R733" i="1"/>
  <c r="R734" i="1"/>
  <c r="R735" i="1"/>
  <c r="R736" i="1"/>
  <c r="R737" i="1"/>
  <c r="R738" i="1"/>
  <c r="R739" i="1"/>
  <c r="R740" i="1"/>
  <c r="R741" i="1"/>
  <c r="R742" i="1"/>
  <c r="R743" i="1"/>
  <c r="R744" i="1"/>
  <c r="R657" i="1"/>
  <c r="R658" i="1"/>
  <c r="R659" i="1"/>
  <c r="R660" i="1"/>
  <c r="R661" i="1"/>
  <c r="R662" i="1"/>
  <c r="R663"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641" i="1"/>
  <c r="R642" i="1"/>
  <c r="R643" i="1"/>
  <c r="R644" i="1"/>
  <c r="R645" i="1"/>
  <c r="R646" i="1"/>
  <c r="R647" i="1"/>
  <c r="R648" i="1"/>
  <c r="R649" i="1"/>
  <c r="R640" i="1"/>
  <c r="R622" i="1"/>
  <c r="R623" i="1"/>
  <c r="R624" i="1"/>
  <c r="R625" i="1"/>
  <c r="R626" i="1"/>
  <c r="R627" i="1"/>
  <c r="R628" i="1"/>
  <c r="R629" i="1"/>
  <c r="R630" i="1"/>
  <c r="R631" i="1"/>
  <c r="R632" i="1"/>
  <c r="R633" i="1"/>
  <c r="R634" i="1"/>
  <c r="R635" i="1"/>
  <c r="R636" i="1"/>
  <c r="R637" i="1"/>
  <c r="R638" i="1"/>
  <c r="R639" i="1"/>
  <c r="R599" i="1"/>
  <c r="R600" i="1"/>
  <c r="R601" i="1"/>
  <c r="R602" i="1"/>
  <c r="R603" i="1"/>
  <c r="R604" i="1"/>
  <c r="R605" i="1"/>
  <c r="R606" i="1"/>
  <c r="R607" i="1"/>
  <c r="R608" i="1"/>
  <c r="R609" i="1"/>
  <c r="R610" i="1"/>
  <c r="R611" i="1"/>
  <c r="R612" i="1"/>
  <c r="R613" i="1"/>
  <c r="R614" i="1"/>
  <c r="R615" i="1"/>
  <c r="R616" i="1"/>
  <c r="R617" i="1"/>
  <c r="R618" i="1"/>
  <c r="R619" i="1"/>
  <c r="R620" i="1"/>
  <c r="R598" i="1"/>
  <c r="R582" i="1"/>
  <c r="R583" i="1"/>
  <c r="R584" i="1"/>
  <c r="R585" i="1"/>
  <c r="R586" i="1"/>
  <c r="R587" i="1"/>
  <c r="R588" i="1"/>
  <c r="R589" i="1"/>
  <c r="R590" i="1"/>
  <c r="R581"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47" i="1"/>
  <c r="R526" i="1"/>
  <c r="R527" i="1"/>
  <c r="R528" i="1"/>
  <c r="R529" i="1"/>
  <c r="R530" i="1"/>
  <c r="R531" i="1"/>
  <c r="R532" i="1"/>
  <c r="R533" i="1"/>
  <c r="R525" i="1"/>
  <c r="Q534" i="1"/>
  <c r="R534" i="1" s="1"/>
  <c r="R502" i="1"/>
  <c r="R503" i="1"/>
  <c r="R504" i="1"/>
  <c r="R505" i="1"/>
  <c r="R506" i="1"/>
  <c r="R507" i="1"/>
  <c r="R508" i="1"/>
  <c r="R509" i="1"/>
  <c r="R510" i="1"/>
  <c r="R511" i="1"/>
  <c r="R512" i="1"/>
  <c r="R513" i="1"/>
  <c r="R514" i="1"/>
  <c r="R515" i="1"/>
  <c r="R516" i="1"/>
  <c r="R517" i="1"/>
  <c r="R518" i="1"/>
  <c r="R519" i="1"/>
  <c r="R520" i="1"/>
  <c r="R521" i="1"/>
  <c r="R522" i="1"/>
  <c r="R523" i="1"/>
  <c r="R524" i="1"/>
  <c r="R501" i="1"/>
  <c r="R472" i="1"/>
  <c r="R473" i="1"/>
  <c r="R474" i="1"/>
  <c r="R475" i="1"/>
  <c r="R476" i="1"/>
  <c r="R477" i="1"/>
  <c r="R480" i="1"/>
  <c r="R481" i="1"/>
  <c r="R482" i="1"/>
  <c r="R483" i="1"/>
  <c r="R484" i="1"/>
  <c r="R485" i="1"/>
  <c r="R486" i="1"/>
  <c r="R487" i="1"/>
  <c r="R488" i="1"/>
  <c r="R489" i="1"/>
  <c r="R490" i="1"/>
  <c r="R491" i="1"/>
  <c r="R492" i="1"/>
  <c r="R493" i="1"/>
  <c r="R494" i="1"/>
  <c r="R495" i="1"/>
  <c r="R496" i="1"/>
  <c r="R497" i="1"/>
  <c r="R498" i="1"/>
  <c r="R499" i="1"/>
  <c r="R500" i="1"/>
  <c r="R471" i="1"/>
  <c r="R464" i="1"/>
  <c r="R465" i="1"/>
  <c r="R466" i="1"/>
  <c r="R467" i="1"/>
  <c r="R468" i="1"/>
  <c r="R469" i="1"/>
  <c r="R470" i="1"/>
  <c r="R463" i="1"/>
  <c r="R445" i="1"/>
  <c r="R446" i="1"/>
  <c r="R447" i="1"/>
  <c r="R448" i="1"/>
  <c r="R449" i="1"/>
  <c r="R450" i="1"/>
  <c r="R451" i="1"/>
  <c r="R452" i="1"/>
  <c r="R444" i="1"/>
  <c r="R433" i="1"/>
  <c r="R434" i="1"/>
  <c r="R436" i="1"/>
  <c r="R437" i="1"/>
  <c r="R442" i="1"/>
  <c r="R443" i="1"/>
  <c r="R427" i="1"/>
  <c r="R415" i="1"/>
  <c r="R416" i="1"/>
  <c r="R417" i="1"/>
  <c r="B415" i="1"/>
  <c r="R405" i="1"/>
  <c r="R406" i="1"/>
  <c r="R407" i="1"/>
  <c r="R408" i="1"/>
  <c r="R409" i="1"/>
  <c r="R410" i="1"/>
  <c r="R411" i="1"/>
  <c r="R412" i="1"/>
  <c r="R413" i="1"/>
  <c r="R414" i="1"/>
  <c r="R404" i="1"/>
  <c r="R396" i="1"/>
  <c r="R397" i="1"/>
  <c r="R398" i="1"/>
  <c r="R399" i="1"/>
  <c r="R400" i="1"/>
  <c r="R401" i="1"/>
  <c r="R402" i="1"/>
  <c r="R403" i="1"/>
  <c r="R395" i="1"/>
  <c r="R371" i="1"/>
  <c r="R372" i="1"/>
  <c r="R373" i="1"/>
  <c r="R374" i="1"/>
  <c r="R375" i="1"/>
  <c r="R376" i="1"/>
  <c r="R377" i="1"/>
  <c r="R378" i="1"/>
  <c r="R379" i="1"/>
  <c r="R380" i="1"/>
  <c r="R381" i="1"/>
  <c r="R382" i="1"/>
  <c r="R383" i="1"/>
  <c r="R384" i="1"/>
  <c r="R385" i="1"/>
  <c r="R386" i="1"/>
  <c r="R387" i="1"/>
  <c r="R388" i="1"/>
  <c r="R389" i="1"/>
  <c r="R390" i="1"/>
  <c r="R391" i="1"/>
  <c r="R392" i="1"/>
  <c r="R393" i="1"/>
  <c r="R394" i="1"/>
  <c r="R370" i="1"/>
  <c r="R365" i="1"/>
  <c r="R367" i="1"/>
  <c r="R368" i="1"/>
  <c r="R369" i="1"/>
  <c r="R366" i="1"/>
  <c r="R333" i="1"/>
  <c r="R311" i="1"/>
  <c r="R312" i="1"/>
  <c r="R313" i="1"/>
  <c r="R314" i="1"/>
  <c r="R315" i="1"/>
  <c r="R316" i="1"/>
  <c r="R317" i="1"/>
  <c r="R318" i="1"/>
  <c r="R319" i="1"/>
  <c r="R320" i="1"/>
  <c r="R321" i="1"/>
  <c r="R322" i="1"/>
  <c r="R323" i="1"/>
  <c r="R324" i="1"/>
  <c r="R325" i="1"/>
  <c r="R326" i="1"/>
  <c r="R327" i="1"/>
  <c r="R328" i="1"/>
  <c r="R329" i="1"/>
  <c r="R330" i="1"/>
  <c r="R310" i="1"/>
  <c r="R290" i="1"/>
  <c r="R291" i="1"/>
  <c r="R292" i="1"/>
  <c r="R293" i="1"/>
  <c r="R294" i="1"/>
  <c r="R295" i="1"/>
  <c r="R296" i="1"/>
  <c r="R297" i="1"/>
  <c r="R298" i="1"/>
  <c r="R299" i="1"/>
  <c r="R300" i="1"/>
  <c r="R301" i="1"/>
  <c r="R302" i="1"/>
  <c r="R303" i="1"/>
  <c r="R304" i="1"/>
  <c r="R305" i="1"/>
  <c r="R306" i="1"/>
  <c r="R307" i="1"/>
  <c r="R308" i="1"/>
  <c r="R309" i="1"/>
  <c r="R289"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55" i="1"/>
  <c r="R230" i="1"/>
  <c r="R232" i="1"/>
  <c r="R233" i="1"/>
  <c r="R234" i="1"/>
  <c r="R235" i="1"/>
  <c r="R236" i="1"/>
  <c r="R237" i="1"/>
  <c r="R238" i="1"/>
  <c r="R239" i="1"/>
  <c r="R229" i="1"/>
  <c r="R219" i="1"/>
  <c r="R220" i="1"/>
  <c r="R221" i="1"/>
  <c r="R222" i="1"/>
  <c r="R223" i="1"/>
  <c r="R224" i="1"/>
  <c r="R228" i="1"/>
  <c r="R216" i="1"/>
  <c r="R215" i="1"/>
  <c r="R206" i="1"/>
  <c r="R209" i="1"/>
  <c r="R210" i="1"/>
  <c r="R211" i="1"/>
  <c r="R212" i="1"/>
  <c r="R190" i="1"/>
  <c r="R191" i="1"/>
  <c r="R192" i="1"/>
  <c r="R193" i="1"/>
  <c r="R194" i="1"/>
  <c r="R195" i="1"/>
  <c r="R196" i="1"/>
  <c r="R197" i="1"/>
  <c r="R198" i="1"/>
  <c r="R199" i="1"/>
  <c r="R200" i="1"/>
  <c r="R201" i="1"/>
  <c r="R202" i="1"/>
  <c r="R203" i="1"/>
  <c r="R204" i="1"/>
  <c r="R205" i="1"/>
  <c r="R189" i="1"/>
  <c r="R181" i="1"/>
  <c r="R182" i="1"/>
  <c r="R183" i="1"/>
  <c r="R184" i="1"/>
  <c r="R185" i="1"/>
  <c r="R186" i="1"/>
  <c r="R187" i="1"/>
  <c r="R180" i="1"/>
  <c r="R179" i="1"/>
  <c r="R178" i="1"/>
  <c r="R176" i="1"/>
  <c r="R155" i="1"/>
  <c r="R156" i="1"/>
  <c r="R157" i="1"/>
  <c r="R158" i="1"/>
  <c r="R159" i="1"/>
  <c r="R160" i="1"/>
  <c r="R161" i="1"/>
  <c r="R162" i="1"/>
  <c r="R163" i="1"/>
  <c r="R164" i="1"/>
  <c r="R165" i="1"/>
  <c r="R166" i="1"/>
  <c r="R167" i="1"/>
  <c r="R168" i="1"/>
  <c r="R169" i="1"/>
  <c r="R170" i="1"/>
  <c r="R171" i="1"/>
  <c r="R172" i="1"/>
  <c r="R173" i="1"/>
  <c r="R174" i="1"/>
  <c r="R175" i="1"/>
  <c r="R154"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68" i="1"/>
  <c r="R54" i="1"/>
  <c r="R55" i="1"/>
  <c r="R56" i="1"/>
  <c r="R57" i="1"/>
  <c r="R46" i="1"/>
  <c r="R47" i="1"/>
  <c r="R48" i="1"/>
  <c r="R49" i="1"/>
  <c r="R50" i="1"/>
  <c r="R51" i="1"/>
  <c r="R52" i="1"/>
  <c r="R53" i="1"/>
  <c r="R2" i="1"/>
  <c r="R3" i="1"/>
  <c r="R4" i="1"/>
  <c r="R5" i="1"/>
  <c r="R6" i="1"/>
  <c r="R7" i="1"/>
  <c r="R8" i="1"/>
  <c r="R9" i="1"/>
  <c r="R10" i="1"/>
  <c r="R11" i="1"/>
  <c r="R12" i="1"/>
  <c r="R13" i="1"/>
  <c r="B739" i="1"/>
  <c r="B738" i="1"/>
  <c r="B737" i="1"/>
  <c r="B736" i="1"/>
  <c r="B735" i="1"/>
  <c r="B734" i="1"/>
  <c r="B733" i="1"/>
  <c r="B732" i="1"/>
  <c r="B731" i="1"/>
  <c r="B730" i="1"/>
  <c r="B729" i="1"/>
  <c r="B728" i="1"/>
  <c r="B727" i="1"/>
  <c r="B726" i="1"/>
  <c r="B725" i="1"/>
  <c r="B724" i="1"/>
  <c r="B723" i="1"/>
  <c r="B722" i="1"/>
  <c r="B721" i="1"/>
  <c r="B720" i="1"/>
  <c r="B719" i="1"/>
  <c r="N39" i="3"/>
  <c r="U843" i="1" l="1"/>
  <c r="U844" i="1"/>
</calcChain>
</file>

<file path=xl/comments1.xml><?xml version="1.0" encoding="utf-8"?>
<comments xmlns="http://schemas.openxmlformats.org/spreadsheetml/2006/main">
  <authors>
    <author>BERTUZZI Carla</author>
  </authors>
  <commentList>
    <comment ref="S425" authorId="0" shapeId="0">
      <text>
        <r>
          <rPr>
            <b/>
            <sz val="9"/>
            <color indexed="81"/>
            <rFont val="Tahoma"/>
            <family val="2"/>
          </rPr>
          <t>BERTUZZI Carla:</t>
        </r>
        <r>
          <rPr>
            <sz val="9"/>
            <color indexed="81"/>
            <rFont val="Tahoma"/>
            <family val="2"/>
          </rPr>
          <t xml:space="preserve">
 High-performance ventilation equipment is system that has the function of recovering heat from exhausted indoor air and transferring it to newly introduced outdoor air when ventilating indoor air. By using the equipment, we can reduce the risk of the spread of infectious diseases, while at the same time reducing the loss of heating and cooling heat, thereby saving energy and reducing CO2 emissions. So, we believe this is a "positive" green recovery measures.</t>
        </r>
      </text>
    </comment>
    <comment ref="S427" authorId="0" shapeId="0">
      <text>
        <r>
          <rPr>
            <b/>
            <sz val="9"/>
            <color indexed="81"/>
            <rFont val="Tahoma"/>
            <family val="2"/>
          </rPr>
          <t>BERTUZZI Carla:</t>
        </r>
        <r>
          <rPr>
            <sz val="9"/>
            <color indexed="81"/>
            <rFont val="Tahoma"/>
            <family val="2"/>
          </rPr>
          <t xml:space="preserve">
promoting workation in national parks clearly increases the sustainability of National Parks (which is positive environmental impact) by raising public acceptance of them.</t>
        </r>
      </text>
    </comment>
    <comment ref="S666" authorId="0" shapeId="0">
      <text>
        <r>
          <rPr>
            <b/>
            <sz val="9"/>
            <color indexed="81"/>
            <rFont val="Tahoma"/>
            <family val="2"/>
          </rPr>
          <t xml:space="preserve">deleted:
</t>
        </r>
        <r>
          <rPr>
            <sz val="9"/>
            <color indexed="81"/>
            <rFont val="Tahoma"/>
            <family val="2"/>
          </rPr>
          <t xml:space="preserve"> HM Treasury has approved £5.3 billion of targeted support for essential public transport services, in addition to the economy-wide schemes, including £3.5 billion for rail services, over £1 billion for services in London, and support for bus and light rail services across the rest of England.
</t>
        </r>
      </text>
    </comment>
    <comment ref="S669" authorId="0" shapeId="0">
      <text>
        <r>
          <rPr>
            <sz val="9"/>
            <color indexed="81"/>
            <rFont val="Tahoma"/>
            <family val="2"/>
          </rPr>
          <t>Regarding GBR14-21 which cover the Covid Corporate Financing Facility (CCFF), as noted in our return, fundamentally the CCFF does not directly contribute to increased environmental damage.  It provides liquidity to companies to help avert form failures and job losses, but many of these firms reduced activity and placed staff on furlough through the pandemic.  Certainly in the case of the airlines there is a good possibility that any firm failure would have simply led to other airlines replacing the operator on particular routes.  We have therefore entered the response ‘neutral’ to capture this</t>
        </r>
      </text>
    </comment>
    <comment ref="S761" authorId="0" shapeId="0">
      <text>
        <r>
          <rPr>
            <sz val="9"/>
            <color indexed="81"/>
            <rFont val="Tahoma"/>
            <family val="2"/>
          </rPr>
          <t>This measure should be considered POSITIVE and it is part of the general guidelines plan to protect the Amazon forest. Property rights have a very important role for environmental instruments and allow for a clear improvement on environment protection, conservation practices and sustainable land uses. These are the challenges the Brazilian government face for the achievement of the environmental and social goals in Legal Amazon</t>
        </r>
      </text>
    </comment>
    <comment ref="S762" authorId="0" shapeId="0">
      <text>
        <r>
          <rPr>
            <sz val="9"/>
            <color indexed="81"/>
            <rFont val="Tahoma"/>
            <family val="2"/>
          </rPr>
          <t>There is no evidence of environmental impacts of such law. Despite the support of the government, air traffic was deeply hit by the pandemic and has not yet recovered pre-crisis levels</t>
        </r>
        <r>
          <rPr>
            <sz val="9"/>
            <color indexed="81"/>
            <rFont val="Tahoma"/>
            <family val="2"/>
          </rPr>
          <t xml:space="preserve">
</t>
        </r>
      </text>
    </comment>
    <comment ref="S764" authorId="0" shapeId="0">
      <text>
        <r>
          <rPr>
            <sz val="9"/>
            <color indexed="81"/>
            <rFont val="Tahoma"/>
            <family val="2"/>
          </rPr>
          <t xml:space="preserve">MIXED. The measure focuses on positive impacts such as the transfer of royalties, tax revenues and the generation of jobs, which contributes to improving the quality of life to society. On the other hand, many investments from the oil entrepreneur goes for social and infrastructure actions, which can be considered a positive measure for the environment. In addition, the environmental and social governance required by law aims to lessen the bad consequences generated by oil and gas production, by mitigating and compensating environmental negative impacts. In this sense, the development of these medium and small companies should harm less the environment. 
</t>
        </r>
      </text>
    </comment>
    <comment ref="S766" authorId="0" shapeId="0">
      <text>
        <r>
          <rPr>
            <sz val="9"/>
            <color indexed="81"/>
            <rFont val="Tahoma"/>
            <family val="2"/>
          </rPr>
          <t xml:space="preserve">The aim is the divestment in refineries by the government. It does not necessarily increase the installed capacity, and may lead to modernization and efficiency improvements, which could be helpful to decrease harmful emissions.
Also, the “Commitment Assignment Term” between Conselho Administrativo de Defesa Econômica (Cade, an anti-trust body) and Petrobras reinforces previous commitments by Petrobrás including environmental protection commitments
</t>
        </r>
      </text>
    </comment>
    <comment ref="S767" authorId="0" shapeId="0">
      <text>
        <r>
          <rPr>
            <sz val="9"/>
            <color indexed="81"/>
            <rFont val="Tahoma"/>
            <family val="2"/>
          </rPr>
          <t>The focus of this regulation is to improve the efficiency of the use of natural gas, reducing the need to burn natural gas and oil, therefore it brings a positive environmental impact. The resolution reinforces the controls and introduces new, more efficient technologies for improving efficiency of the controlled burning activities at the production sites, therefore decreasing and eliminating inefficiencies.</t>
        </r>
      </text>
    </comment>
    <comment ref="S768" authorId="0" shapeId="0">
      <text>
        <r>
          <rPr>
            <sz val="9"/>
            <color indexed="81"/>
            <rFont val="Tahoma"/>
            <family val="2"/>
          </rPr>
          <t xml:space="preserve">This resolution refers to the “Discovery Evaluation Plans” (Planos de Avaliação de Descoberta - PAD), whose terms can be extended in view of the COVID-19 situation. There is no increase of oil exploration, but a postponement of the study of the findings. It is an administrative measure.
</t>
        </r>
      </text>
    </comment>
    <comment ref="S769" authorId="0" shapeId="0">
      <text>
        <r>
          <rPr>
            <sz val="9"/>
            <color indexed="81"/>
            <rFont val="Tahoma"/>
            <family val="2"/>
          </rPr>
          <t>INDETERMINATE. These are measures related to the occurrence of COVID-19 for the information and safety of the workers involved. Among other measures, the regulation has provisions related to the acceptance of digital documents (instead of physical ones), times and frequency of inspections, production levels and it is clear to determine that any change of plans must not bring any risk to the environment nor to the safety of workers and the public in general.</t>
        </r>
      </text>
    </comment>
    <comment ref="S771" authorId="0" shapeId="0">
      <text>
        <r>
          <rPr>
            <sz val="9"/>
            <color indexed="81"/>
            <rFont val="Tahoma"/>
            <family val="2"/>
          </rPr>
          <t>This measure alleviates the electricity charges to the lower-class consumers (up to 220 KMH/month). It has a positive impact on the environment as it prevents the use of alternative sources of energy as charcoal or kerosene</t>
        </r>
        <r>
          <rPr>
            <sz val="9"/>
            <color indexed="81"/>
            <rFont val="Tahoma"/>
            <family val="2"/>
          </rPr>
          <t xml:space="preserve">
</t>
        </r>
      </text>
    </comment>
    <comment ref="S772" authorId="0" shapeId="0">
      <text>
        <r>
          <rPr>
            <sz val="9"/>
            <color indexed="81"/>
            <rFont val="Tahoma"/>
            <family val="2"/>
          </rPr>
          <t>This measure will contribute to review the workflow of energy projects in order to develop a more resilient and sustainable energy system. It can help to maintain steady investment activity, to address long-term investment in infrastructure and energy efficiency projects</t>
        </r>
      </text>
    </comment>
    <comment ref="S775" authorId="0" shapeId="0">
      <text>
        <r>
          <rPr>
            <b/>
            <sz val="9"/>
            <color indexed="81"/>
            <rFont val="Tahoma"/>
            <family val="2"/>
          </rPr>
          <t>BERTUZZI Carla:</t>
        </r>
        <r>
          <rPr>
            <sz val="9"/>
            <color indexed="81"/>
            <rFont val="Tahoma"/>
            <family val="2"/>
          </rPr>
          <t xml:space="preserve">
</t>
        </r>
      </text>
    </comment>
    <comment ref="S785" authorId="0" shapeId="0">
      <text>
        <r>
          <rPr>
            <sz val="9"/>
            <color indexed="81"/>
            <rFont val="Tahoma"/>
            <family val="2"/>
          </rPr>
          <t>The measure supports the biofuel producers (in this case ethanol) on their working capital so to maintain the production of substitute of gasoline and mineral diesel. A reduction of the emission of pollutants is expected.</t>
        </r>
        <r>
          <rPr>
            <sz val="9"/>
            <color indexed="81"/>
            <rFont val="Tahoma"/>
            <family val="2"/>
          </rPr>
          <t xml:space="preserve">
</t>
        </r>
      </text>
    </comment>
    <comment ref="S786" authorId="0" shapeId="0">
      <text>
        <r>
          <rPr>
            <sz val="9"/>
            <color indexed="81"/>
            <rFont val="Tahoma"/>
            <family val="2"/>
          </rPr>
          <t xml:space="preserve">Considering that the Brazilian electricity matrix is based on clean sources (84% of clean sources), the measure allows the low-income consumers to keep using electricity instead of resorting to alternative sources like kerosene, charcoal or wood, so the impact to the environment shall be considered positive.
</t>
        </r>
      </text>
    </comment>
  </commentList>
</comments>
</file>

<file path=xl/sharedStrings.xml><?xml version="1.0" encoding="utf-8"?>
<sst xmlns="http://schemas.openxmlformats.org/spreadsheetml/2006/main" count="10032" uniqueCount="3201">
  <si>
    <t>Identification number</t>
  </si>
  <si>
    <t>Type of measure</t>
  </si>
  <si>
    <t>Sub-type of measure</t>
  </si>
  <si>
    <t>Scope</t>
  </si>
  <si>
    <t>Sector</t>
  </si>
  <si>
    <t>Value of measure (USD or specify)</t>
  </si>
  <si>
    <t>Infrastructure relevant?</t>
  </si>
  <si>
    <t>Environmental focus 1</t>
  </si>
  <si>
    <t>Summary description</t>
  </si>
  <si>
    <t>Source 2</t>
  </si>
  <si>
    <t>IDN1</t>
  </si>
  <si>
    <t>Policy</t>
  </si>
  <si>
    <t>Tax reduction / other subsidy</t>
  </si>
  <si>
    <t>Sectoral</t>
  </si>
  <si>
    <t>Energy</t>
  </si>
  <si>
    <t>IDR 110 trillion</t>
  </si>
  <si>
    <t>No</t>
  </si>
  <si>
    <t>Climate</t>
  </si>
  <si>
    <t xml:space="preserve"> "President Joko “Jokowi” Widodo has announced that Indonesia's poorest households will receive free electricity and
 discounts to help them cope with the economic shocks caused by the COVID-19 pandemic. This will be targetted at the 24 million customers using 450 KVa and the 7 million customers using 900 KVa."
</t>
  </si>
  <si>
    <t>https://www.thejakartapost.com/news/2020/03/31/indonesia-announces-rp-405-trillion-covid-19-budget-anticipates-5-deficit-in-historic-move.html?utm_source=newsletter&amp;utm_medium=mailchimp&amp;utm_campaign=mailchimp-april&amp;utm_term=covid-budget
https://www.thejakartapost.com/news/2020/03/31/jokowi-announces-free-electricity-discounts-for-households-hardest-hit-by-covid-19-impacts.html
https://www.oecd.org/coronavirus/en/#country-profiles
https://www.eco-business.com/news/how-green-are-asias-post-covid-economic-recovery-plans/?utm_medium=email&amp;utm_campaign=Daily%20Digest%2029062020&amp;utm_content=Daily%20Digest%2029062020+CID_7205dcfba2d84818873df402844a32bb&amp;utm_source=Campaign%20Monitor&amp;utm_term=How%20green%20are%20Asias%20post-Covid%20economic%20recovery%20plans</t>
  </si>
  <si>
    <t>IND1</t>
  </si>
  <si>
    <t>Fiscal</t>
  </si>
  <si>
    <t>Grant/Loan (including interest-free loans)</t>
  </si>
  <si>
    <t>Economy-wide</t>
  </si>
  <si>
    <t>Yes</t>
  </si>
  <si>
    <t>Air Pollution</t>
  </si>
  <si>
    <t xml:space="preserve">A one-time emergency liquidity injection of Rs 90,000 crore for DISCOMS (Power distributers) against all their receivables
</t>
  </si>
  <si>
    <t xml:space="preserve">https://www.ndtv.com/india-news/coronavirus-india-covid-19-economic-package-worth-rs-20-97-053-crore-see-breakup-here-2230244, </t>
  </si>
  <si>
    <t>https://economictimes.indiatimes.com/news/economy/policy/summing-up-modis-covid-stimulus-takeaways-so-far-from-the-mother-of-all-incentives/articleshow/75758840.cms?utm_source=contentofinterest&amp;utm_medium=text&amp;utm_campaign=cppst</t>
  </si>
  <si>
    <t>IND2</t>
  </si>
  <si>
    <t>Regulatory change</t>
  </si>
  <si>
    <t>NA</t>
  </si>
  <si>
    <t xml:space="preserve">Government is introducing the commercial mining of coal. There will be a revenue share arrangement between the
government and private companies to
promote the mining and gasification of coal.  Promoting coal gasification through revenue share rebate, auctioning 50 new coal and 500 mineral blocks and liberalising entry norms were among the reforms announced in the energy sector.
</t>
  </si>
  <si>
    <t xml:space="preserve">https://www.vivideconomics.com/wp-content/uploads/2020/07/GreenStimulusIndex14July.pdf </t>
  </si>
  <si>
    <t>https://www.livemint.com/news/india/fm-sitharaman-fast-tracks-industrial-reforms-to-aid-growth-recovery-11589639649764.html</t>
  </si>
  <si>
    <t>IND3</t>
  </si>
  <si>
    <t>Surface transport</t>
  </si>
  <si>
    <t>Investment  will be made for creating transportation infrastructure for evacuating 1 billion tonnes of coal from state run Coal India Ltd.’s (CIL) mines.</t>
  </si>
  <si>
    <t>IND4</t>
  </si>
  <si>
    <t>City/regional</t>
  </si>
  <si>
    <t>Multiple or n.a.</t>
  </si>
  <si>
    <t>Biodiversity</t>
  </si>
  <si>
    <t xml:space="preserve">Tribal people will get employment in forest management, wildlife protection/management and other forest related activities.
</t>
  </si>
  <si>
    <t>IND5</t>
  </si>
  <si>
    <t>Other</t>
  </si>
  <si>
    <t xml:space="preserve">Concessional credit for farming activities, animal husbandry and Fisheries
</t>
  </si>
  <si>
    <t>IND6</t>
  </si>
  <si>
    <t xml:space="preserve">Development of marine and inland fisheries. This will lead to an additional fish production of 70 lakh tons in next five years and provide employment to 55 lakh people.
</t>
  </si>
  <si>
    <t>IND7</t>
  </si>
  <si>
    <t>India has  fast-tracked the environmental
assessment of site clean-ups on projects in
order to increase the speed of project development.
. This increase in the speed of assessments
for environmental performance spans
across different industrial sectors</t>
  </si>
  <si>
    <t>https://qz.com/india/1851634/india-fast-tracks-green-clearance-to-spur-coronavirus-hit-economy/</t>
  </si>
  <si>
    <t>BRA1</t>
  </si>
  <si>
    <t xml:space="preserve">US$ 20.6 billion
</t>
  </si>
  <si>
    <t>Up to US$ 45.4 billion for workers and the most vulnerable population. Fiscal impact: US$ 20.6 billion</t>
  </si>
  <si>
    <t>https://www.gov.br/economia/pt-br/centrais-de-conteudo/publicacoes/publicacoes-em-outros-idiomas/covid-19/covid-19-2020-04-24-brazil-policy-measures-1830-1.pdf/view</t>
  </si>
  <si>
    <t>BRA2</t>
  </si>
  <si>
    <t>Up to US$ 26.7 billion in aid to states and municipalities. Fiscal impact: US$ 14.4 billion</t>
  </si>
  <si>
    <t>BRA3</t>
  </si>
  <si>
    <t>US$ 54.8 billion in credit measures</t>
  </si>
  <si>
    <t>BRA4</t>
  </si>
  <si>
    <t>Up to US$ 104.9 billion in cash flow measures and a program for employment in companies. Fiscal impact of US$ 10.3 billion.</t>
  </si>
  <si>
    <t>BRA5</t>
  </si>
  <si>
    <t>US$ 4.9 billion to fight the COVID-19 (funds and measures to assure supplies, treatment and protection). Fiscal impact: US$ 3.6 billion</t>
  </si>
  <si>
    <t>BRA6</t>
  </si>
  <si>
    <t>Monetary</t>
  </si>
  <si>
    <t>BRA7</t>
  </si>
  <si>
    <t>Capital release of US$ 640 billion</t>
  </si>
  <si>
    <t>BRA8</t>
  </si>
  <si>
    <t>Creation of new financial mechanisms for green bonds issuance for sustainable infrastructure, expected to attract up to US$34 billion by 2029.</t>
  </si>
  <si>
    <t>http://www.planalto.gov.br/ccivil_03/_ato2019-2022/2020/decreto/D10387.htm</t>
  </si>
  <si>
    <t>BRA9</t>
  </si>
  <si>
    <t>https://www.camara.leg.br/proposicoesWeb/fichadetramitacao?idProposicao=2252589</t>
  </si>
  <si>
    <t>CRI1</t>
  </si>
  <si>
    <t xml:space="preserve">3 month moratorium on payment of VAT and Customs and import Tariffs by companies </t>
  </si>
  <si>
    <t>https://www.thecentralamericangroup.com/five-costa-rican-covid-19-economic-measures/#contactus</t>
  </si>
  <si>
    <t>CRI3</t>
  </si>
  <si>
    <t>USD 1.6 billion</t>
  </si>
  <si>
    <t>USD 1.6 billion in gurantees and loans on preferential rates towards working capital and start-up capital (applicable to all entities in the productive sector). Proceeds of the loan may be used for seed capital, purchase of supplies, or for the payment of payroll, according to the needs of tourism, commerce, restaurants, agriculture, livestock, construction, artistic activities, among others.</t>
  </si>
  <si>
    <t>1. https://intallaght.ie/costa-rica-government-announces-%E2%82%A1-900-billion-in-loans-to-the-productive-sector-for-the-countrys-recovery/ 2.  https://www.caribbean-council.org/costa-rican-government-announces-post-pandemic-economic-stimulus-package/ 3. https://www.efe.com/efe/america/economia/costa-rica-anuncia-1-500-millones-dolares-en-creditos-para-recuperar-la-economia/20000011-4241970</t>
  </si>
  <si>
    <t>CRI4</t>
  </si>
  <si>
    <t>USD 5.5. billion</t>
  </si>
  <si>
    <t xml:space="preserve">USD 5.5 billion public investment over 2020-2021. Notable projects inlcude:  Route 27 (US $ 500 million), Route 32: San José – Río (US $ 640 million), Route 1: Road Corridor San José – San Ramón (US $ 400 million), Route 2: San José – Cartago 400 (US $ 400 million) and the Electric Passenger Train (US $ 550 million). The Elecrtic Passenger Train is a flagship project and key piece transportation infrastruture for the country. </t>
  </si>
  <si>
    <t>1. https://intallaght.ie/costa-rica-government-announces-%E2%82%A1-900-billion-in-loans-to-the-productive-sector-for-the-countrys-recovery/ 2. https://www.prensa-latina.cu/index.php?o=rn&amp;id=364412&amp;SEO=gobierno-de-costa-rica-revelara-medidas-para-recuperacion-economica</t>
  </si>
  <si>
    <t>CRI5</t>
  </si>
  <si>
    <t>Skills training</t>
  </si>
  <si>
    <t xml:space="preserve">Bill to modernise the National Learning Institute and give it greater lattitude to respond to the skilling needs of the young population and enahnce employability in post COVID economy. This includes freelance work. </t>
  </si>
  <si>
    <t>https://intallaght.ie/costa-rica-government-announces-%E2%82%A1-900-billion-in-loans-to-the-productive-sector-for-the-countrys-recovery/</t>
  </si>
  <si>
    <t>CRI6</t>
  </si>
  <si>
    <t>Agriculture</t>
  </si>
  <si>
    <t>The productivity of SMEs, agriculture and tourism will be boosted with tailored programs. In June, an e-commerce platform will be launched to bring supply and demand closer together to reduce transaction costs and deepen value chains. The AGROINNOVA 4.0 program will be promoted, which encourages the use of high technology to improve productivity and sustainability in the agricultural sector, replicating it in various parts of the country.</t>
  </si>
  <si>
    <t>CRI7</t>
  </si>
  <si>
    <t xml:space="preserve">USD 300 million </t>
  </si>
  <si>
    <t xml:space="preserve">USD 300 milliion loan by the world bank to support the Government's recovery measures. The loan focuses on promoting low-carbon development inlcuding fostering the recovery of a steady growth trajectory post COVID-19, by strengthening the country’s foundations for green growth and low-carbon development. Measures include accelerating the deployment of low-carbon technologies and expanding resilience of the national energy system. Taking out the loan points to future public expenditure to encourage green infrastructrue. </t>
  </si>
  <si>
    <t>https://www.worldbank.org/en/news/press-release/2020/06/25/apoyo-del-banco-mundial-a-costa-rica-para-promover-la-recuperacion-economica-y-un-desarrollo-bajo-en-carbono</t>
  </si>
  <si>
    <t>CRI8</t>
  </si>
  <si>
    <t xml:space="preserve">USD 300 million loan by the CABEI to support the Government's recover measures and ensure low-carbon development. Taking out this loan alos points towards future expeditures in low-carbon infrastructure and initiatives. </t>
  </si>
  <si>
    <t>https://www.eleconomista.net/actualidad/BCIE-aprueba-300-millones-a-Costa-Rica-para-recuperacion-economica-20200724-0008.html</t>
  </si>
  <si>
    <t>USA3</t>
  </si>
  <si>
    <t>Industry</t>
  </si>
  <si>
    <t>N/A</t>
  </si>
  <si>
    <t>https://www.epa.gov/sites/production/files/2020-06/documents/covid19addendumontermination.pdf</t>
  </si>
  <si>
    <t>Negative</t>
  </si>
  <si>
    <t>USA4</t>
  </si>
  <si>
    <t xml:space="preserve">
Rollback of Review Process for new mines, highways, pipelines and other projects due to the current economic emergency.
President Trump signed Executive Order 13927 on June 4, 2020 to expedite infrastructure investments for facilitating the post-COVID-19 economic recovery. The Executive Order (EO) directs federal agencies, including the Departments of Interior, Army, Transportation, Defense, and Agriculture to speed investments in infrastructure and expedite work on existing projects.
It permits the agencies to implement emergency provisions that scale back environmental reviews under the National Environmental Policy Act (NEPA), Clean Water Act, and Endangered Species Act.</t>
  </si>
  <si>
    <t>https://www.federalregister.gov/documents/2020/06/09/2020-12584/accelerating-the-nations-economic-recovery-from-the-covid-19-emergency-by-expediting-infrastructure</t>
  </si>
  <si>
    <t>USA5</t>
  </si>
  <si>
    <t xml:space="preserve">Environmental Protection Agency (EPA) limits states’ ability to block the construction of new energy infrastructure projects
The rule curtails sections of the U.S. Clean Water Act that New York has used to block an interstate gas pipeline, and Washington employed to oppose a coal export terminal. 
It limits to one year the amount of time states and tribes can take to review a project, and restricts states to taking water quality only into consideration when judging permits (climate change is no longer a valid consideration). 
The government argued that the change will help promote gas pipelines, coal terminals and other fossil fuel development that would help the nation recover from the economic crisis. 
</t>
  </si>
  <si>
    <t>https://www.nytimes.com/2020/06/01/climate/trump-clean-water-pipelines.html?smid=tw-share</t>
  </si>
  <si>
    <t xml:space="preserve">Executive order further loosening regulatory standards in response to the economic impacts of COVID-19.
On May 19, 2020 President Trump issued an Executive Order encouraging federal agencies to continue deregulatory measures that foster the post-pandemic economic recovery. 
The EO asks agencies to “identify regulatory standards that may inhibit economic recovery.” The EO calls upon agencies to give businesses, especially small businesses, the confidence they need to re-open by providing guidance on what the law requires; by recognizing the efforts of businesses to comply with often-complex regulations in complicated and swiftly changing circumstances. 
</t>
  </si>
  <si>
    <t>https://www.whitehouse.gov/presidential-actions/executive-order-regulatory-relief-support-economic-recovery/</t>
  </si>
  <si>
    <t>R&amp;D subsidies</t>
  </si>
  <si>
    <t>Waste &amp; recycling</t>
  </si>
  <si>
    <t>https://www.irs.gov/newsroom/treasury-irs-provide-safe-harbor-for-taxpayers-that-develop-renewable-energy-projects</t>
  </si>
  <si>
    <t>Positive</t>
  </si>
  <si>
    <t>USA8</t>
  </si>
  <si>
    <t>122$ Million</t>
  </si>
  <si>
    <t xml:space="preserve">DOE Announces Intent to Provide $122M to Establish Coal Products Innovation Centers
Department of Energy (DOE) intends to make approximately $122 million available, through a competitive process, to establish coal products innovation centers. 
The innovation centers will focus on manufacturing value-added, carbon-based products from coal, as well developing new methods to extract and process rare earth elements and critical minerals from coal. 
DOE anticipates funding innovation centers in a multiple of U.S. coal producing basins. New and existing coalitions of private industry, academia, national laboratories, and state and local governments are encouraged to compete to establish the centers. 
Once established - the public-private innovation centers will research and incubate innovative mining, beneficiation, processing, and purification technologies that are environmentally sustainable. 
</t>
  </si>
  <si>
    <t>https://www.energy.gov/articles/doe-announces-intent-provide-122m-establish-coal-products-innovation-centers</t>
  </si>
  <si>
    <t>USA9</t>
  </si>
  <si>
    <t>100$ Million</t>
  </si>
  <si>
    <t xml:space="preserve">USDA competitive grants for activities designed to expand the availability and sale of renewable fuels.
U.S. Department of Agriculture intends to make available up to $100 million in competitive grants for activities designed to expand the availability and sale of renewable fuels.
The program has committed to $100 million in funding for competitive grants or sales incentives to eligible entities for activities designed to expand the sale and use of ethanol and biodiesel fuels. 
Funds will be made directly available to assist transportation fueling and biodiesel distribution facilities with converting to higher ethanol and biodiesel blends by sharing the costs related to and/or offering sales incentives for the installation of fuel pumps, related equipment and infrastructure.
</t>
  </si>
  <si>
    <t>https://www.usda.gov/media/press-releases/2020/05/04/usda-announces-100-million-american-biofuels-infrastructure</t>
  </si>
  <si>
    <t>USA10</t>
  </si>
  <si>
    <t>500$ Million</t>
  </si>
  <si>
    <t>https://www.reuters.com/article/us-usa-energy-carboncapture/u-s-treasury-unveils-rules-for-carbon-capture-tax-credits-idUSKBN2352S6</t>
  </si>
  <si>
    <t>USA11</t>
  </si>
  <si>
    <t>- 1.95$ Billion (47$ Million revenue gain from terminating the holiday period, 2$ Billion revenue loss from reducing royalty payments)</t>
  </si>
  <si>
    <t xml:space="preserve">Termination of a two-year rent holiday for solar and wind projects operating on federal lands.
The Bureau of Land Management has terminated a two-year rent holiday for wind and solar companies using federal land. It’s FY21 budget forecasts collecting $50 million from wind and solar projects in 2020, an increase from roughly $1.1 million in 2019 and $21.6 million in 2018.
In the same statement it also reduced royalty payments for oil companies use of onshore wells on federal land. Oil and gas producers typically pay the federal government 12.5 percent of the revenues from onshore wells on federal land, but the Interior Department’s Bureau of Land Management has approved cuts for between 2.5 and 5 percent, and said it would consider reducing the royalty rate to as low as 0.5 percent.
</t>
  </si>
  <si>
    <t>https://www.reuters.com/article/us-usa-interior-renewables/trump-admin-slaps-solar-wind-operators-with-retroactive-rent-bills-idUSKBN22U0FW</t>
  </si>
  <si>
    <t>Bureau of Land Managemen's decision to raise rents for renewables and reduce them for Oil and Gas producers is an apt illustration of the recoveries direction.</t>
  </si>
  <si>
    <t>USA12</t>
  </si>
  <si>
    <t xml:space="preserve">Alteration of the Industry-Recognized Apprenticeship Programs (IRAPs).
Starting May 11th, the US Department of Labour has introduced the IRAP, which seeks to increase the number of American apprentices from 500,000 to 5 million by decentralizing apprenticeship authority from the DOL to hundreds of third party IRAP authorizers.
Under the new IRAP rules, industry associations, unions, non-profit organizations, and higher education institutions that meet DOL standards can qualify for Stadards Recognition Entity (SRE), which in turn endows them with the authority to bless and oversee IRAPs. 
However, crucially, third-parties are expected to pay for everything
</t>
  </si>
  <si>
    <t>https://www.dol.gov/newsroom/releases/eta/eta20200310</t>
  </si>
  <si>
    <t xml:space="preserve">Expanding the deadline of the NY-Sun Solar Affordability Program (New York)
Whilst New York has paused all non-essential clean energy work under the state’s COVID-19 shutdown, it has extended the completion deadline for projects under its NY-Sun solar affordability program.
Projects awarded funding were provided an extension without penalty or default
</t>
  </si>
  <si>
    <t>https://www.congress.gov/bill/116th-congress/senate-bill/3779</t>
  </si>
  <si>
    <t>741$ Million</t>
  </si>
  <si>
    <t>EV Make-Ready Program: 751$ Million Commitment to improve Electrical Car usage and infrastructure (New York)
 The project seeks to improve electric vehicle (EV) charging station economics by covering up to 90% of the costs to “make-ready” a site for EV charging; these costs currently present an economic barrier to EV charging station developers.
In addition, the program will provide 20,000 rebates  for New Yorkers to purchase electric cars under the Drive Clean Rebate initiative, which provides residents with a rebate of up to $2,000 for the purchase or lease of a new electric car from participating dealers.</t>
  </si>
  <si>
    <t>https://www.governor.ny.gov/news/governor-cuomo-announces-nation-leading-initiatives-expand-electric-vehicle-use-combat-climate</t>
  </si>
  <si>
    <t>10$ Million</t>
  </si>
  <si>
    <t xml:space="preserve">10 million in grants for geothermal-related projects (California) 
California Energy Commission (CEC) awarded nearly $10 million in grants today for three geothermal-related projects that will help California meet its 100 percent clean electricity goal and expand the state’s emerging lithium recovery industry.
The grants were funded through the CEC’s Electric Program Investment Charge (EPIC) program, the state's public interest research initiative.
</t>
  </si>
  <si>
    <t>https://www.energy.ca.gov/news/2020-05/geothermal-lithium-recovery-projects-get-boost-california-energy-commission</t>
  </si>
  <si>
    <t>USA16</t>
  </si>
  <si>
    <t>Treasury Dept and Internal Revenue Service extend the deadlines for renewable energy projects eligible for tax credits as a result of delays due to the coronavirus pandemic. 
(a) “The IRS recognizes that COVID-19 has caused industry-wide delays in the supply chain for components needed to complete renewable energy projects otherwise eligible for important tax credits,” agency says in statement; 
(b) New guidance gives projects required to be completed in four years an additional year; and 
(c) IRS also gives projects more time to meet a safe harbor requirement for starting construction</t>
  </si>
  <si>
    <t>https://news.bloombergtax.com/daily-tax-report/u-s-treasury-extends-deadlines-for-renewable-energy-projects</t>
  </si>
  <si>
    <t xml:space="preserve">Skills Renewal Act (Still in congress, but expected to pass)
This bill allows eligible individuals a refundable tax credit, up to $4,000 in a taxable year, for expenses paid for qualified training services. The bill defines
•	qualified training service as a course or program of study that is listed in provisions of the Workforce Innovation and Opportunity Act or that relates to computer science, technology, or another high-need area, such as a coding boot camp, that have been precertified by the Department of Labor; and
•	eligible individual as an individual who became unemployed or furloughed in 2020 but was otherwise able to work and was available for work and has applied for or is receiving pandemic emergency unemployment compensation related to COVID-19 (i.e., coronavirus disease 2019).
</t>
  </si>
  <si>
    <t>50$ Billion (Proposal)</t>
  </si>
  <si>
    <t xml:space="preserve">Biden Re-training Proposal (campaign proposal)
Joe Biden has proposed a $50 billion investment in workforce training, including community-college business partnerships and apprenticeships.
These funds would exponentially increase the number of apprenticeships by strengthening the Registered Apprenticeship Program. A large section of these apprecentiships are planned to occur within clean tech. 
</t>
  </si>
  <si>
    <t>https://joebiden.com/BeyondHS/</t>
  </si>
  <si>
    <t xml:space="preserve">60$ Billion </t>
  </si>
  <si>
    <t>A total of US$60 billion in bailout funding has been made available to ten airlines in the US. 
The stimulus was provided without any green conditions, although conditions on employee retention and equity stakes have been introduced for some carriers depending on firm financials. 
The US government has warrants on up to 1.9% of shares for any airline receiving grants or loans.</t>
  </si>
  <si>
    <t>https://www.vivideconomics.com/wp-content/uploads/2020/07/GreenStimulusIndex14July.pdf</t>
  </si>
  <si>
    <t xml:space="preserve">In response to record low oil prices recorded during the covid-19 pandemic, the US Administration issued a new guidance where all companies would be eligible for near-zero royalties whenever the price of oil goes below a certain point. The US Federal Government has lowered royalty charges including those for oil and gas extraction, from 12.5% of gross sales to 0.5%. 
In April 2020, the Bureau of Land Management (BLM) approved all 76 reduction requests it received and notified oil and gas companies the reduction of royalty rates from 12.5% to as low as 0.5%.
</t>
  </si>
  <si>
    <t>https://www.ft.com/content/4d3d88c8-7eb6-4d06-bec0-c0ca8d91a045</t>
  </si>
  <si>
    <t xml:space="preserve">Changes to tax restrictions and rebates loosened rules on accounting for business losses, allowing businesses to carry back losses from 2018-2020 (both before and as a result of COVID-19) and decrease taxable profits for years prior to 2018. 
At least 37 oil companies claimed more than USD 1.9 billion in CARES act tax benefits. National Oilwell Varco expects to file a tax refund claim for $123 million by carrying back its 2019 net operating losses.  Diamond Offshore Drilling recognized a tax benefit of $9.7 million as a result of the CARES Act carry back, despite facing bankruptcy.  Occidental Petroleum Corporation anticipates a cash refund of approximately $195 million.
</t>
  </si>
  <si>
    <t xml:space="preserve">https://www.wri.org/blog/2020/06/coronavirus-stimulus-packages-clean-energy
https://www.bloomberg.com/news/articles/2020-05-15/-stealth-bailout-shovels-millions-of-dollars-to-oil-companies?sref=vdNmoUVL
</t>
  </si>
  <si>
    <t xml:space="preserve">US Administration plans to pay drillers to leave oil in ground amid covid-induced record low prices (21 Apr)
Under the plan the US Energy Department would pay producers not to produce and make the untapped crude part of the US government’s emergency stockpile. The agency would contract with companies to buy proven oil reserves but delay production for several years, if not indefinitely. 
</t>
  </si>
  <si>
    <t>https://www.bloomberg.com/news/articles/2020-04-15/u-s-weighs-paying-drillers-to-leave-oil-in-the-ground-amid-glut?sref=HeRxKWIM</t>
  </si>
  <si>
    <t xml:space="preserve">Wyoming regulators look to stimulate oil production in the state with a new tax relief proposal that calls for a tax exemption until the price of WTI reaches $45 per barrel
While the tax exemption will only be temporary, to be in effect no longer than 12 months after the benchmark price of oil reaches the necessary threshold, its sponsors believe it could have a positive effect on the oil and gas industry in Wyoming.
</t>
  </si>
  <si>
    <t>https://oilprice.com/Energy/Crude-Oil/The-Cowboy-State-Looks-To-Stimulate-Oil-Drilling-With-Tax-Cuts.html</t>
  </si>
  <si>
    <t>GBR2</t>
  </si>
  <si>
    <t>GBR3</t>
  </si>
  <si>
    <t>Buildings</t>
  </si>
  <si>
    <t>https://www.gov.uk/government/news/rishis-plan-for-jobs-will-help-britain-bounce-back</t>
  </si>
  <si>
    <t>GBR4</t>
  </si>
  <si>
    <t>CHE1</t>
  </si>
  <si>
    <t xml:space="preserve">Federal Financial Stimulus Package (not connected to environmental standards)
Switzerland’s COVID-19 response primarily consists of a financial package of more than CHF57 billion ($59.1 billion) to help businesses and institutions cope with the impact of the coronavirus pandemic in Switzerland. Green industries are likely to benefit from this support, but  will not recieve any special treatment.
The package consists of loan guarantees to small and medium-sized companies (CHF40 billion), a scheme for short-time work compensation (CHF6 billion),  benefits for one-person business ventures (CHF5.3 billion) and aid for the Swiss aviation sector (CHF1.9 Billion, see CHE 3 for more details).
Several parliamentary parties tried to link federal COVID-19 aid to environmental standards, but these demands were rejected in the final package. 
</t>
  </si>
  <si>
    <t>https://www.swissinfo.ch/eng/sign-off-session_swiss-parliament-extends-coronavirus-relief-package/45737938</t>
  </si>
  <si>
    <t>CHE2</t>
  </si>
  <si>
    <t>873 Million</t>
  </si>
  <si>
    <t xml:space="preserve">Grant/Loan Support for Swiss Rail and Public Transport
Federal Council has announced seperate fiscal meassures (primarily  grants and credit support) totaling 873 Million USD to help Switzerland's ailing Rail and Public Transport Industry in the wake of COVID-19. This has been justified on the grounds that Switzerland's emission reduction strategy is centered upon increased use of rail and public transport, and therefore the industry needs to come out strong from the crisis. 
</t>
  </si>
  <si>
    <t>https://www.admin.ch/gov/de/start/dokumentation/medienmitteilungen.msg-id-79707.html</t>
  </si>
  <si>
    <t>CHE3</t>
  </si>
  <si>
    <t>Air transport</t>
  </si>
  <si>
    <t>https://www.swissinfo.ch/eng/coronavirus-and-airlines_parliament-pays-up-to-keep-vital-swiss-air-links-open/45740514</t>
  </si>
  <si>
    <t>CHE4</t>
  </si>
  <si>
    <t>47 Million</t>
  </si>
  <si>
    <t xml:space="preserve">Financial support for Solar Energy Installations
The government has increased its financial support of residential and commercial rooftop solar energy markets to help the sectors withstand the COVID-19 crisis.
The Swiss government has increased financial support of its solar PV rebate scheme by $47 million. This means $387.6 million is now available in rebates for rooftop solar energy projects.
Switzerland recorded an increase in the number of residential consumers applying for rebates between 2018 and January 2020. Applications have declined over the past four months, a trend expected to continue due to the worsening pandemic. Authorities predict the situation would lead to failures in compensating for project costs without further financial support. 
</t>
  </si>
  <si>
    <t>https://www.smart-energy.com/renewable-energy/covid-19-switzerland-avoids-a-slump-in-the-solar-market/</t>
  </si>
  <si>
    <t>CHE5</t>
  </si>
  <si>
    <t>168 Million</t>
  </si>
  <si>
    <t>CHE6</t>
  </si>
  <si>
    <t xml:space="preserve">Maintenance of climate targets attatched to Civil Aviation Support
After a long debate, the Swiss government has decided it will not alter climate targets for its aviation industry in the wake of COVID-19. 
Consequently the government’s existing climate targets are still valid and airlines are expected to contribute to them in exchange for financial support.
</t>
  </si>
  <si>
    <t>https://www.reuters.com/article/us-health-coronavirus-swiss-politics/swiss-environmentalists-demand-green-recovery-after-coronavirus-idUSKBN22G1G3</t>
  </si>
  <si>
    <t>CHE7</t>
  </si>
  <si>
    <t>221.1 Million</t>
  </si>
  <si>
    <t xml:space="preserve">Increased subsidies for Renewable Energy Projects
 The federal government has decided to offer additional support for renewable energy by providing the electricity industry with greater planning and investment security, while strengthening supply security.
Subsidies for PV arrays, biomass installations, and hydroelectric power projects will be maintained until 2035, and owners of new wind farms, small hydropower plants, biogas projects, and geothermal facilities will be able to request additional subsidies to cover planning costs.
The cost of the redesigned incentive measures (all renewable) will amount to around CHF 215 million (USD 221.2 million) per year. Incentives will be financed via a levy collected on the network.
</t>
  </si>
  <si>
    <t>SWE1</t>
  </si>
  <si>
    <t>SEK 5 bn</t>
  </si>
  <si>
    <t>17/03 - Proposed credit guarantees for airlines of max SEK 5 billlion (of which 1.5 bn for SAS)</t>
  </si>
  <si>
    <t>https://www.government.se/press-releases/2020/03/state-credit-guarantees-to-airlines-and-expanded-credit-guarantee-framework-for-the-swedish-export-credit-agency-to-mitigate-the-effects-of-sars-cov-2/</t>
  </si>
  <si>
    <t>SWE2</t>
  </si>
  <si>
    <t>Forestry</t>
  </si>
  <si>
    <t>SEK 150 million</t>
  </si>
  <si>
    <t>Relaunching an initiative for green jobs for people who are far from the labour market (part of the Government’s proposed Spring Amending Budget for 2020)</t>
  </si>
  <si>
    <t>https://www.government.se/articles/2020/04/green-jobs-important-measure-to-tackle-unemployment-during-covid-19-crisis/</t>
  </si>
  <si>
    <t>SWE3</t>
  </si>
  <si>
    <t>Give exploration companies an additional year to carry out their work (does not cover exploration permits for coal, oil or gaseous hydrocarbons)</t>
  </si>
  <si>
    <t>https://www.government.se/press-releases/2020/06/one-year-extension-of-exploration-permits-due-to-covid-19-presented-to-riksdag/</t>
  </si>
  <si>
    <t>SWE4</t>
  </si>
  <si>
    <t>The Government proposes an expansion of support for the installation of solar cells to enable more people to be granted support.</t>
  </si>
  <si>
    <t>https://www.government.se/press-releases/2020/04/the-government-presents-the-2020-spring-fiscal-policy-bill/</t>
  </si>
  <si>
    <t>SWE5</t>
  </si>
  <si>
    <t>SEK 120 million</t>
  </si>
  <si>
    <t>The Government proposes a reinforcement of support for the production of biogas.</t>
  </si>
  <si>
    <t>ESP1</t>
  </si>
  <si>
    <t>March 30 2020, essential activities for the maintenance of the activity of agriculture, livestock and fishing can be carried out. Agricultural, livestock and aquaculture production, as well as fishing activity, transformation of agricultural and fishery products, veterinary centers or clinics, transport and distribution of food, as well as its commercialization through retail sales to consumers, form the food supply chain whose activity must be guaranteed in the state of alarm. This implies that the activity of agri-food companies as a whole, including agricultural, livestock, aquaculture and fishing activities, must be maintained, but also that of the companies that, in turn, supply them with the inputs and services necessary to its operation and that they are essential at this time.</t>
  </si>
  <si>
    <t>ESP3</t>
  </si>
  <si>
    <t>Plastics</t>
  </si>
  <si>
    <t xml:space="preserve">Orden SND/445/2020, of the 26th of May and Order SND/271/2020, of the 19th March, by which instructions are established in regards to the management of waste products in the contet of the health crisis caused by COVID-19.  Within the context of article 7.1 of Law 22/2011 this Order supports and specifies methods for managing waste specifically related to COVID-19. </t>
  </si>
  <si>
    <t>ESP4</t>
  </si>
  <si>
    <t xml:space="preserve">Resolution of the 4 May of 2020, of the General Secretary of Fisheries by which activating prices for 2020, in the context of the storage mehcanism for fisheries and aquaculture products financed by the European Maritime Fund for Fisheries. Due to COVID-19 the European Regulation (UE) 2020/560 of the European Parliament and Council of the 23 of April 2020 by which Regulations (UE) n.º 508/2014 y (UE) n.º 1379/2013 are modified in relation to specific measures to limit the impact of COVID-19 in the fishing and aquaculture sectors so that unions can receive financial support by the application of storage during the period of the 1st of February till the 31st of December 2020.  </t>
  </si>
  <si>
    <t>ESP5</t>
  </si>
  <si>
    <t xml:space="preserve">Royal Decree -Law 8/2020, of the 17 of March, of urgent extraordinary measures to face the economic and social impact of COVID-19. Relevant to the environment is the expansion of cover to vulnerable froups in the context of access to essential public services in particular water, natural gas and electricity andfreezing of the prices of LPG. Water supply and natural gas for human consumption is guaranteed by forbidding water cuts when payments are not met if the consumers fall under the category of vulnerable.
Energy supply is ensured by extending the Electrical Social Bond until the 15th of September 2020. Additionally the prices for LPG will not be updated to avoid an increase in their price. </t>
  </si>
  <si>
    <t>ESP7</t>
  </si>
  <si>
    <t xml:space="preserve">Order of SND/440/2020, of the 23rd of May, by which diverse orders are modified to improve the management of the health crisis caused by COVID-19 in the implementation of the context of the recovery plan. Re-opening of natural plans is established as long as visitors do not exceed 20% of the maximum capacity. </t>
  </si>
  <si>
    <t>ESP13</t>
  </si>
  <si>
    <t>Resolution of the 14th of April of 2020, of the Institute of Diversification and Energy Savings (IDAE), E.P.E., M.P., by which the conditions and the procedure to ask  tax exemptions for moratoriums and quota payments that were meant to enf by 2020 in loans formalised by IDAE</t>
  </si>
  <si>
    <t>ESP15</t>
  </si>
  <si>
    <t>Royal Decree 692/2020, of the 21st of July. Measures for the adaptation of the use of maritime-land areas regulated by Law 22/1988, in the contect of exceptional measures adopted by the health authorities in the context of COVID-19</t>
  </si>
  <si>
    <t>ESP17</t>
  </si>
  <si>
    <t xml:space="preserve">On the 7th of May 2020 Royal Decree 5/2020, on the mitigation of the socio-economic impact of COVID-19 in the area of environment in the region of Murcia. </t>
  </si>
  <si>
    <t>ESP19</t>
  </si>
  <si>
    <t>Royal Decree 570/2020, of the 16th of June, by which the administrative process to authorize the import to Spain of species with the enf of preserve spanish native species is regulated.</t>
  </si>
  <si>
    <t>ESP20</t>
  </si>
  <si>
    <t>ESP22</t>
  </si>
  <si>
    <t xml:space="preserve">Royal Decree 569/2020, of the 16th of June, by which subsidies and incentives for efficient and sustainable mobility are regulated. In this context, this programme called MOVES II is designed to face the challenges post COVID-19 in developing a new mobility regime which integrates health safety for passangers and sustanability, energy efficiency and decarbonisation.  </t>
  </si>
  <si>
    <t xml:space="preserve">The Climate Change and Energy Transition Law to reach emission neutrality by 2050 was presented by the respective Ministry and approved by the Spanish Parliamnet (Congreso de los Diputados). We can expect further updates on this topic. </t>
  </si>
  <si>
    <t xml:space="preserve">Order SND/337/2020, of the 9th of April by which measures to guarantee the demand for essential services is met in regards to fuels for cars and boats in the context of COVID-19. </t>
  </si>
  <si>
    <t>SVK1</t>
  </si>
  <si>
    <t>2.097 billion EUR</t>
  </si>
  <si>
    <t>Loan guarantees for financial institutions certified to provide loans in Slovakia. To help enterprises (both SMEs and large) to cope with limited access to capital, caused by events out of the enterprises’ control, and enable them to finance their operational costs and investments in order to maintain employment. Excluded are companies operating in following sectors: primary production of agricultural products, forestry, fishery and aquaculture. Not eligible for credit are: expenditure on the purchase of road haulage vehicles by an enterprise which operates in road haulage; decommissioning or construction of nuclear power plants; investments aimed at reducing greenhouse gas emissions from activities listed in Annex I to Directive 2003/87/EC; production, processing and marketing of tobacco and tobacco products; investments in airport infrastructure, unless they are related to environmental protection or are accompanied by investments necessary to mitigate or reduce the negative impact of that infrastructure on the environment.</t>
  </si>
  <si>
    <t>https://sario.sk/sites/default/files/files/new_loan_instrument_for_smes_by_sih-sih_anti-corona_guarantee_2.pdf</t>
  </si>
  <si>
    <t>SVK2</t>
  </si>
  <si>
    <t>-</t>
  </si>
  <si>
    <t>SVK3</t>
  </si>
  <si>
    <t>https://www.mhsr.sk/uploads/files/O7zsfw1f.pdf</t>
  </si>
  <si>
    <t>SVK4</t>
  </si>
  <si>
    <t>SVK5</t>
  </si>
  <si>
    <t>PRT1</t>
  </si>
  <si>
    <t>Expansion of the Lisbon and Porto metros, new bridge over the Douro. It also proposes to accelerate the electric mobility of cities, including providing public transport fleets with zero-emission vehicles, electric or hydrogen.</t>
  </si>
  <si>
    <t>PRT2</t>
  </si>
  <si>
    <t>High speed resumption and new airport. This connection "will enhance the affirmation of the two metropolitan areas of the country and their operation in a network", in addition to bringing "great environmental gains by dispensing with aerial connections". The environmental impacts of building a new airport are unclear - presumably could increase flight capacity.</t>
  </si>
  <si>
    <t>PRT3</t>
  </si>
  <si>
    <t>Compliance with the European Ecological Pact. The economic recovery for Portugal from 2020 to 2030 has to fulfil the objectives of the European Ecological Pact. The manager considers that "society recognises and demands a green recovery plan" and points out as objectives "more renewable energy, more gas and less coal, more electricity, more digital technologies". It reaffirms the commitment "of carbon neutrality and the path of reducing emissions", fulfilling the 2030 targets of the national plans for energy and circular economy, such as the use of 80 percent of renewable energies.</t>
  </si>
  <si>
    <t>PRT4</t>
  </si>
  <si>
    <t>PRT5</t>
  </si>
  <si>
    <t>Centre for managing natural hazards and solutions for the water scarcity. Evidencing a concern with the transformation of the landscape, in order to restore ecosystems, balance land use and combat desertification, the preliminary version highlights the need to create a competence centre for the management of natural and public health risks.
“Portugal may face significant risks in the future, not only in terms of new pandemics, but also in terms of seismic, energy, climate, cyber attacks, natural risks of various types. It is important for the country to invest in its capacities and human resources directed towards the identification and prevention of risk, and the development of response strategies and resilience of the territory”</t>
  </si>
  <si>
    <t>PRT6</t>
  </si>
  <si>
    <t>International consortia to explore national resources. Unclear the implications: the policy proposed creation of "international consortia" to take advantage of its strategic resources such as minerals for energy transition (lithium, cobalt, nickel, niobium, tantalum, rare earths) important in the energy transition (manufacture of new batteries, high-end electronics industry precision) - but extraction will have environmental implications.</t>
  </si>
  <si>
    <t>NOR1</t>
  </si>
  <si>
    <t>Loan guaranties to airline companies under some conditions</t>
  </si>
  <si>
    <t>NOR2</t>
  </si>
  <si>
    <t>NOR3</t>
  </si>
  <si>
    <t>NOK 59 
billion in 2020 and NOK 40 billion in 2021. Tax revenues should increase in later years.</t>
  </si>
  <si>
    <t>https://www.regjeringen.no/contentassets/a29386c923894b9b91a8df7a0903fff2/no/pdfs/prp201920200127000dddpdfs.pdf
https://oilprice.com/Energy/Energy-General/Tax-Relief-Lowers-Breakeven-Prices-For-Norwegian-Oil-Drillers.html</t>
  </si>
  <si>
    <t>NOR4</t>
  </si>
  <si>
    <t>https://www.regjeringen.no/contentassets/a29386c923894b9b91a8df7a0903fff2/no/pdfs/prp201920200127000dddpdfs.pdf</t>
  </si>
  <si>
    <t>NOR5</t>
  </si>
  <si>
    <t>Maritime transport</t>
  </si>
  <si>
    <t>NOR6</t>
  </si>
  <si>
    <t>Increased grants to 3 R&amp;D-funding organisations other than Enova</t>
  </si>
  <si>
    <t>NOR7</t>
  </si>
  <si>
    <t>Grants to stimulate a circular economy</t>
  </si>
  <si>
    <t>NOR8</t>
  </si>
  <si>
    <t>Grants to promote ocean-based wind tubines</t>
  </si>
  <si>
    <t>NOR9</t>
  </si>
  <si>
    <t>Grants to support genbanks for wild salmon, etc.</t>
  </si>
  <si>
    <t>NOR10</t>
  </si>
  <si>
    <t>Grants to increase the basic funding of environmental research institutions</t>
  </si>
  <si>
    <t>NOR11</t>
  </si>
  <si>
    <t>Grants to "Klimasats", which supports measures in local authorities to reduce GHG emissions</t>
  </si>
  <si>
    <t>NOR12</t>
  </si>
  <si>
    <t>Increased grants to support measures to prevent invasive species</t>
  </si>
  <si>
    <t>NOR13</t>
  </si>
  <si>
    <t>NOR14</t>
  </si>
  <si>
    <t>A reduction to zero of Bank of Norway's lending rate to the banks, in three stages, from 1½% prior to the crisis.</t>
  </si>
  <si>
    <t>NOR15</t>
  </si>
  <si>
    <t>NOK 2 billion. The Government may exceed the limit by NOK 300 million if needed</t>
  </si>
  <si>
    <t>Purchase of regional air transport services, in order to compensate to income losses</t>
  </si>
  <si>
    <t>NOR16</t>
  </si>
  <si>
    <t>Purchase of services from airline companies for home transport of Norwegian citizens from abroad</t>
  </si>
  <si>
    <t>NOR17</t>
  </si>
  <si>
    <t xml:space="preserve">NOK 235 million </t>
  </si>
  <si>
    <t>Purchase of services from ferry companies operating in connection with national roads, in order to compensate to income losses</t>
  </si>
  <si>
    <t>NOR18</t>
  </si>
  <si>
    <t xml:space="preserve">NOK 100 million </t>
  </si>
  <si>
    <t>Income support for commercial bus and ferry companies</t>
  </si>
  <si>
    <t>NOR19</t>
  </si>
  <si>
    <t>NOK 1550 million. The Government may exceed the limit by NOK 300 if needed.</t>
  </si>
  <si>
    <t>Purchase of services from railway companies, in order to compensate to income losses</t>
  </si>
  <si>
    <t>NOR20</t>
  </si>
  <si>
    <t>NOK 900 million</t>
  </si>
  <si>
    <t>Increased maintenance of road, railway and coastal infrastructure</t>
  </si>
  <si>
    <t>NZL1</t>
  </si>
  <si>
    <t>NZD 27.5 million  (20/21-23/24)</t>
  </si>
  <si>
    <t>Containing Wallabies to Protect Agriculture, Forestry and Native Plants, and Boost Regional Economies This initiative supports regional communities by providing employment and stimulating economic activity across a wide range of goods and services providers, through delivery of a management plan for wallabies. This initiative will enable more effective management of wallabies and reduce their growing impact on agriculture, plantation forestry and native vegetation. It will fund increased aerial and ground based control operations, including fencing to push wallabies back to existing containment/buffer zones in the Bay of Plenty, Waikato, Canterbury and Otago regions. This initiative will enable national coordination to contain and control wallabies in New Zealand.</t>
  </si>
  <si>
    <t>https://treasury.govt.nz/system/files/2020-05/b20-sum-initiatives-crrf.pdf</t>
  </si>
  <si>
    <t>NZL2</t>
  </si>
  <si>
    <t>NZD 100 million (20/21-23/24)</t>
  </si>
  <si>
    <t>National Wilding Conifer Control Programme to Boost Regional Economies and Employment This initiative supports regional communities by providing employment opportunities and stimulating economic activity across a wide range of goods and services providers by controlling wilding conifers. This funding will enable the removal of extensive infestations, reduce the spread of wilding conifers, and minimise lifetime control costs. Controlling wilding conifers will also help to protect farmland, water and biodiversity.</t>
  </si>
  <si>
    <t>NZL3</t>
  </si>
  <si>
    <t>NZ 10.55 million (20/21)</t>
  </si>
  <si>
    <t>Preventing Food Waste and Supporting Primary Sector Production by Supplying Food to New Zealanders in Need This initiative addresses acute immediate food production challenges from the drop off in demand through COVID-19 restrictions by maintaining and redirecting products to struggling communities. The initiative will establish a contingency fund to directly purchase products where significant food waste, animal welfare, biosecurity concerns or environmental concerns would otherwise result, and will scale up Fruit in Schools to provide an additional 10,000 fruit and vegetable boxes a week for 10 weeks and enable other food products likely to be wasted to be redirected. It will also fund the development and trial of digital platforms to enable other novel solutions to connect food with consumers.</t>
  </si>
  <si>
    <t>NZL4</t>
  </si>
  <si>
    <t>NZD 80 million</t>
  </si>
  <si>
    <t>Replacing Lost Frontline Biosecurity Operations Revenue This initiative will fund existing border biosecurity operations that are usually funded through passenger and cargo levies, as COVID-19 restrictions have eliminated passenger revenue and reduced cargo and freight revenue. Replacement funding will enable the Ministry for Primary Industries to pay existing salaries and other necessary operating costs (eg, scanning equipment leases) in the short to medium term. This will ensure New Zealand can manage biosecurity risks at the border</t>
  </si>
  <si>
    <t>NZL5</t>
  </si>
  <si>
    <t>NZD 56.4 million (20/21-21/22)</t>
  </si>
  <si>
    <t>Expanding the Warmer Kiwi Homes Programme to Support Low-Income Households This initiative provides funding for subsidised insulation and heating retrofits in houses occupied by low-income owners. It will expand the Energy Efficiency and Conservation Authority’s existing Warmer Kiwi Homes programme and will increase the proportion of the cost of insulation and heating retrofits that is covered by government grants. This will increase the incentive for low-income owner-occupiers to access the Warmer Kiwi Homes grants. It will provide a greater level of support to help lowincome households keep their homes warm and dry, leading to significant health benefits.</t>
  </si>
  <si>
    <t>NZL6</t>
  </si>
  <si>
    <t>Enhancing Biodiversity Outcomes on Public and Private Land This initiative will fund significant job creation across the country, particularly in the regions through nationwide community programmes delivered by third party providers, regional councils and landowner groups to provide support for protection and restoration of indigenous biodiversity and habitat, revegetation of private and public conservation land and land riparian buffer protection and maintenance.</t>
  </si>
  <si>
    <t>NZL7</t>
  </si>
  <si>
    <t>NZD 147.506 million (20/21-23/24)</t>
  </si>
  <si>
    <t>Pest Management, Including Predator Free and Eradication This initiative will fund significant job creation across the country, particularly in the regions through nationwide community and catchment led pest and predator control programmes. This will assist in protecting New Zealand’s most threatened species and habitats</t>
  </si>
  <si>
    <t>NZL8</t>
  </si>
  <si>
    <t>NZD 200 million (20/21-23/24)</t>
  </si>
  <si>
    <t>Supporting Employment Through Environment Projects on Department of Conservation Land This initiative will focus on the swift redeployment of a portion of the labour market who are facing job insecurity into new temporary nature-based jobs that support regional environmental projects. Projects will include boosting predator control efforts, restoring wetlands, planting, and improving tracks, huts and other recreational and visitor assets on public conservation land.</t>
  </si>
  <si>
    <t>NZL9</t>
  </si>
  <si>
    <t>Phasing Out Problem Plastics and Implementing the Waste Disposal Levy Expansion This initiative will provide funding to establish cross-agency governance to consider recommendations from the Chief Science Advisor’s report on Rethinking Plastics. This will aim to advance key recommendations including standardising kerbside recycling and consumer labelling on recyclability. The initiative will also provide funding to prepare for a potential increase and expansion of the Waste Disposal Levy and improve data on waste and resource recovery, pending Cabinet’s decision.</t>
  </si>
  <si>
    <t>NZL10</t>
  </si>
  <si>
    <t>NZD 433 million (20/21-23/24)</t>
  </si>
  <si>
    <t>Post-COVID-19 Economic Recovery Through Environment-Related Activity: Improving the Health of New Zealand’s Waterways This initiative will provide funding to improve the health of New Zealand's waterways and support economic recovery. This will involve working in partnership with local government and farmers. It will include restoring mini wetlands, stabilising river banks, removing sediment, and providing for fish passage. The funding will support employment across New Zealand, including the Kaipara catchment.</t>
  </si>
  <si>
    <t>NZL11</t>
  </si>
  <si>
    <t>NZD 40 million (20/21-23/24)</t>
  </si>
  <si>
    <t>Land Information New Zealand Biosecurity Programme for Immediate and Sustained Job Creation to Remove Pests and Weeds This initiative will enable the scaling up of LINZ biosecurity programme to remove pests and weeds from some of New Zealand's iconic landscapes. This expense will bring immediate and sustained employment and economic stimulus benefits for some of the regions most impacted by COVID-19</t>
  </si>
  <si>
    <t>NZL12</t>
  </si>
  <si>
    <t>NZD 50 million</t>
  </si>
  <si>
    <t>Land Information New Zealand Third Party Funding Shortfall This initiative will provide a capital injection to LINZ to enable LINZ to meet its operating expenses and provide stability for its balance sheet as it faces a significant shortfall in third-party funded revenue as a result of COVID-19.</t>
  </si>
  <si>
    <t>https://www.beehive.govt.nz/release/121-billion-support-new-zealanders-and-business</t>
  </si>
  <si>
    <t>NZL14</t>
  </si>
  <si>
    <t>NZD 600 million</t>
  </si>
  <si>
    <t>NZL15</t>
  </si>
  <si>
    <t xml:space="preserve">No change to Natural Resource Management Act, but consenting process fast-tracked with potential environmental implications. The COVID-19 Recovery (Fast-track Consenting) Act 2020 allows any public or private project to apply to the Minister for the Environment for access to be referred to the fast-track consenting and designation process.  
The Minister will consider a project against criteria that includes consideration of the economic benefits a project will give to communities or industries affected by COVID-19; how it will affect social and cultural wellbeing now and into the future; whether the project’s timeline will benefit from the fast track process; and the public benefit that would accrue from the project.  </t>
  </si>
  <si>
    <t>NLD1</t>
  </si>
  <si>
    <t>NLD2</t>
  </si>
  <si>
    <t>https://www.theguardian.com/world/2020/apr/24/dutch-officials-reveal-measures-to-cut-emissions-after-court-ruling</t>
  </si>
  <si>
    <t>MEX1</t>
  </si>
  <si>
    <t>MEX2</t>
  </si>
  <si>
    <t>MXN 65 million ( USD 2.88 million)</t>
  </si>
  <si>
    <t>Tax reduction for PEMEX (State-owned oil company)</t>
  </si>
  <si>
    <t>MEX3</t>
  </si>
  <si>
    <t>(MXN25 billion )USD 1.1 billion- not all going to water facilities (see summary)</t>
  </si>
  <si>
    <t>Construction of pavement and drinking water facilities in deprived areas</t>
  </si>
  <si>
    <t>MEX4</t>
  </si>
  <si>
    <t xml:space="preserve">MXN 177 million (USD 7.8 million) </t>
  </si>
  <si>
    <t>MEX5</t>
  </si>
  <si>
    <t>LTU1</t>
  </si>
  <si>
    <t>1.1 billion Euros</t>
  </si>
  <si>
    <t>1.1 Billion for Healthcare</t>
  </si>
  <si>
    <t>https://www.imf.org/en/Topics/imf-and-covid19/Policy-Responses-to-COVID-19#L</t>
  </si>
  <si>
    <t>LTU2</t>
  </si>
  <si>
    <t>1.3 billion euros</t>
  </si>
  <si>
    <t>1.3 billion for SME loans</t>
  </si>
  <si>
    <t>LTU3</t>
  </si>
  <si>
    <t>1 billion euros</t>
  </si>
  <si>
    <t>additional 1 billion for businesses economic recover</t>
  </si>
  <si>
    <t>LTU4</t>
  </si>
  <si>
    <t>6.3 billion Euro</t>
  </si>
  <si>
    <t>plan was approved, comprising 6.3 billion euros, of which 2.2 billion euros is new investment and the remainder is already planned investment that will be accelerated. The plan covers investments in human capital, digital economy and business, innovation and research, infrastructure and climate change and energy through the end of 2021.</t>
  </si>
  <si>
    <t>LTU5</t>
  </si>
  <si>
    <t>the Bank of Lithuania has lowered its counter-cyclical capital buffer from 1 to 0 percent and has encouraged banks to be flexible and negotiate, on a case-by-case basis, loan terms with borrowers if necessary</t>
  </si>
  <si>
    <t>LVA1</t>
  </si>
  <si>
    <t>Rail Baltica: additional EU funding for large-scale infra project connecting the rail networks of the Baltic states with Finland (via ferry) and Poland</t>
  </si>
  <si>
    <t>https://www.mk.gov.lv/en/aktualitates/karins-more-10-billion-euros-will-be-available-latvian-economy-over-next-seven-years</t>
  </si>
  <si>
    <t>KOR1</t>
  </si>
  <si>
    <t>Ministry of Environment of Korea, 7 April:
https://www.me.go.kr/home/web/board/read.do?pagerOffset=20&amp;maxPageItems=10&amp;maxIndexPages=10&amp;searchKey=title&amp;searchValue=%EC%BD%94%EB%A1%9C%EB%82%98&amp;menuId=286&amp;orgCd=&amp;boardId=1363780&amp;boardMasterId=1&amp;boardCategoryId=&amp;decorator=
Hankook Ilbo, 8 April: "Ministry of Environment to temporarily relax standards of the 'Enforcement rule of the Act on registration, evaluation, etc. of chemicals' and the 'Toxic chemicals control Act' as economic circles called on the government"
https://www.hankookilbo.com/News/Read/202004081761027378
Seoul Newspaper, 7 April: "Korea to relax environmental regulation in light of the COVID-19 outbreak...charge reduction period to be extended" - 'Act on the promotion of saving and recycling of resources' was partially revised (Temporary waste charge reduction for small and medium enterprises producing plastics to be extended into 2021) and scheduled to take effect on14 April 2020, following the announcement on the same day
http://www.seoul.co.kr/news/newsView.php?id=20200407500105</t>
  </si>
  <si>
    <t>KOR2</t>
  </si>
  <si>
    <t>Ministry of Environment of Korea, 12 April:
https://www.me.go.kr/home/web/board/read.do?pagerOffset=10&amp;maxPageItems=10&amp;maxIndexPages=10&amp;searchKey=title&amp;searchValue=%EC%BD%94%EB%A1%9C%EB%82%98&amp;menuId=286&amp;orgCd=&amp;boardId=1364490&amp;boardMasterId=1&amp;boardCategoryId=&amp;decorator=</t>
  </si>
  <si>
    <t>KOR3</t>
  </si>
  <si>
    <t xml:space="preserve">
Ministry of Environment of Korea, 22 April:
https://www.me.go.kr/home/web/board/read.do?pagerOffset=10&amp;maxPageItems=10&amp;maxIndexPages=10&amp;searchKey=title&amp;searchValue=%EC%BD%94%EB%A1%9C%EB%82%98&amp;menuId=286&amp;orgCd=&amp;boardId=1366820&amp;boardMasterId=1&amp;boardCategoryId=&amp;decorator=
Seoul Newspaper, 22 April:  https://www.seoul.co.kr/news/newsView.php?id=20200422500115&amp;wlog_tag3=naver
E-daily, 22 April:
https://www.edaily.co.kr/news/read?newsId=02817526625738744&amp;mediaCodeNo=257&amp;OutLnkChk=Y</t>
  </si>
  <si>
    <t>KOR4</t>
  </si>
  <si>
    <t>KOR5</t>
  </si>
  <si>
    <t>Ministry of Environment of Korea, 22 April:
https://www.me.go.kr/home/web/board/read.do?pagerOffset=10&amp;maxPageItems=10&amp;maxIndexPages=10&amp;searchKey=title&amp;searchValue=%EC%BD%94%EB%A1%9C%EB%82%98&amp;menuId=286&amp;orgCd=&amp;boardId=1366840&amp;boardMasterId=1&amp;boardCategoryId=&amp;decorator=</t>
  </si>
  <si>
    <t>KOR6</t>
  </si>
  <si>
    <t>KRW 11.2 billion</t>
  </si>
  <si>
    <t>Ministry of Environment of Korea, 13 May:
https://www.me.go.kr/home/web/board/read.do?pagerOffset=10&amp;maxPageItems=10&amp;maxIndexPages=10&amp;searchKey=title&amp;searchValue=%EC%BD%94%EB%A1%9C%EB%82%98&amp;menuId=286&amp;orgCd=&amp;boardId=1370870&amp;boardMasterId=1&amp;boardCategoryId=&amp;decorator=</t>
  </si>
  <si>
    <t>KOR7</t>
  </si>
  <si>
    <t>KOR8</t>
  </si>
  <si>
    <t>JPN1</t>
  </si>
  <si>
    <t>¥5 billion</t>
  </si>
  <si>
    <t xml:space="preserve">Support the installation of self-consumption, on-site solar power generation facilities through PPA. 
Also includes support for supply chain reform and domestic investment in production bases. </t>
  </si>
  <si>
    <t>unquantified</t>
  </si>
  <si>
    <t>ITA1</t>
  </si>
  <si>
    <t>EUR 300 mn</t>
  </si>
  <si>
    <t>ITA2</t>
  </si>
  <si>
    <t>EUR 11.4 bn</t>
  </si>
  <si>
    <t>Incentives for: (a) thermal insulations of buildings / heating (heat pumps) / energy efficiency in the form of tax reductions // (b) for the installation on buildings of photovoltaic solar panels conected to the power grid // © For the installation of infrastructure for EV charging in buildings // all in the form of tax reductions. Distribution of resources: EUR 62.2 million in 2020; EUR 1,268.4 million in 2021; EUR 3,239.2 million in 2022, EUR 2827.9 million in 2023, EUR 2,659 million in 2024 and 2025; EUR 1,290.1 million in 2026; 11.2 million EUR in 2031 and EUR 48.6 million in 2032</t>
  </si>
  <si>
    <t>ITA3</t>
  </si>
  <si>
    <t>ITA4</t>
  </si>
  <si>
    <t>EUR 40 mn</t>
  </si>
  <si>
    <t xml:space="preserve">Establishment of a a fund of € 40 million aimed at supporting micro, small and medium enterprises that operate in "economic-environmental zones" (e.g. national parks) and that carry out "eco-friendly" activities. </t>
  </si>
  <si>
    <t>ITA5</t>
  </si>
  <si>
    <t>EUR 0.05 bn</t>
  </si>
  <si>
    <t>In order to encourage "sustainable mobility alternatives", under a government scheme residents of age living in cities with more than 50,000 residents can claim back 60% of the cost of a new bike, an electric bike, small electric vehicles (not cars) etc, up to EUR 500 per person.</t>
  </si>
  <si>
    <t>ITA6</t>
  </si>
  <si>
    <t>In order to favor the decongestion of traffic in the urban areas by reducing the use of the private vehicles, businesses and public administrations listed in article 1, paragraph 2, of the legislative decree 30 March 2001, n.165, with single local units with more than 100 employees located in a regional capital, in a metropolitan city, in a provincial capital or in a municipality with a population of more than 50,000 inhabitants are required to adopt by December 31 of every year, a plan of home-work travel of one's own employees aimed at reducing the use of the vehicle individual private transport by appointing a mobility manager. The
Mobility Manager promotes, also collaborating in the adoption of the plan of sustainable mobility, the realization of interventions of organization and management of the demand for mobility in order to allow structural and permanent reduction of the environmental impact deriving from vehicular traffic in the  urban and metropolitan areas through the implementation of interventions of sustainable mobility.</t>
  </si>
  <si>
    <t>ITA7</t>
  </si>
  <si>
    <t>EUR 100 mn (unclear)</t>
  </si>
  <si>
    <t>Incentives for the technological innovation in areas of energy efficiency and renewable energies</t>
  </si>
  <si>
    <t>IRL1</t>
  </si>
  <si>
    <t>440 million Euros</t>
  </si>
  <si>
    <t xml:space="preserve">https://www.gov.ie/en/press-release/946d8-minister-donohoe-announces-details-of-tax-measures-contained-in-the-july-stimulus-plan/ </t>
  </si>
  <si>
    <t>IRL2</t>
  </si>
  <si>
    <t>IRL3</t>
  </si>
  <si>
    <t>IRL4</t>
  </si>
  <si>
    <t>2.35 billion Euros</t>
  </si>
  <si>
    <t>IRL5</t>
  </si>
  <si>
    <t>IRL6</t>
  </si>
  <si>
    <t>IRL7</t>
  </si>
  <si>
    <t>150 million Euros</t>
  </si>
  <si>
    <t>IRL8</t>
  </si>
  <si>
    <t>18 million Euros</t>
  </si>
  <si>
    <t>IRL9</t>
  </si>
  <si>
    <t>IRL10</t>
  </si>
  <si>
    <t>ISL1</t>
  </si>
  <si>
    <t>Reimbursement of VAT on labour for work carried out at a residential construction site will temporarily be increased from 60% to 100%. The authorisation will also extend to vacation property and to design or supervision.</t>
  </si>
  <si>
    <t>https://www.government.is/topics/economic-affairs-and-public-finances/measures-in-response-to-covid19/#Tab3</t>
  </si>
  <si>
    <t>ISL2</t>
  </si>
  <si>
    <t>R&amp;D grantsA special tax deduction shall be granted to innovation companies in the years 2021 and 2022. The deduction shall amount to 35% of the expenses incurred to smaller and medium sized companies but 25% of expenses to large companies. The previous rate of this tax deduction was 20%.
The underlying expenses for the deduction cannot amount to more than ISK 1,100,000,000.</t>
  </si>
  <si>
    <t>https://home.kpmg/xx/en/home/insights/2020/04/iceland-tax-developments-in-response-to-covid-19.html</t>
  </si>
  <si>
    <t>ISL3</t>
  </si>
  <si>
    <t>Updated R&amp;D support: The Government of Iceland has prioritised sustaining innovation through the pandemic and has today announced measures that will make additional contributions to companies investing in growth, and reimbursement ratios and caps on search and development (R&amp;D) will be increased. Together the measures equal just under ISK 4.5bn and there is an aim is to expediate reimbursements for R&amp;D expenses in 2019.</t>
  </si>
  <si>
    <t>https://www.government.is/news/article/?newsid=5a7b7cb1-83f7-11ea-9467-005056bc4d74</t>
  </si>
  <si>
    <t>ISL4</t>
  </si>
  <si>
    <t>HUN1</t>
  </si>
  <si>
    <t xml:space="preserve">Employers who have employees working in R&amp;D receive 40% salary support for three months </t>
  </si>
  <si>
    <t>Hungarian Parliament: https://www.parlament.hu/irom41/10735/10735.pdf</t>
  </si>
  <si>
    <t>HUN2</t>
  </si>
  <si>
    <t>HUN3</t>
  </si>
  <si>
    <t>Energy efficiency microentreprises and SMEs to receive support for technology development</t>
  </si>
  <si>
    <t>HUN4</t>
  </si>
  <si>
    <t xml:space="preserve">Structural digital training </t>
  </si>
  <si>
    <t>HUN5</t>
  </si>
  <si>
    <t xml:space="preserve">Priority public road projects </t>
  </si>
  <si>
    <t>https://www.portfolio.hu/en/economy/20200702/hungarian-government-exhausts-coronavirus-war-chest-in-no-time-439652</t>
  </si>
  <si>
    <t>HUN6</t>
  </si>
  <si>
    <t xml:space="preserve">Renewal of public road projects </t>
  </si>
  <si>
    <t>HUN7</t>
  </si>
  <si>
    <t>HUN8</t>
  </si>
  <si>
    <t xml:space="preserve">Reimbursement of the costs of public passenger transport by bus </t>
  </si>
  <si>
    <t>https://www.portfolio.hu/en/economy/20200715/hungarian-govt-reallocates-huf-300-billion-from-economic-protection-fund-441326</t>
  </si>
  <si>
    <t>HUN9</t>
  </si>
  <si>
    <t xml:space="preserve">Expenses relating to the termination of the cushion gas contract </t>
  </si>
  <si>
    <t>https://www.portfolio.hu/en/economy/20200715/hungarian-govt-reallocates-huf-300-billion-from-economic-protection-fund-441327</t>
  </si>
  <si>
    <t>HUN10</t>
  </si>
  <si>
    <t xml:space="preserve">Hungarian Village Programme, village road fund </t>
  </si>
  <si>
    <t>https://www.portfolio.hu/en/economy/20200715/hungarian-govt-reallocates-huf-300-billion-from-economic-protection-fund-441328</t>
  </si>
  <si>
    <t>HUN11</t>
  </si>
  <si>
    <t xml:space="preserve">Support for the National Coordination of Waste Management and Asset Management Plc </t>
  </si>
  <si>
    <t>https://www.portfolio.hu/en/economy/20200715/hungarian-govt-reallocates-huf-300-billion-from-economic-protection-fund-441329</t>
  </si>
  <si>
    <t>HUN12</t>
  </si>
  <si>
    <t xml:space="preserve">Capital increase in nuclear power plant Paks II. Atomerőmű Zrt </t>
  </si>
  <si>
    <t>https://www.portfolio.hu/en/economy/20200715/hungarian-govt-reallocates-huf-300-billion-from-economic-protection-fund-441330</t>
  </si>
  <si>
    <t>HUN13</t>
  </si>
  <si>
    <t>Settlement of the previous reimbursement of the costs of railway passenger transport</t>
  </si>
  <si>
    <t>https://www.portfolio.hu/en/economy/20200715/hungarian-govt-reallocates-huf-300-billion-from-economic-protection-fund-441331</t>
  </si>
  <si>
    <t>HUN14</t>
  </si>
  <si>
    <t>Reimbursement of the costs of railway passenger transport public services</t>
  </si>
  <si>
    <t>https://www.portfolio.hu/en/economy/20200715/hungarian-govt-reallocates-huf-300-billion-from-economic-protection-fund-441332</t>
  </si>
  <si>
    <t>HUN15</t>
  </si>
  <si>
    <t>Reimbursement of the costs of operating Hungary's railway network</t>
  </si>
  <si>
    <t>https://www.portfolio.hu/en/economy/20200715/hungarian-govt-reallocates-huf-300-billion-from-economic-protection-fund-441333</t>
  </si>
  <si>
    <t>HUN16</t>
  </si>
  <si>
    <t>Support for regional water services companies</t>
  </si>
  <si>
    <t>https://www.portfolio.hu/en/economy/20200715/hungarian-govt-reallocates-huf-300-billion-from-economic-protection-fund-441334</t>
  </si>
  <si>
    <t>GRC1</t>
  </si>
  <si>
    <t>GRC2</t>
  </si>
  <si>
    <t xml:space="preserve">Measures introduced since March 2020, in support of business activity, Currently extended until 31/8. For companies under GRC1 - Measures of financial support for employees, independent professionals and self-employed unable to work; also for unemployed. This includes, for example, engineers. Provides a lump sum amount of €800 or vouchers. Since 30 March, employees in the companies may also apply for home rent reduction by 40%.  </t>
  </si>
  <si>
    <t>https://covid19.gov.gr/apozimiosi-idikou-skopou-ypsous-800-efro-se-epipleon-160-000-ergazomenous/; https://covid19.gov.gr/diatirisi-ton-theseon-ergasias-stirixi-tou-isodimatos-ton-ergazomenon/</t>
  </si>
  <si>
    <t>GRC3</t>
  </si>
  <si>
    <t>https://covid19.gov.gr/epistreptea-prokatavoli-gia-epichirisis/</t>
  </si>
  <si>
    <t>GRC4</t>
  </si>
  <si>
    <t>100 mil EUR</t>
  </si>
  <si>
    <t>Establishment of a "Guarantee Fund" as an independent financial unit within the European Investment Fund to improve business access to finance. 
The measure will be implemented through the issuance of guarantees by the European Investment Fund to financial intermediaries (banks) using the resources of the NSRF. Banks in turn will provide business loans guaranteed up to 80% of the loan amount, while this guarantee will cover up to 25% of the volume of business loans granted by each bank under this measure.</t>
  </si>
  <si>
    <t>https://covid19.gov.gr/systasi-tamiou-engyodosias-os-anexartitis-chrimatodotikis-monadas-sto-plesio-tou-evropaikou-tamiou-ependyseon-gia-ti-veltiosi-prosvasis-ton-epichiriseon-se-chrimatodotisi/</t>
  </si>
  <si>
    <t>GRC5</t>
  </si>
  <si>
    <t>3.06 mil EUR</t>
  </si>
  <si>
    <t xml:space="preserve">Subsidy for the unemployed seafarers whose unemployment subsidy has expired or expires in the first quarter of 2020 is extended until 31.5.2020 (1,22 mil EUR to cover about 3,500 unemployed seafarers).Also social security covered. Special purpose compensation for: seafarers whose chartering contracts are suspended in passenger and passegner car ferries performing maritime cabotage, commercial tourist ships, commercial fishing vessels etc; seafarers as above whose employment contract has been terminated in March 2020. Rent reduction for main residence by 40% for seafarers whose enrollement contract is suspended.  </t>
  </si>
  <si>
    <t>https://covid19.gov.gr/metra-gia-tin-prostasia-tis-naftikis-ergasias-ke-tin-aktoploia/</t>
  </si>
  <si>
    <t>GRC6</t>
  </si>
  <si>
    <t>Electricity and gas suppliers are given the opportunity to settle part of their debts related to regulated charges (for example service of general interest, System and Network Usage Charges etc) to the Operators of Transmission Systems and Electricity Distribution Networks and natural gas, as well as the RES and Guarantee Manager. In addition, the RES and Guarantee Manager will receive short-term special purpose loan, to cover uncollected revenues from 13/4 to 30/6.</t>
  </si>
  <si>
    <t>https://covid19.gov.gr/rythmisis-gia-tin-enischysi-tis-refstotitas-stin-agora-energias/</t>
  </si>
  <si>
    <t>GRC7</t>
  </si>
  <si>
    <t>Greek-flagged vessels in cases where, due to the COVID19 pandemic, it is not possible to carry out the inspections of ships required by national or international law, will be allowed to extend both the time of the inspections and the inspections, as welll as the valid certificates of ships (for maritime safety, environmental protection, labour etc).</t>
  </si>
  <si>
    <t>https://covid19.gov.gr/metra-gia-plia-ypo-elliniki-simea-paratasi-pistopiitikon-plion/</t>
  </si>
  <si>
    <t>GRC8</t>
  </si>
  <si>
    <t>10 mil EUR</t>
  </si>
  <si>
    <t xml:space="preserve">Greek State aid scheme to support the floriculture primary production sector in the context of the coronavirus outbreak. </t>
  </si>
  <si>
    <t>https://ec.europa.eu/commission/presscorner/detail/en/ip_20_809</t>
  </si>
  <si>
    <t>GRC9</t>
  </si>
  <si>
    <t>Modification of the institutional framework that governs the implementation of the Measures of Aquaculture, Processing and Modernisation of fishing vessels, of the Operational Program of Fisheries &amp; Marine 2014-2020.</t>
  </si>
  <si>
    <t>https://covid19.gov.gr/metra-ydatokalliergion-metapiisis-ke-eksygchronismou-alieftikon-skafon-tou-epalth-2014-2020/</t>
  </si>
  <si>
    <t xml:space="preserve">GRC10 </t>
  </si>
  <si>
    <t>Additional support to landlords, through the extension of deadlines for payment of certified debts and adjustment installments, the suspension of overdue debt collection and the offset by 25% of certified debts [see also GRC1]</t>
  </si>
  <si>
    <t>https://covid19.gov.gr/prostheti-stirixi-stous-ekmisthotes-akiniton-meso-tis-paratasis-ton-prothesmion-katavolis-veveomenon-ofilon-ke-doseon-rythmiseon-tis-anastolis-ispraxis-lixiprothesmon-ofilon-ke-tou-sympsifismou-kat/</t>
  </si>
  <si>
    <t>GRC11</t>
  </si>
  <si>
    <t>1.25 bil EUR</t>
  </si>
  <si>
    <t>Establishing a Guarantee Fund as an independent financial unit within the Hellenic Development Bank. Purpose: support the economy through the maximum utilisation of financial instruments to meet increased liquidity needs of companies. Through the Guarantee Fund, banks grant new working capital loans guaranteed up to 80% of the amount of each loan with a subsidized guarantee fee, for 40% of the volume of business loans granted by each bank to SMEs or 30% for corporate portfolios.</t>
  </si>
  <si>
    <t>https://covid19.gov.gr/tamio-engyodosias-tis-ellinikis-anaptyxiakis-trapezas/</t>
  </si>
  <si>
    <t>GRC12</t>
  </si>
  <si>
    <t>Until 31.10.2020, in the rented furnished rooms - apartments that are adjacent to the shore and the beach, lagoon, lake or navigable river and which operate legally, can be granted access for the simple use of seashore, beach, shore, with payment, without a call for tender.</t>
  </si>
  <si>
    <t>https://covid19.gov.gr/ektaktes-rythmisis-gia-tin-parachorisi-aplis-chrisis-egialou-ke-paralias-apoklistika-gia-to-etos-2020-logo-tis-pandimias/</t>
  </si>
  <si>
    <t>GRC13</t>
  </si>
  <si>
    <t>VAT reduction from 24% to 13% from 1/6 to 31/10. Covers economic activities such as passenger transport (taxis and car rentals with driver)</t>
  </si>
  <si>
    <t>https://covid19.gov.gr/kathorismos-sygkekrimenou-komistrou-orismenon-diadromon-me-epivatiga-dimosias-chrisis-e-d-ch-taxi-aftokinita-sto-nomo-attikis-tin-periferiaki-enotita-thessalonikis-ke-ti-dimotiki-enotita-kavalas/  ;  https://covid19.gov.gr/kathorismos-tou-elachistou-timimatos-misthosis-gia-ta-e-i-ch-ochimata-me-odigo-apo-01-06-2020-eos-31-10-2020-synepia-tis-miosis-tou-syntelesti-f-p-a-apo-24-se-13-gia-sygkekrimenes-ypiresies/</t>
  </si>
  <si>
    <t>GRC14</t>
  </si>
  <si>
    <t xml:space="preserve">No cruise ships (of any flag) to sail the Greek seas until 30/7. </t>
  </si>
  <si>
    <t>https://covid19.gov.gr/epivoli-tou-metrou-tis-apagorefsis-tou-apoplou-ke-kataplou-krouazieroplion-stin-elliniki-epikratia-pros-periorismo-tis-diadosis-tou-koronoiou/</t>
  </si>
  <si>
    <t>GRC15</t>
  </si>
  <si>
    <t xml:space="preserve">No application of Athens' Low Emission Zone ("Green Ring") until 17/7, to ease citizens' mobility to and from city centre (as congestion in public transport should be avoided for health reasons). </t>
  </si>
  <si>
    <t>https://covid19.gov.gr/paratasi-tis-arsis-ton-metron-periorismou-kykloforias-daktyliou-sto-kentro-tis-athinas/</t>
  </si>
  <si>
    <t>GRC16</t>
  </si>
  <si>
    <t>2 mil EUR</t>
  </si>
  <si>
    <t>Financial support for viticutlurists/ vineyards' owners who apply early harvest measure (green vintage). Amount under the Nataional Support Programme of the wine sector 2019-2023.</t>
  </si>
  <si>
    <t>https://covid19.gov.gr/enischysis-ston-abeloiniko-klado/</t>
  </si>
  <si>
    <t>DEU1</t>
  </si>
  <si>
    <t xml:space="preserve">Removal of solar PV cap; increase of offshore wind target from 15 to 20 GW in 2030. Option for Laender to introduce 1000 minimum distance regulation between wind turbines to increase public acceptability. new opportunity for municipalities and local inhabitants to benefit financially from wind production profits.  </t>
  </si>
  <si>
    <t>https://www.bundesfinanzministerium.de/Content/DE/Standardartikel/Themen/Schlaglichter/Konjunkturpaket/2020-06-03-eckpunktepapier.pdf?__blob=publicationFile</t>
  </si>
  <si>
    <t>DEU2</t>
  </si>
  <si>
    <t>Financial top up of building refurbishment program for 2020 and 2021</t>
  </si>
  <si>
    <t>DEU3</t>
  </si>
  <si>
    <t>1 billion-euro investment to help aircraft cut carbon dioxide emissions by 30%</t>
  </si>
  <si>
    <t>https://www.bloomberg.com/news/articles/2020-06-05/germany-s-recovery-fund-gets-green-hue-with-its-focus-on-climate</t>
  </si>
  <si>
    <t>DEU4</t>
  </si>
  <si>
    <t>9 billion euros through 2040 to build 15 gigawatts of clean hydrogen capacity.</t>
  </si>
  <si>
    <t>DEU5</t>
  </si>
  <si>
    <t xml:space="preserve">700 Million euro to maintain and promote sustainable forestry management, including digitisation of forestry sector and support to investments in modern machinery. </t>
  </si>
  <si>
    <t>DEU6</t>
  </si>
  <si>
    <t xml:space="preserve"> Support to Deutsche Bahn national railway; directed more at propping up distressed operations than reshaping the future of mass transit.</t>
  </si>
  <si>
    <t>DEU7</t>
  </si>
  <si>
    <t>Overhaul of the way Germany has financed its switch to green power, which so far relied on mandatory surcharges that were added to consumers’ electricity bills. At a cost of some 11 billion euros, the government will step in and cut retail-power costs by two euro cents for every kilowatt-hour consumed, which in turn will help drive down the green surcharge for consumers.</t>
  </si>
  <si>
    <t>DEU8</t>
  </si>
  <si>
    <t xml:space="preserve">Investment in bus and truck modernisation program plus increase of financial support for electric buses and charging infrastructure to increase demand for e-buses </t>
  </si>
  <si>
    <t>DEU9</t>
  </si>
  <si>
    <t xml:space="preserve">Injection of new money into research programs to make shipping cleaner: development of new program for new government fleets and LNG refueling; also includes river bank refurbishment and lock modernisation. </t>
  </si>
  <si>
    <t>DEU10</t>
  </si>
  <si>
    <t xml:space="preserve">Additional 2,5 bn Euro to support charging infrastructure for Evs and support R&amp;D in electric mobility and battery manufacturing </t>
  </si>
  <si>
    <t>DEU11</t>
  </si>
  <si>
    <t>Help switch social services/ charities to use electric vehicles in cities, limited to 2020 and 2021.</t>
  </si>
  <si>
    <t>DEU12</t>
  </si>
  <si>
    <t>to support investment in future technologies, for automobile manufacturing firms and their suppliers during 2020 and 2021</t>
  </si>
  <si>
    <t>DEU13</t>
  </si>
  <si>
    <t>Doubling of subsidy when buying EV of up to 40.000 Euro; limited to December 2021. Buying limit to benefit from tax rate of 0.25% for EV for professional use will increase from 40,000 to 60,000</t>
  </si>
  <si>
    <t>DEU14</t>
  </si>
  <si>
    <t xml:space="preserve">Motor vehicle tax for cars will be based more on CO2-emissions. In addition, existing motor vehicle tax break for pure Evs will apply to 2025 and extended to end of 2030. </t>
  </si>
  <si>
    <t>DEU15</t>
  </si>
  <si>
    <t xml:space="preserve">Expansion of project based research (SINTEG program and existing research labs) with focus on energy transition and specifically disruptive technologies in energy systems (specifically digitisation and sectoral coupling) </t>
  </si>
  <si>
    <t>FRA1</t>
  </si>
  <si>
    <t>https://www.economie.gouv.fr/files/files/directions_services/covid19-soutien-entreprises/DP-Plan_soutien_automobile26052020.pdf</t>
  </si>
  <si>
    <t>FRA2</t>
  </si>
  <si>
    <t>FRA3</t>
  </si>
  <si>
    <t>FRA4</t>
  </si>
  <si>
    <t>FRA5</t>
  </si>
  <si>
    <t>FRA6</t>
  </si>
  <si>
    <t>A fund for industrial development in areas including the production of electric motors and the design, production and use of hydrogen systems in cars.</t>
  </si>
  <si>
    <t>FRA7</t>
  </si>
  <si>
    <t>FRA8</t>
  </si>
  <si>
    <t xml:space="preserve">A commercial loan backed by government guarantee to help Renault recover from the impact of coronavirus. </t>
  </si>
  <si>
    <t>FRA9</t>
  </si>
  <si>
    <t>https://www.economie.gouv.fr/plan-soutien-aeronautique</t>
  </si>
  <si>
    <t>FRA10</t>
  </si>
  <si>
    <t>FRA11</t>
  </si>
  <si>
    <t>Financial support for bike repairs, installing temporary parking spaces for bikes and cycle training in a scheme the government says will "democratise" cycling as France emerges from lockdow...</t>
  </si>
  <si>
    <t>https://www.ecologique-solidaire.gouv.fr/plan-velo-des-mesures-concretes-faciliter-lusage-du-velo</t>
  </si>
  <si>
    <t>FRA12</t>
  </si>
  <si>
    <t>FRA14</t>
  </si>
  <si>
    <t>FRA15</t>
  </si>
  <si>
    <t>FIN1</t>
  </si>
  <si>
    <t>https://valtioneuvosto.fi/-/10616/hallitus-paatti-vuoden-2020-neljannesta-lisatalousarvioesityksesta?languageId=en_US</t>
  </si>
  <si>
    <t>DNK1</t>
  </si>
  <si>
    <t>DNK2</t>
  </si>
  <si>
    <t>DNK3</t>
  </si>
  <si>
    <t>DNK4</t>
  </si>
  <si>
    <t>DNK5</t>
  </si>
  <si>
    <t>DNK6</t>
  </si>
  <si>
    <t>DNK7</t>
  </si>
  <si>
    <t>DNK8</t>
  </si>
  <si>
    <t>CZE1</t>
  </si>
  <si>
    <t>3.3 billion CZK</t>
  </si>
  <si>
    <t>The Government has released 3.3 billion CZK for the 2020 Rural Development Program. This funding should help entrepreneurs in agriculture, food and forestry while fighting coronavirus crisis. The main reason for this support is to secure Czech food self-sufficiency.</t>
  </si>
  <si>
    <t>https://www.vlada.cz/en/media-centrum/aktualne/measures-adopted-by-the-czech-government-against-coronavirus-180545/</t>
  </si>
  <si>
    <t>CZE2</t>
  </si>
  <si>
    <t>A bill on an anti-crisis tax package to help the most affected sectors has been adopted, which includes the reduction to 25 percent in road tax on lorries over 3.5 tonnes, shortens the deadline for refunding the overpayment of excise duty on so-called "green diesel"</t>
  </si>
  <si>
    <t>CZE3</t>
  </si>
  <si>
    <t>6.5 billion CZK</t>
  </si>
  <si>
    <t>The preparation of state orders for transport infrastructure - for maintenance, repairs or new investments has been approved. Through the State Fund for Transport Infrastructure, the state will spend 6.5 billion CZK in excess of the current budget. The contractual deadlines for these contracts were also extended.</t>
  </si>
  <si>
    <t>CHL1</t>
  </si>
  <si>
    <t xml:space="preserve">Ley de Modernización Tributaria: https://modernizaciontributaria.hacienda.cl/mas-recursos-para-chile </t>
  </si>
  <si>
    <t>CHL2</t>
  </si>
  <si>
    <t>Suspension of peak hour charge for electricity bills</t>
  </si>
  <si>
    <t>CHL3</t>
  </si>
  <si>
    <t>Postponement of the otherwise mandatory annual vehicle inspection and circulation permit</t>
  </si>
  <si>
    <t>https://www.chileatiende.gob.cl/fichas/23978-revision-tecnica-de-vehiculos-motorizados</t>
  </si>
  <si>
    <t>CAN1</t>
  </si>
  <si>
    <t>CAD 1.72 billion</t>
  </si>
  <si>
    <t xml:space="preserve">Cleaning up orphan and inactive oil and gas wells
Specific to the Covid-19 economic response plan, the Canadian federal government is providing up to CAD 1.72 billion to the governments of Alberta, Saskatchewan and BC and to the AB orphan well association to clean up orphan and inactive oil and gas wells, helping to maintain approximately 5 200 jobs in AB alone. 
</t>
  </si>
  <si>
    <t>https://www.canada.ca/en/department-finance/economic-response-plan.html#energy</t>
  </si>
  <si>
    <t>CAN2</t>
  </si>
  <si>
    <t>CAD 65 billion (up to)</t>
  </si>
  <si>
    <t xml:space="preserve">On 21 April, the Canadian Federal Government also launched the Business Credit Availability Program for medium-sized businesses, including those in the energy sector, to help maintain operations and keep employees on the job. The program will provide up to CAD 65 billion in direct lending but in market terms (no preferential rate). </t>
  </si>
  <si>
    <t>https://www.fasken.com/en/knowledge/2020/04/17-covid-19-aid-package-to-the-canadian-oil-and-gas-industry/</t>
  </si>
  <si>
    <t>AUT1</t>
  </si>
  <si>
    <t>EUR 540 million</t>
  </si>
  <si>
    <t>A public transport ticket is introduced that provides country-wide affordable access to public transport (metro/bus/rail) for a flat fee (EUR 3 per day); alternatively this can be restricted to one or more selected federal states; the allocation for the ticket subsidy is 240 million; the remainder of 300 million is to be invested in climate friendly mobility (expansion of infra networks)</t>
  </si>
  <si>
    <t>https://infothek.bmk.gv.at/zwei-klimaschutzmilliarden-fuer-oesterreich/</t>
  </si>
  <si>
    <t>Measure discussed pre-COVID</t>
  </si>
  <si>
    <t>AUT2</t>
  </si>
  <si>
    <t>EUR 750 million</t>
  </si>
  <si>
    <t>AUT3</t>
  </si>
  <si>
    <t>AUT4</t>
  </si>
  <si>
    <t xml:space="preserve">EUR 300 million </t>
  </si>
  <si>
    <t>Funding for innovations for climate friendly transport  technologies of the future; this includes R&amp;D for battery technologies in vehicles; R&amp;D support also for private companies investing in this type of R&amp;D;</t>
  </si>
  <si>
    <t>AUT5</t>
  </si>
  <si>
    <t xml:space="preserve">EUR 100 million </t>
  </si>
  <si>
    <t>EUR 200  million</t>
  </si>
  <si>
    <t>EUR 350 million</t>
  </si>
  <si>
    <t>air transport</t>
  </si>
  <si>
    <t>EUR 600 million</t>
  </si>
  <si>
    <t>The main airline, Austrian Airlines (a daughter of Lufthansa) is to receive 300 million in form of bank credits guaranteed by the state; 150  million are flowing in form of a direct grant; 150 million are transferred via Lufthansa; the one green condition: 150 million investment for climate efficinet technologies (for ultra short distances up to 350 km an addition ticket tax of EUR 30 was agreed)</t>
  </si>
  <si>
    <t>Waste management</t>
  </si>
  <si>
    <t>Country</t>
  </si>
  <si>
    <t>ISO</t>
  </si>
  <si>
    <t>ARG</t>
  </si>
  <si>
    <t>AUS</t>
  </si>
  <si>
    <t>AUT</t>
  </si>
  <si>
    <t>BEL</t>
  </si>
  <si>
    <t>CAN</t>
  </si>
  <si>
    <t>CHL</t>
  </si>
  <si>
    <t>COL</t>
  </si>
  <si>
    <t>CZE</t>
  </si>
  <si>
    <t>DNK</t>
  </si>
  <si>
    <t>EST</t>
  </si>
  <si>
    <t>FIN</t>
  </si>
  <si>
    <t>FRA</t>
  </si>
  <si>
    <t>DEU</t>
  </si>
  <si>
    <t>GRC</t>
  </si>
  <si>
    <t>HUN</t>
  </si>
  <si>
    <t>ISL</t>
  </si>
  <si>
    <t>IRL</t>
  </si>
  <si>
    <t>ISR</t>
  </si>
  <si>
    <t>ITA</t>
  </si>
  <si>
    <t>JPN</t>
  </si>
  <si>
    <t>KOR</t>
  </si>
  <si>
    <t>LVA</t>
  </si>
  <si>
    <t>LTU</t>
  </si>
  <si>
    <t>LUX</t>
  </si>
  <si>
    <t>MEX</t>
  </si>
  <si>
    <t>NLD</t>
  </si>
  <si>
    <t>NZL</t>
  </si>
  <si>
    <t>NOR</t>
  </si>
  <si>
    <t>POL</t>
  </si>
  <si>
    <t>PRT</t>
  </si>
  <si>
    <t>SVK</t>
  </si>
  <si>
    <t>SVN</t>
  </si>
  <si>
    <t>ESP</t>
  </si>
  <si>
    <t>SWE</t>
  </si>
  <si>
    <t>CHE</t>
  </si>
  <si>
    <t>TUR</t>
  </si>
  <si>
    <t>GBR</t>
  </si>
  <si>
    <t>USA</t>
  </si>
  <si>
    <t>CRI</t>
  </si>
  <si>
    <t>BRA</t>
  </si>
  <si>
    <t>CHN</t>
  </si>
  <si>
    <t>IND</t>
  </si>
  <si>
    <t>IDN</t>
  </si>
  <si>
    <t>ZAF</t>
  </si>
  <si>
    <t>tbc if conditions attached to these</t>
  </si>
  <si>
    <t>Comments</t>
  </si>
  <si>
    <t>Original currency</t>
  </si>
  <si>
    <t>EUR</t>
  </si>
  <si>
    <t>Water</t>
  </si>
  <si>
    <t>EUR1</t>
  </si>
  <si>
    <t>EUR2</t>
  </si>
  <si>
    <t>EUR3</t>
  </si>
  <si>
    <t>EUR4</t>
  </si>
  <si>
    <t>EUR5</t>
  </si>
  <si>
    <t>EUR6</t>
  </si>
  <si>
    <t>EUR7</t>
  </si>
  <si>
    <t>EUR8</t>
  </si>
  <si>
    <t>EUR9</t>
  </si>
  <si>
    <t>EUR10</t>
  </si>
  <si>
    <t>EUR11</t>
  </si>
  <si>
    <t>EUR 5 billion</t>
  </si>
  <si>
    <t>EUR 5.6 billion</t>
  </si>
  <si>
    <t>EUR 7.5 billion</t>
  </si>
  <si>
    <t>biodiversity</t>
  </si>
  <si>
    <t>EUR 10 billion</t>
  </si>
  <si>
    <t>EUR 1.9 billion</t>
  </si>
  <si>
    <t>NGEU: Horizon Europe - reinforce science and innovation. Potentially science and innovation relevant to various environmental issues. An overall climate spending target of 30% will apply to the total amount of expenditure from the NGEU (which encompasses Horizon Europe) and the MFF and be reflected in appropriate targets in sectoral legislation.</t>
  </si>
  <si>
    <t>NGEU: InvestEU - will act as a single EU investment support mechanism for internal action, replacing all existing financial instruments. Its overall objective is to support the policy objectives of the Union by mobilising public and private investment within the EU that fulfil the criterion of additionality, thereby addressing market failures and sub-optimal investment situations that hamper the achievement of EU goals regarding sustainability, competitiveness and inclusive growth. An overall climate spending target of 30% will apply to the total amount of expenditure from the NGEU (which encompasses the InvestEU) and the MFF and be reflected in appropriate targets in sectoral legislation.</t>
  </si>
  <si>
    <t>NGEU: Just Transition Fund - address social and economic consequences of the objective of reaching EU climate neutrality by 2050. An overall climate spending target of 30% will apply to the total amount of expenditure from the NGEU (which encompasses the Just Transition Fund) and the MFF and be reflected in appropriate targets in sectoral legislation.</t>
  </si>
  <si>
    <t xml:space="preserve">NGEU: RescEU - civil protection response to disasters. An overall climate spending target of 30% will apply to the total amount of expenditure from the NGEU (which encompasses the RescuEU) and the MFF and be reflected in appropriate targets in sectoral legislation.
</t>
  </si>
  <si>
    <t>MFF: Part of the complementary Multiannual Financial Framework (MFF) focusses on filling EU coffers to offset increased spending on COVID-19 recovery.  As a first step, a new own resource based on non-recycled plastic waste will be introduced and apply as of 1 January 2021. Commission will put forward in the first semester of 2021 proposals on a carbon border adjustment mechanism for introduction by 1 January 2023. The Commission will put also forward a proposal on a revised ETS scheme, possibly extending it to aviation and maritime.  The proceeds of the new own resources introduced after 2021 will be used for early repayment of NGEU borrowing.</t>
  </si>
  <si>
    <t>EU rescue package: European Stability Mechanism (ESM) to provide Pandemic Crisis Support (based on existing precautionary credit lines) up to 2 percent of 2019 GDP for each euro area country (up to €240 billion in total) to finance health related spending</t>
  </si>
  <si>
    <t>EUR 240 billion</t>
  </si>
  <si>
    <t>EUR 200 billion</t>
  </si>
  <si>
    <t>EU rescue package: providing €25 billion in government guarantees to the European Investment Bank (EIB) to support up to €200 billion to finance to companies, with a focus on SMEs, in form o floans</t>
  </si>
  <si>
    <t>EU rescue package: The EU is putting forward temporary support to mitigate unemployment risks in an emergency (SURE) to help people keep their job during the crisis. The scheme provides loans to member states of up to €100 billion to cover part of the costs related to the creation or extension of national short-time work schemes.</t>
  </si>
  <si>
    <t>n/a</t>
  </si>
  <si>
    <t>https://www.consilium.europa.eu/en/policies/coronavirus/covid-19-economy/</t>
  </si>
  <si>
    <t>https://www.consilium.europa.eu/media/45109/210720-euco-final-conclusions-en.pdf</t>
  </si>
  <si>
    <t>NGEU: Rural Development - part of EU rural development policy and linked to CAP (pillar 2). Understood to have environmental focus but does not appear to have specific environmental targets. An overall climate spending target of 30% will apply to the total amount of expenditure from the NGEU (which encompasses the Rural Dev fund) and the MFFand be reflected in appropriate targets in sectoral legislation.</t>
  </si>
  <si>
    <t xml:space="preserve">An overall climate spending target of 30% will apply to the total amount of expenditure from the NGEU and the MFF (i.e. EUR 550 billion from 2021-2027 from a total of EUR 1.074 trillion) and be reflected in appropriate targets in sectoral legislation. </t>
  </si>
  <si>
    <t>Earlier rescue package not recovery package</t>
  </si>
  <si>
    <t>AUS1</t>
  </si>
  <si>
    <t>AUD 100m</t>
  </si>
  <si>
    <t>Regional Airlines Funding Assistance - assist smaller regional domestic air service providers to help manage cash flow issues they may be experiencing as a result of the mpacts of the Coronavirus.</t>
  </si>
  <si>
    <t>https://treasury.gov.au/sites/default/files/2020-07/Fact_Sheet-COVID-19_Relief_Fund.pdf</t>
  </si>
  <si>
    <t>AUS2</t>
  </si>
  <si>
    <t>AUD 198m</t>
  </si>
  <si>
    <t>Regional Network Air Assistance -  to assist domestic commercial airlines to maintain a basic level of connectivity across their network of regional routes. This is supporting critical air services, connecting regional Australia to freight, medical testing, supplies and essential personnel.</t>
  </si>
  <si>
    <t>AUS3</t>
  </si>
  <si>
    <t>AUD 110m</t>
  </si>
  <si>
    <t xml:space="preserve">Airfreight Support - an International Freight Assistance Mechanism (IFAM) to keep open key international freight links with trading partners for goods coming into and going out of Australia. IFAM will support the efforts of businesses trading internationally, including in the agricultural, seafood and healthcare sectors, to re-establish key global supply chains, which have been disrupted by the Coronavirus, supporting the international economic recovery. </t>
  </si>
  <si>
    <t>AUS4</t>
  </si>
  <si>
    <t>Levy Relief from Commonwealth Fisheries - The Australian Government is waiving the final two instalments of levies for Commonwealth managed fisheries, reducing levies for the 2019-20 financial year by two thirds. No estimate of revenue foregone provided</t>
  </si>
  <si>
    <t>AUS5</t>
  </si>
  <si>
    <t>AUD 12m</t>
  </si>
  <si>
    <t>Fee Waivers for Commonwealth National Parks plus support for businesses operating in Commonwealth National Parks</t>
  </si>
  <si>
    <t>AUS6</t>
  </si>
  <si>
    <t>AUD 8.1m</t>
  </si>
  <si>
    <t>Temporary waiver of environmental management change in the Great Barrier Reef Marine Park</t>
  </si>
  <si>
    <t>AUS7</t>
  </si>
  <si>
    <t>AUD 4m</t>
  </si>
  <si>
    <t>Seafood Sector COVID-19 Support - "Eat Seafood Australia" Campaign</t>
  </si>
  <si>
    <t>AUS8</t>
  </si>
  <si>
    <t>AUD 10m</t>
  </si>
  <si>
    <t xml:space="preserve">Securing forestry resources for economic recovery -  funding to Australia’s forestry industries to help manage the compounding effects of the Coronavirus crisis and the 2019-20 bushfire season. This initiative will safeguard the future timber supply by assisting with the storage of fire-affected salvage logs, processed timber products, and other forestry products. </t>
  </si>
  <si>
    <t>AUS9</t>
  </si>
  <si>
    <t>Temporary oil recycling sector support -  temporarily increases the subsidy paid to oil recyclers under the Product Stewardship Oil Scheme for category one oil from 50 cents per litre to 62 cents per litre. The Australian Government established the Product Stewardship Oil Scheme in 2001 to address the mismanagement of unconsumed used oils. The Australian Government pays a benefit to oil recyclers to incentivise the collection and re-refinement of waste oil. No estimate of subsidy provided.</t>
  </si>
  <si>
    <t>AUS10</t>
  </si>
  <si>
    <t>AUD 715m</t>
  </si>
  <si>
    <t>Support for Australian Airlines and Airports - The Government will provide initial support to our airline industry through an estimated $715 million package of relief from a range of taxes and Government charges. This will include reimbursement of aviation fuel taxes, relief of Airservices Australia charges, rebate for Domestic Aviation Security, funding Regional Aviation Security.</t>
  </si>
  <si>
    <t>https://treasury.gov.au/sites/default/files/2020-03/Fact_sheet-Assistance_for_severely_affected_regions_and_sectors.pdf</t>
  </si>
  <si>
    <t>AUS11</t>
  </si>
  <si>
    <t>AUD 1 billion</t>
  </si>
  <si>
    <t>Support for Coronavirus-affected Regions, Communities and Industries</t>
  </si>
  <si>
    <t>Indeterminate</t>
  </si>
  <si>
    <t>Positive/Negative/Indeterminate</t>
  </si>
  <si>
    <t>CAN3</t>
  </si>
  <si>
    <t>Up to CAD 750 million</t>
  </si>
  <si>
    <t>https://www.nrcan.gc.ca/science-data/funding-partnerships/funding-opportunities/current-funding-opportunities/emissions-reduction-fund/22781</t>
  </si>
  <si>
    <t>CAN4</t>
  </si>
  <si>
    <t>50 million (initially)</t>
  </si>
  <si>
    <t>We launched the Surplus Food Purchase Program with an initial $50 million fund designed to help redistribute existing and unsold inventories, which could include products such as potatoes and poultry, to local food organizations who are serving vulnerable Canadians.</t>
  </si>
  <si>
    <t>https://www.agr.gc.ca/eng/agricultural-programs-and-services/surplus-food-rescue-program/?id=1591298974329</t>
  </si>
  <si>
    <t>CAN5</t>
  </si>
  <si>
    <t>We are waiving ground lease rents from March 2020 through to December 2020 for the 21 airport authorities that pay rent to the federal government. We are also providing comparable treatment for PortsToronto, which operates Billy Bishop Toronto City Airport and pays a charge to the federal government.</t>
  </si>
  <si>
    <t>https://www.canada.ca/en/department-finance/economic-response-plan.html</t>
  </si>
  <si>
    <t>CAN6</t>
  </si>
  <si>
    <t>We are providing up to $17.3 million to the governments of Yukon, Northwest Territories, and Nunavut to support critical air services to Northern and remote communities, in partnership with investments by the territorial governments, to ensure the continued supply of food, medical supplies, and other essential goods and services to remote and fly-in communities.</t>
  </si>
  <si>
    <t>CAN7</t>
  </si>
  <si>
    <t>We will work with tourism operators in national parks, historic sites, and marine conservation areas to defer payments on commercial leases and licences of occupation without interest until September 1, 2020.
In addition, we will waive up to 75 percent of eligible commercial rents for the months of April, May and June 2020 or equivalent amounts of annual rents.</t>
  </si>
  <si>
    <t>CAN8</t>
  </si>
  <si>
    <t>CAD 2.2 billion</t>
  </si>
  <si>
    <t>We are accelerating $2.2 billion in annual federal infrastructure funding for communities through the Gas Tax Fund. The funding will be delivered in one payment in June will help communities quickly move forward with infrastructure projects that will improve our quality of life and help restart local economies. Communities have flexibility to use the funding to meet their local needs. Projects could include access to high-speed broadband, improvements to water and road systems, and the building of cycling and walking paths.</t>
  </si>
  <si>
    <t>https://www.infrastructure.gc.ca/plan/gtf-fte-eng.html</t>
  </si>
  <si>
    <t>CAN9</t>
  </si>
  <si>
    <t>CAD 113 million</t>
  </si>
  <si>
    <t>(Alberta-specific) Alberta Energy Regulator industry levy for a 6 months, achieving $113 million in industry relief.</t>
  </si>
  <si>
    <t>https://www.alberta.ca/relief-for-the-energy-sector.aspx</t>
  </si>
  <si>
    <t>CAN10</t>
  </si>
  <si>
    <t>(Alberta-specific) Extending the term of mineral agreements expiring between March 20, 2020 and March 31, 2021 by 1 year to provide increased certainty for industry by allowing additional time to raise capital and plan future activities.</t>
  </si>
  <si>
    <t>CAN11</t>
  </si>
  <si>
    <t>CAD 1 billion</t>
  </si>
  <si>
    <t>(Alberta-specific, with federal funding) Advancing strategic infrastructure investments, including participation in the Canada Infrastructure Bank’s potential $1 billion project that would develop high-speed rail between Calgary and Banff.</t>
  </si>
  <si>
    <t>https://www.alberta.ca/recovery-plan.aspx#economy</t>
  </si>
  <si>
    <t>CAN12</t>
  </si>
  <si>
    <t>CAN13</t>
  </si>
  <si>
    <t>(Saskatchewan) Provincial relief measures by the Government of Saskatchewan include:
Extending a series of filing and other deadlines to assist the oil and gas sector in stabilizing operations, as their employees transition to working from home.  These extensions do not impact health or environmental safety and apply to routine reporting activities, which will be addressed when the sector returns to normal operations.
Extending mineral rights, scheduled to expire in 2020, by one year.  This includes rights granted under the terms of an oil and gas lease, exploration license or permit.  The extension will provide oil and gas disposition holders with the time necessary to properly evaluate their properties once the current situation stabilizes.
Reducing the industry portion of the Oil and Gas Administrative Levy by 50 per cent this fiscal year and delaying the invoicing of the remaining balance until October 1, 2020.  This will provide the sector with relief of $11.4 million to address immediate liquidity challenges. (It is important to note that unlike other sectors, the oil and gas sector pays for 90 per cent of its own regulatory costs).</t>
  </si>
  <si>
    <t>https://www.saskatchewan.ca/government/news-and-media/2020/april/14/oil-industry-support</t>
  </si>
  <si>
    <t>POL1</t>
  </si>
  <si>
    <t>The compensation system for energy-intensive sectors and sub-sectors to improve and accelerate compensation payments for indirect costs of emission allowances that were incurred by energy-intensive enterprises in 2019;</t>
  </si>
  <si>
    <t>Postponing the dates of activities related to environmental protection: plans to build charging station networks, air protection plans, reporting dates for entrepreneurs, proceedings conducted on the basis of the provisions of the Energy Law;</t>
  </si>
  <si>
    <t>Conditional possibility of utilization of medical waste in thermal waste treatment installations technologically adapted to this (appropriate combustion temperatures, etc.), which do not have the required decisions and permits.</t>
  </si>
  <si>
    <t>PLN 300 million (EUR 68 million)</t>
  </si>
  <si>
    <t>AUS12</t>
  </si>
  <si>
    <t>AUD 51.8 billion</t>
  </si>
  <si>
    <t>Infrastructure guarantee fund - maintaining the current State infrastructure investment program at $51.8 billion over the next four years 2019-20 to 2022-23</t>
  </si>
  <si>
    <t>https://www.covid19.qld.gov.au/government-actions/our-economic-recovery-strategy</t>
  </si>
  <si>
    <t>AUD 50m</t>
  </si>
  <si>
    <t>COL1</t>
  </si>
  <si>
    <t>COL2</t>
  </si>
  <si>
    <t>Increasing the budget (USD 375 thousand) for all the existing subsidies to poor families (Elderly, Youth in Action, and Families in Action programmes) and additional and extraordinary non-conditional payments</t>
  </si>
  <si>
    <t>COL3</t>
  </si>
  <si>
    <t>New and temporal (until June 2021) subsidy for informal workers not receiving other types of existing subsidies (Ingreso Solidario) in place until the end of 2020,</t>
  </si>
  <si>
    <t>COL4</t>
  </si>
  <si>
    <t>Evictions are suspended and rental payments cannot be increased; poorest households can differ the payment of public services in 36 months without interests</t>
  </si>
  <si>
    <t>COL5</t>
  </si>
  <si>
    <t>Goverment finances the salaries of workers in SMEs for three months  (for worker up to 5 minimum wages) since 13 April; subsidy of 40% of the minimum wage for firms with at least 20% reduction in turnover from May</t>
  </si>
  <si>
    <t>COL6</t>
  </si>
  <si>
    <t>A period of grace and refinancing of credits for companies and individuals; change in the calendar for PIT payments (delayed until the end of 2020); extension of payment deadlines of CIT; extension of VAT deadline payment for taxpayers providing hotel and commercial passenger air transport services, theatrical activities and live shows; for taxpayers providing hotel and commercial passenger air transport services, theatrical activities and live shows extension of payment deadlines of parafiscal contribution for the promotion of tourism; a financial relief to SMEs having difficulties with their credits in the next 2 months;eliminating VAT and import tariffs on health equipment and aviation; suspension of social contributions (employer and employee) for 3 monthss; specific measures to support the culture and creativity sectors (orange economy);</t>
  </si>
  <si>
    <t>COL7</t>
  </si>
  <si>
    <t>COP 60 billion</t>
  </si>
  <si>
    <t xml:space="preserve">New subsidized credit line with a capped quota of COP 250 billion aimed at the tourism, aviation and public events sectors and additional COP 350 billion for other sectors;  </t>
  </si>
  <si>
    <t>COL8</t>
  </si>
  <si>
    <t>reduction of the gasoline price;</t>
  </si>
  <si>
    <t>COL9</t>
  </si>
  <si>
    <t>COP 70 billion</t>
  </si>
  <si>
    <t>the Government injected 70 billion pesos (7% of GDP) into the National Guarantee Fund to channel loans to the companies and people most affected by the fall in their income</t>
  </si>
  <si>
    <t>COL10</t>
  </si>
  <si>
    <t>COL11</t>
  </si>
  <si>
    <t>Increased quotas of the daily auctions to increase liquidity in the market and announced an asset purchase program (public or corporate debt securities);  the Central Bank cut the policy rate by 150 basic points to 2.75% during march, april and may meetings</t>
  </si>
  <si>
    <t>COL12</t>
  </si>
  <si>
    <t>On April 15th, reduced required reserves, injecting liquidity by COP 9 trillion</t>
  </si>
  <si>
    <t>COL13</t>
  </si>
  <si>
    <t>Vulnerable families can suspend the payment of public services for the month of April.</t>
  </si>
  <si>
    <t>HUN17</t>
  </si>
  <si>
    <t>https://www.kormany.hu/en/ministry-for-national-economy/news/over-seven-billion-forints-in-funding-for-green-enterprises</t>
  </si>
  <si>
    <t>Adaptation</t>
  </si>
  <si>
    <t>FIN2</t>
  </si>
  <si>
    <t>FIN3</t>
  </si>
  <si>
    <t>FIN4</t>
  </si>
  <si>
    <t>FIN5</t>
  </si>
  <si>
    <t>FIN6</t>
  </si>
  <si>
    <t>FIN7</t>
  </si>
  <si>
    <t>The Government  of Finland announced a EUR 5.5 billion supplementary budget on 2 June 2020 to support the economic recovery in light of the COVID-19 pandemic. 
The Government of Finland  is committed to choosing economic stimulus measures that also support its objective of making Finland the world's first carbon-neutral welfare state and halting the decline in biodiversity. Being a frontrunner in climate solutions will support job creation and exports.  More details as follows:</t>
  </si>
  <si>
    <t>EUR 5.5 billion</t>
  </si>
  <si>
    <t>EST1</t>
  </si>
  <si>
    <t>According to Prime Minister Jüri Ratas: "By 2050, Estonia will support the goal of climate neutrality across the European Union. The green agreement gives us a way to reach this goal. It is a framework that covers almost all policy areas, with a strong emphasis on social and economic issues in addition to environmental issues." According to the Minister of the Environment Rene Koka, the green agreement will bring several opportunities for Estonia. “It is in our interest to move with innovation and find new perspectives for increasing the competitiveness of Estonian companies, increasing the volume of investments and opportunities for the transition to renewable energy. One important area for Estonia is the development of hydrogen and other renewable energy and fuel-based technologies. In my opinion, hydrogen is definitely one of the solutions of the future, and I believe that in ten years' time, hydrogen solutions could work very successfully both in Estonia and in Europe, "said Kokk. Estonia supports the establishment of a long-term climate neutrality framework across the European Union in 2050 in European climate law. At the same time, increasing the European Union's 2030 climate target must be preceded by a thorough analysis of Member States and sectors. According to Estonia, the energy and transport sectors need the most investments, as it is important to ensure energy security and security of supply in the transition to climate neutrality. Estonia sees great potential, for example, in offshore wind farms, which is a good opportunity for greater use of renewable energy in the Nordic-Baltic region. There is also a need to support the development of innovative solutions, the development of green technologies and basic and applied research. The focus should also be on the implementation and use of future technologies and the development of the necessary skills. Estonia also emphasizes the importance of environmental education and the fact-based treatment of green issues. Estonia's position also points out that the initial European Green Agreement action plan published in December would also take into account the crisis caused by the COVID-19 pandemic and its effects. However, exit activities must be in line with the EU's long-term climate goals and the principles of the circular economy. At the moment, the EU and International Co-operation Department of Ministry of Environment of Estonia cannot point to a more detailed action plan. There is coherence at EU level and these effects are likely to be taken into account in future legislative proposals. But no changes to the current legislation are currently known on this subject.</t>
  </si>
  <si>
    <t>CHN1</t>
  </si>
  <si>
    <t xml:space="preserve">On 26 January 2020 three government agencies issued “Notification regarding prohibition of trade in wildlife”. Temporarily required captive wildlife facilities to quarantine, and stated “all business operations…shall strictly prohibit trade of wildlife in any form”. The notice was issued “in order to strictly guard against the epidemic in the new-type coronavirus and obstruct possible sources and routes of transmission”. </t>
  </si>
  <si>
    <t>CHN2</t>
  </si>
  <si>
    <t xml:space="preserve">On 24 February 2020 Decisions adopted by the Standing Committee of the National People’s Congress prohibited commercial breeding and trade in most terrestrial wild animal species for the purposes of consumption as food. There are still critical loopholes in China’s legislation though e.g. trade in threatened species is still allowed for traditional medicine and decorative purposes just not consumption. </t>
  </si>
  <si>
    <t xml:space="preserve">Decisions adopted by the Standing Committee of the National People’s Congress </t>
  </si>
  <si>
    <t>CHN3</t>
  </si>
  <si>
    <t xml:space="preserve">One of China’s most significant legislation for biodiversity – the Wildlife protection law / wild animal law (N.B. does not cover flora) – is due to be revised this year. This is an opportunity to amend provisions that currently legitimise commercial trade in and the use of threatened species. China needs a newly precautionary approach to wildlife trade and consumption, and to ensure a coherent approach to risk mitigation for human health. </t>
  </si>
  <si>
    <t>CHN4</t>
  </si>
  <si>
    <t xml:space="preserve">As part of a wider Â¥ 4.35 trillion package, China will begin the renovation of 39,000 old urban residential communities and support the upgrading of plumbing and wiring and the installation of elevators in old residential buildings; it will also encourage the development of community services such as elderly home care, the provision of meals, and cleaning services. According to the recent document, the government provided 53.4 billion RMB to local governments for encouraging their fiscal spending on the renovation of old urban residential communities. This spending encourages some green investments, such as the Energy-saving improvement on old buildings and the installation of charging stations . </t>
  </si>
  <si>
    <t>http://www.gov.cn/xinwen/2020-07/21/content_5528678.htm</t>
  </si>
  <si>
    <t>CHN5</t>
  </si>
  <si>
    <t>The investment of the fund focuses on environmental protection and pollution control, ecological restoration and land and space greening, energy conservation and utilization, green transportation, clean energy and other fields. The final size of the fund was 88.5 billion yuan, of which the central government contributed 10 billion yuan. Other contributors include provincial  and municipal governments along the Yangtze River Economic Belt, some financial institutions and enterprises.</t>
  </si>
  <si>
    <t>https://web.archive.org/web/20200721140317/, https://finance.sina.com.cn/money/bank/bank_hydt/2020-07-15/doc-iivhvpwx5599537.shtml</t>
  </si>
  <si>
    <t>CHN6</t>
  </si>
  <si>
    <t>China's new round of UHV projects will include 12 lines, involving a total investment of over 150 billion yuan. Among them, three lines planned to start construction in 2020 will involve an investment of about 60 billion yuan._x000D_
_x000D_
Whether it is for 5G, big data centers, industrial Internet or new energy vehicle charging , the construction and operation of these technologies are inseparable from the power network. _x000D_
_x000D_
The ultra-high-voltage project could also improve the power transmission efficiency and increase the transmission from inland areas with massive renewable energy production to coastal regions.</t>
  </si>
  <si>
    <t>https://web.archive.org/web/20200721105821/, https://finance.sina.com.cn/chanjing/cyxw/2020-03-19/doc-iimxyqwa1774230.shtml</t>
  </si>
  <si>
    <t>CHN7</t>
  </si>
  <si>
    <t xml:space="preserve">China is approving plans for new coal power plant capacity at the fastest rate since 2015. Survey data from the Global Energy Monitor and the Centre for Research on Energy and Clean Air  shows that China approved the construction of more coal power plants in the period to mid-June than in all of 2018 and 2019 combined. Many of the plants are built by regional authorities in efforts to stimulate their economies. Projects proposed this year, if approved, would add more than 40 GW of capacity. </t>
  </si>
  <si>
    <t>CHN8</t>
  </si>
  <si>
    <t xml:space="preserve"> While China has increased subsidies to electric vehicles at the provincial level subsidies to conventional cars have also been rolled out. in Shangai for example, as part of its subsidy program for auto-replacement 40,000 cars will be supported and a subsidy of 4000 yuan will be provided to consumers who purchase a gasoline vehicle that meets the VI vehicle emission standards. Similar cash for clunker schemes are in place in Zhejiang, Shanghai, Nanjing, Changchun, Guangzhou and Foshan to name only a few._x000D_
_x000D_
Similarly, local governments in China are loosening restrictions on new vehicle license plate allocations to spur an increase in vehicle sales.</t>
  </si>
  <si>
    <t>CHN9</t>
  </si>
  <si>
    <t xml:space="preserve">The Government increased the wind and solar energy targets for 2020 compared to what was set in its 13th five year plan. The latter was initially set at 210 GW and the later at 110GW and both have been increased to 240GW which means China will expand its solar and wind capacity by 66GW this year given its installed capacity at the end of 2019. </t>
  </si>
  <si>
    <t>https://web.archive.org/web/20200708095915/, https://www.ndrc.gov.cn/xxgk/zcfb/tz/202006/t20200618_1231501.html</t>
  </si>
  <si>
    <t>CHN10</t>
  </si>
  <si>
    <t>From May 1 to the end of 2023, VAT levied on second-hand car dealers selling old cars will be reduced to 0.5% from an original 3% rate.</t>
  </si>
  <si>
    <t>https://web.archive.org/save/, http://www.chinatax.gov.cn/chinatax/n810341/n810755/c5148182/content.html</t>
  </si>
  <si>
    <t>CHN11</t>
  </si>
  <si>
    <t>Approval of a coal mine and coal preparation plant in Pingliang Municilality, Gansu province by the national energy agency. The proposed investment is of 3.267 billion RMB with an output of 2.4 million tons per year.</t>
  </si>
  <si>
    <t>CHN12</t>
  </si>
  <si>
    <t xml:space="preserve">The company will go through a HK$40 billion capital restructuring process. The Hong Kong government will offer a HK$7.8 billion loan to the airline, and will create a new company, Aviation 2020, to buy HK$19.5 billion (US$2.5 billion) in preferential shares without full boardroom status, with two observers on the board. The government will also acquire warrants for another HK$1.95 billion purchase of shares later; if exercised, Aviation 2020 will have a 6.08% stake in the company. </t>
  </si>
  <si>
    <t>ttps://www.scmp.com/news/hong-kong/hong-kong-economy/article/3088130/trading-cathay-pacific-halted-hong-kong-stock</t>
  </si>
  <si>
    <t>CHN13</t>
  </si>
  <si>
    <t xml:space="preserve">With the economic impacts of C-19 China is not setting an energy efficiency (energy consumption per unit of GDP) target for this year, in contrast to what it has done since 2014. </t>
  </si>
  <si>
    <t>https://www.jwnenergy.com/article/2020/5/china-drops-key-environmental-target-coronavirus-hits-growth/</t>
  </si>
  <si>
    <t>CHN14</t>
  </si>
  <si>
    <t xml:space="preserve">The measure involves relaxing some environmental requirements and extending compliance deadlines for firms in order to increase production after the pandemic. Some firms that have low emissions levels for example will be exempt from on site environmental checks. It is expected that 300,000 firms and 55,000 projects will benefit form this policy. </t>
  </si>
  <si>
    <t>https://www.reuters.com/article/us-health-coronavirus-china-environment/china-to-modify-environmental-supervision-of-firms-to-boost-post-coronavirus-recovery-idUSKBN20X0AG</t>
  </si>
  <si>
    <t>CHN15</t>
  </si>
  <si>
    <t xml:space="preserve">As part of a wider Â¥ 4.35 trillion package China will redouble efforts to develop major transportation and water conservancy projects, and increase national railway development capital by 100 billion yuan. </t>
  </si>
  <si>
    <t>http://english.www.gov.cn/premier/news/202005/30/content_WS5ed197f3c6d0b3f0e94990da.html</t>
  </si>
  <si>
    <t>CHN16</t>
  </si>
  <si>
    <t>The government extended  the automobile tax exemption program for new electric vehicles for two years in order to increase the sales of electric vehicles. Vehicles exempted include pure electric vehicles, plug in hybrids and fuel cell vehicles.</t>
  </si>
  <si>
    <t>http://www.gov.cn/zhengce/zhengceku/2020-04/22/content_5505188.htm_x000D_
, http://www.miit.gov.cn/n1146295/n1652858/n1652930/n4509607/c7885632/content.html</t>
  </si>
  <si>
    <t>CHN17</t>
  </si>
  <si>
    <t xml:space="preserve">China extended the electric vehicle subsidy policy, which was due to end in 2020, for two years in order to increase the sales of electric vehicles. EVs with a selling price of 300,000 yen or less will be supported and support will be provided to 2 million vehicles per year for a total of 6 million vehicles </t>
  </si>
  <si>
    <t xml:space="preserve">http://www.gov.cn/zhengce/zhengceku/2020-04/23/content_5505502.htm_x000D_
, http://www.gov.cn/zhengce/2020-04/23/content_5505506.htm_x000D_
, http://jjs.mof.gov.cn/zxzyzf/jnjpbzzj/202006/t20200622_3536951.htm </t>
  </si>
  <si>
    <t>CHN18</t>
  </si>
  <si>
    <t>This is a key stimulus measure to increase by 50 precent the electric vehicle charging network in China from its current level. This should enable 600,000 new charging points to be built in 2020. China is behind its original target of reaching 4.8 million charging points to accommodate 5 million EVs on the roads by 2020. Germany is also currently providing more subsidies to EVs than China in a bid to outrun it in the EV race.</t>
  </si>
  <si>
    <t>https://technode.com/2020/04/10/china-is-investing-rmb-10-billion-in-ev-charging-infrastructure/</t>
  </si>
  <si>
    <t>Air pollution</t>
  </si>
  <si>
    <t>Yes/No</t>
  </si>
  <si>
    <t>Mixed</t>
  </si>
  <si>
    <t>Sector-specific</t>
  </si>
  <si>
    <t>Updated on</t>
  </si>
  <si>
    <t>CHL4</t>
  </si>
  <si>
    <t>https://www.gob.cl/chileserecupera/</t>
  </si>
  <si>
    <t>DNK9</t>
  </si>
  <si>
    <t>DNK10</t>
  </si>
  <si>
    <t>DNK11</t>
  </si>
  <si>
    <t>DNK12</t>
  </si>
  <si>
    <t>DNK13</t>
  </si>
  <si>
    <t>DNK14</t>
  </si>
  <si>
    <t>Support for a pilot plant to manufacture electric batteries for cars and other measures</t>
  </si>
  <si>
    <t>Plan de Soutien à l'Automobile (May 2020)</t>
  </si>
  <si>
    <t>26.10.2020</t>
  </si>
  <si>
    <t>Plan de soutien à l'Aéronautique (June 2020)</t>
  </si>
  <si>
    <t>EUR 4 billion</t>
  </si>
  <si>
    <t xml:space="preserve">Thermal renovation of public buildings </t>
  </si>
  <si>
    <t>https://www.economie.gouv.fr/files/files/directions_services/plan-de-relance/annexe-fiche-mesures.pdf</t>
  </si>
  <si>
    <t>Listed as part of France Relance plan</t>
  </si>
  <si>
    <t>FRA16</t>
  </si>
  <si>
    <t xml:space="preserve">EUR 500 million </t>
  </si>
  <si>
    <t xml:space="preserve">Energy renovation and major rehabilitation of social housing </t>
  </si>
  <si>
    <t>FRA17</t>
  </si>
  <si>
    <t>EUR  200 million</t>
  </si>
  <si>
    <t>Energy renovation of SMEs</t>
  </si>
  <si>
    <t>FRA18</t>
  </si>
  <si>
    <t>EUR  2 billion</t>
  </si>
  <si>
    <t xml:space="preserve">Energy renovation of private housing </t>
  </si>
  <si>
    <t>FRA19</t>
  </si>
  <si>
    <t>EUR 650 million</t>
  </si>
  <si>
    <t>Densification and urban renewal (rehabilitation of wastelands, assistance to mayors for the densification of housing)</t>
  </si>
  <si>
    <t>FRA20</t>
  </si>
  <si>
    <t>EUR 300 million</t>
  </si>
  <si>
    <t>Biodiversity in the regions, risk prevention and strengthening of resilience</t>
  </si>
  <si>
    <t>FRA21</t>
  </si>
  <si>
    <t>FRA22</t>
  </si>
  <si>
    <t xml:space="preserve">Water networks and modernization of sanitation stations, including overseas </t>
  </si>
  <si>
    <t>FRA23</t>
  </si>
  <si>
    <t>EUR 1.2 billion</t>
  </si>
  <si>
    <t xml:space="preserve">Decarbonization of industry </t>
  </si>
  <si>
    <t>FRA24</t>
  </si>
  <si>
    <t>EUR 226 million</t>
  </si>
  <si>
    <t xml:space="preserve">Investment in recycling and reuse (including support for the plastics industry) </t>
  </si>
  <si>
    <t>FRA25</t>
  </si>
  <si>
    <t>EUR 274 million</t>
  </si>
  <si>
    <t>Modernization of sorting / recycling and waste recovery centers</t>
  </si>
  <si>
    <t>FRA26</t>
  </si>
  <si>
    <t>EUR 400 million</t>
  </si>
  <si>
    <t>Acceleration of the transformation of the agricultural sector (organic high environmental value, local products, territorial food projects)</t>
  </si>
  <si>
    <t>FRA27</t>
  </si>
  <si>
    <t>EUR 100 million</t>
  </si>
  <si>
    <t>Plan in favor of protein independence</t>
  </si>
  <si>
    <t>FRA28</t>
  </si>
  <si>
    <t>EUR 250 million</t>
  </si>
  <si>
    <t>Modernization of slaughterhouses and biosecurity in breeding, free-range breeding and animal welfare</t>
  </si>
  <si>
    <t>FRA29</t>
  </si>
  <si>
    <t>Renewal of agro-equipment</t>
  </si>
  <si>
    <t>FRA30</t>
  </si>
  <si>
    <t>FRA31</t>
  </si>
  <si>
    <t>EUR 200 million</t>
  </si>
  <si>
    <t xml:space="preserve">Forest </t>
  </si>
  <si>
    <t>FRA32</t>
  </si>
  <si>
    <t>EUR 50 million</t>
  </si>
  <si>
    <t>Fishing, aquaculture</t>
  </si>
  <si>
    <t>FRA33</t>
  </si>
  <si>
    <t xml:space="preserve">Greening of ports </t>
  </si>
  <si>
    <t>FRA34</t>
  </si>
  <si>
    <t xml:space="preserve">Strengthening the resilience of electricity networks </t>
  </si>
  <si>
    <t>see Plan velo above</t>
  </si>
  <si>
    <t>EUR  4.7 billion</t>
  </si>
  <si>
    <t>Rail (SNCF Réseau aid, rail freight, small lines, network modernization / security)</t>
  </si>
  <si>
    <t>EUR 550 million</t>
  </si>
  <si>
    <t xml:space="preserve">Acceleration of work on transport infrastructure </t>
  </si>
  <si>
    <t xml:space="preserve">Support for demand for clean vehicles from the automotive plan (bonus, conversion bonus) </t>
  </si>
  <si>
    <t>EUR 180 million</t>
  </si>
  <si>
    <t xml:space="preserve">Greening of the State vehicle fleet </t>
  </si>
  <si>
    <t>EUR 2 billion</t>
  </si>
  <si>
    <t>see Stratégie nationale pour le développement de l'hydrogène décarboné en France (EUR 7 billion up to 2030 including 2 over two years)</t>
  </si>
  <si>
    <t xml:space="preserve">Nuclear: skills development, industrial investments, modernization in subcontracting </t>
  </si>
  <si>
    <t>EUR 2.6 billion</t>
  </si>
  <si>
    <t xml:space="preserve">Support plans for the aeronautics and automotive sectors </t>
  </si>
  <si>
    <t>EUR 3.4 billion</t>
  </si>
  <si>
    <t>Support for the development of key markets in green technologies: hydrogen, recycling and reincorporation of recycled materials, bio-sourced products and biofuels, agro-equipment for ecological transition, decarbonization of industry (PIA)</t>
  </si>
  <si>
    <t>EUR 2.5 billion</t>
  </si>
  <si>
    <t>New Climate products from Bpifrance</t>
  </si>
  <si>
    <t>Measures introduced in March 2020, in support of business activity. Currently extended until 31/8.  (pre-condition: companies do not lay off employees):   Suspension of VAT payment; tax reduction for those paying in time; deferment of established amounts to tax and audit authorities; rent reduction for rental of office edifices by 40% for March &amp; April (incl. leasing); immediate return of corporate income tax up to 30,000 euros; reduction of employer’s contribution to the social security scheme if paid on time - all measures for companies affected by the COVID-19 restriction measures (list based on their activity). The list includes transport companies (road, rail, air, sea). Since 30 March, more companies are included in the list: mining, forestry, chemicals, cement, lime, construction materials, electrical goods. The list now covers more than 76% of all companies in Greece.</t>
  </si>
  <si>
    <t xml:space="preserve">https://covid19.gov.gr/anastoli-paratasi-ke-ekptosi-pliromis-forologikon-ypochreoseon-ke-doseon-rythmiseon-epichiriseon-se-ypochreotiki-anastoli-litourgias-ke-pligises-vasi-k-a-d/ </t>
  </si>
  <si>
    <t xml:space="preserve">https://covid19.gov.gr/ektakti-ikonomiki-enischysi-600-evro-se-epistimones-eleftherous-epangelmaties/  </t>
  </si>
  <si>
    <t>26 Oct. 2020</t>
  </si>
  <si>
    <t>1.5 bil EUR</t>
  </si>
  <si>
    <t xml:space="preserve">An aid scheme is introduced in the form of a repayable advance for private companies, regardless of sector, which have been financially affected by the outbreak and spread of coronavirus disease. The aid scheme ("Epitreptea Prokatavoli") has been launched in 3 cycles so far (ie aid scheme extended for a few months every time). The 3rd extension was announced in September 2020. </t>
  </si>
  <si>
    <t>https://covid19.gov.gr/epistreptea-prokatavoli-iii/</t>
  </si>
  <si>
    <t>GRC17</t>
  </si>
  <si>
    <t>Extention of deadline (until 31 October) for submitting proposals to be included in programme "House Savings" that provides financial support to households for energy efficiency works. Also extention of deadlines for those apllying for loans (as part of the programme) during COVID.</t>
  </si>
  <si>
    <t xml:space="preserve">http://www.et.gr/idocs-nph/search/pdfViewerForm.html?args=5C7QrtC22wHUdWr4xouZundtvSoClrL8oThD19CXOPzNZ8op6Z_wSuJInJ48_97uHrMts-zFzeyCiBSQOpYnTy36MacmUFCx2ppFvBej56Mmc8Qdb8ZfRJqZnsIAdk8Lv_e6czmhEembNmZCMxLMtc_VG39v6DToQSJV7qSM6PUnTFfeNX11wDA6rw3iTBSY; http://www.et.gr/idocs-nph/search/pdfViewerForm.html?args=5C7QrtC22wHUdWr4xouZundtvSoClrL8OefyJx-9-XQtiDow6HlTE-JInJ48_97uHrMts-zFzeyCiBSQOpYnTy36MacmUFCx2ppFvBej56Mmc8Qdb8ZfRJqZnsIAdk8Lv_e6czmhEembNmZCMxLMtXluQWLlIV4ozAEGIsE8hBKIAVuzK1vn12VlkXTl2DAI </t>
  </si>
  <si>
    <t>GRC18</t>
  </si>
  <si>
    <t>Employment under short-term contracts of staff to support public transport network in Athens, due to changes in the public transport network because of COVID-19</t>
  </si>
  <si>
    <t>http://www.et.gr/idocs-nph/search/pdfViewerForm.html?args=5C7QrtC22wHUdWr4xouZundtvSoClrL8px6_ZGPuoJd5MXD0LzQTLWPU9yLzB8V68knBzLCmTXKaO6fpVZ6Lx3UnKl3nP8NxdnJ5r9cmWyJWelDvWS_18kAEhATUkJb0x1LIdQ163nV9K--td6SIuXrn8Mg45lE9ZYf7ayLuuO7PjIic4H7FyDjm3adeW2MX</t>
  </si>
  <si>
    <t>GRC19</t>
  </si>
  <si>
    <t>Co-operation between Athens Urban Transport Organisation S.A. and KTEL (intercity public transport bus service) to provide additional buses as certain routes are crowded. Main reason is health protection and safeguarding passengers from COVID infection.</t>
  </si>
  <si>
    <t>https://covid19.gov.gr/synergasia-oasa-ktel-me-stocho-tin-aposymforisi-sta-mesa-metaforas-kai-ti-meiosi-ton-chronoapostaseon/</t>
  </si>
  <si>
    <t>http://www.oasa.gr/news.php?id=funk2216</t>
  </si>
  <si>
    <t>Measure not directly targeting environment or environmental health; however, improving public transport services could support passengers' shift from private car use to public transport use</t>
  </si>
  <si>
    <t>GRC20</t>
  </si>
  <si>
    <t>850 mil EUR</t>
  </si>
  <si>
    <t>Energy saving initiatives, i.e. public and private funding programmes for the renovation of public buildings, industrial facilities and residences. Financial support from 35% to up to 95% in some regions. Promotion of energy efficiency, smart solutions. Programmes expected to start from 30 November 2020. Programme has been adapted taking into consideration COVID-19. This is the new next phase of GRC17.</t>
  </si>
  <si>
    <t>http://www.ypeka.gr/Portals/0/Arxiki/20201013-Exoikonomw-Aytonomw.pdf</t>
  </si>
  <si>
    <t xml:space="preserve">Measure is part of the National Energy and Climate Plan presented in November 2019 (pre-exists COVID-19 and measures). Programme was already scheduled. It has been revisited due to COVID-19, providing additional 10% financing for energy efficiency of buildings. </t>
  </si>
  <si>
    <t>GRC21</t>
  </si>
  <si>
    <t>Programme "Moving Electrically". Promotion of electric mobility by financially supporting the purchase of electric vehicles (private cars for personal or professional use, taxis), and the development of "smart" house infrastructure for charging EV. Programme for 2020.</t>
  </si>
  <si>
    <t>https://kinoumeilektrika.gov.gr/filehelp/document-fek.pdf</t>
  </si>
  <si>
    <t xml:space="preserve">Measure is part of the National Energy and Climate Plan presented in November 2019 (pre-exists COVID-19 and measures). Programme was already scheduled. </t>
  </si>
  <si>
    <t>HUN18</t>
  </si>
  <si>
    <t>HUN19</t>
  </si>
  <si>
    <t>The deadline for taxi drivers (companies) to scrap older cars for newer ones is extended to the end of 2022</t>
  </si>
  <si>
    <t>https://kormany.hu/hirek/meghosszabbodik-taxisokra-vonatkozo-szemelygepjarmu-csere-hatarideje</t>
  </si>
  <si>
    <t>HUN20</t>
  </si>
  <si>
    <t>Clean up campaign against illegal waste</t>
  </si>
  <si>
    <t>https://index.hu/belfold/2020/10/27/gazdasag_kornyezetvedelem_belfold_tisztitsuk_meg_az_orszagot/</t>
  </si>
  <si>
    <t>HUN21</t>
  </si>
  <si>
    <t>Cycle to Work Scheme
The allowable expenditure will be increased from €1000 to €1500 in respect of "ebikes" and €1250 in respect of bicycles.  The scheme currently allows the purchase of a new bicycle every 5 years and this will be reducd to every 4 years.</t>
  </si>
  <si>
    <t xml:space="preserve">Employment Wage Subsidy Scheme (this will replace the Gemporary Wage Subsidy Scheme (TWSS) as from 1 September 2020 to 31 March 2021.  The TWSS and EWSS will run in parallel from 31 July until the TWSS ends at the end of August.
It will provide additional flexibility to employers with new hires and sesonal workers who were not previously eligible to be paid via TWSS and who may now qualify for the EWSS.
EWSS is open to all sectors.  Primary criteria for qualification is that the employer must demonstrate that they are operating at no more than 70% turnover from the period July to December 2020 compared to the same period last year.
</t>
  </si>
  <si>
    <t>Stay and Spend incentive, tax credit to encourage tourism within Ireland.  
Taxpayer must spend a minimum of 25 Euros to qualify.  May submit receipts up to a cap of 625Euros total.   This will provide an income tax credit of 125 Euros per taxpayer of 250Euros for a jointly assessed married couple.  
Incentive is for the period 1 October 2020 to 30 April 2021</t>
  </si>
  <si>
    <t>Accelerated Corporation Tax Loss Relief for Companies.  Provision of clash-flow support to previously profitable companies experiencing losses as a result of public health measures.The maximum amount of the expected current year loss which will qualify for early carry-back will be 50%.   The balance will qualify for carry-back under the normal rules in due course.</t>
  </si>
  <si>
    <t>Income tax loss relief for self-employed
• This is a new once-off income tax relief measure which will benefit self-employed individuals who were profitable in 2019 but, as a result of the Covid-19 pandemic, are loss making in 2020. 
• The measure will give individuals carrying on a trade or profession as sole traders or members of partnerships a cash-flow boost from the early utilisation of up to €25,000 worth of 2020 losses (and certain unused capital allowances) off-set against 2019 profits.
• The measure includes an additional option for farmers to step out of income averaging for the 2020 tax year</t>
  </si>
  <si>
    <t>Enhancement of the help-to-buy scheme for the remainder of 2020
• The level of support available to first time buyers will be increased to the lesser of €30,000 (up from €20,000) or 10 per cent (up from 5 per cent) of the purchase price of the new home/self-build property.
• The enhancement to the scheme is intended to stimulate demand from first time buyers for new houses in the housing market, to encourage house completions and to assist first time buyers in accumulating a deposit for a new home.
• The change will be effective immediately and will apply to applicants who sign a contract for the purchase of a new house or who have yet to make the first draw down of the mortgage in the case of a self-build. It will expire on 31 December 2020. All other parameters of the scheme will remain the same.</t>
  </si>
  <si>
    <t>Legislative basis for the warehousing of tax liabiilities
This will allow for businesses affected by COVID-19 to delay payment of their PAYE and VAT debts in part of in full for a set period with no interest or penalities (this measure was announced in May and currently being operated by Revenue Commissioners pending legislation).</t>
  </si>
  <si>
    <t>https://www.gov.ie/en/press-release/946d8-minister-donohoe-announces-details-of-tax-measures-contained-in-the-july-stimulus-plan/ </t>
  </si>
  <si>
    <t>EUR 500 mn</t>
  </si>
  <si>
    <t xml:space="preserve">The purchase of a seasonal public transport pass by commuter travellers is reimboursed.The reimbourseent will take place as either (a) a voucher that can be used within one year of issue; or (b) the estention of the duration of the pass for a period that corresponds to that during which it was not possible to use it. </t>
  </si>
  <si>
    <t>07/04 announced by the Ministry of  Environment of Korea: first case benefited from the shortened period for permission/authorization of the use of toxic chemicals (the period is shortened from 75 days max to almost half)</t>
  </si>
  <si>
    <t>12/04 announced by the Ministry of  Environment of Korea: Korea to stabilise the recycling industry as a preemptive response to  COVID-19 / Korea to promote the early execution of the upbringing funds for recycling incustry in the light of COVID-19 (KRW 98.4 billion to be executed until the second quarter out of KRW 163.4 billion for the year)</t>
  </si>
  <si>
    <t xml:space="preserve">22/04 announced by the Ministry of Environment of Korea: 
Korea to relax environmental regulation in the crisis of COVID-19 
- Prolongation of the deadline to collect environmental charges: from 3 months to 3 years depending on the charges - this includes waste disposal charge, air &amp; water pollution charge, recycling charge and waste charge. </t>
  </si>
  <si>
    <t xml:space="preserve">22/04 announced by the Ministry of Environment of Korea: 
Korea to relax environmental regulation in the crisis of COVID-19 
- Companies/individuals can apply for/benefit from deferment of collection of the environmental charges and making payment by instalments. If they are located in the special disaster zone including Daegu, Kyungbook, Kyungsan, Chung-do and Bonwha, they can take advantage of this with no proof documents. If they are not located in the zone, they need to present the evidence of damage from the COVID-19.  </t>
  </si>
  <si>
    <t>22/04 announced by K-water Research Institute under the Ministry of Environment of Korea: 
Charges for the use of dam water and multiregional water supply to be lowered in the light of COVID-19 crisis (for individuals,small-business owners and SMEs)</t>
  </si>
  <si>
    <t xml:space="preserve">13/05 announced by the Ministry of Environment of Korea: Support project for the small and medium sized environment enterprises to be expanded in response to COVID-19 - the support fund more than doubled in size, from KRW 4.8 billion last year to KRW 11.2 billion </t>
  </si>
  <si>
    <t>03/06 announced by the Ministry of Environment of Korea: Minister of Environment CHO had a discussion with the representatives from industry (CEOs from the Korea Business Council for Sustainable Development) to seek for  ways to support industry to overcome the crisis in COVID-19, e.g. relaxing the environmental regulation, expansion of the upbrining funds for environment industry, etc.
- Minister Cho said that the Korean style "Green New Deal" would be the innovative growth engine for the future.</t>
  </si>
  <si>
    <t xml:space="preserve">Ministry of Environment of Korea, 3 June:
https://www.me.go.kr/home/web/board/read.do?pagerOffset=0&amp;maxPageItems=10&amp;maxIndexPages=10&amp;searchKey=title&amp;searchValue=%EC%BD%94%EB%A1%9C%EB%82%98&amp;menuId=286&amp;orgCd=&amp;boardId=1375490&amp;boardMasterId=1&amp;boardCategoryId=&amp;decorator=
</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</si>
  <si>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one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</si>
  <si>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Sources in English
The Korean Joongang Daily, 14 July 2020
Moon's Korean New Deal targets 1.9 million new jobs
https://koreajoongangdaily.joins.com/2020/07/14/business/economy/Korea-New-Deal-Digital-New-Deal-Green-New-Deal/20200714174000390.html 
Bloomberg  Green, 14 July 2020
South Korea’s $35 Billion Green Plan Skirts Zero-Carbon Target
https://www.bloomberg.com/news/articles/2020-07-14/green-new-deal-in-south-korea-stops-short-of-zero-carbon-target
Forbes, 16 April:
South Korea Embraces EU-Style Green Deal For COVID-19 Recovery:
https://www.forbes.com/sites/davidrvetter/2020/04/16/south-korea-embraces-eu-style-green-deal-for-covid-19-recovery/#34513ce05611</t>
  </si>
  <si>
    <t>LUX1</t>
  </si>
  <si>
    <t>up to EUR 800 000 per company</t>
  </si>
  <si>
    <t>the state is encouraging companies (both SMEs and large companies) to invest in 'environmental protection projects'</t>
  </si>
  <si>
    <t>https://meco.gouvernement.lu/dam-assets/dossiers/Neistart-Letzebuerg-Tableau-Mesures.pdf</t>
  </si>
  <si>
    <t>LUX2</t>
  </si>
  <si>
    <t xml:space="preserve">up to 50% of consulting fees; cannot exceed 30 000 EUR per company </t>
  </si>
  <si>
    <t>Under the Neistart Lëtzebuerg stimulus package, the "Fit 4 Resilience" programme encourages companies (mid-sized and larger) to reinvent themselves with the help of strategy and management consultants. Although the measure isn't explicitly environmental, consultants must frame all of their recommendations in terms of the SDGs. In the consultant's report on the effects of COVID-19 on the company's activities, one of the aspects they are asked to cover is circular economy (in the context of a wider discussion on the company's markets, supply chain, etc)</t>
  </si>
  <si>
    <t>https://guichet.public.lu/fr/entreprises/financement-aides/coronavirus/programme-fit4-resilience.html</t>
  </si>
  <si>
    <t>LUX3</t>
  </si>
  <si>
    <t>50% increase to current support</t>
  </si>
  <si>
    <t>Increased support for individuals or non-state entities for energy efficiency improvements in renovation projects initiated between now and the end of the first trimester of 2021</t>
  </si>
  <si>
    <t>LUX4</t>
  </si>
  <si>
    <t>25% increase to current support</t>
  </si>
  <si>
    <t>Increased support for individuals and non-state entities to install heating systems based on renewable energies; same timeline as measure listed above</t>
  </si>
  <si>
    <t>LUX5</t>
  </si>
  <si>
    <t>60% increase to current support (8k EUR instead of 5k per car)</t>
  </si>
  <si>
    <t>State increasing incentives for buying electric vehicles (between now and end of third trimester 2021)</t>
  </si>
  <si>
    <t>LUX6</t>
  </si>
  <si>
    <t>Up to 600 EUR</t>
  </si>
  <si>
    <t>Similar assistance as that listed above but for electric bikes, push bikes, etc</t>
  </si>
  <si>
    <t>LUX7</t>
  </si>
  <si>
    <t>not listed</t>
  </si>
  <si>
    <t>Support for individuals to install smart charging stations for electric vehicles</t>
  </si>
  <si>
    <t>LUX8</t>
  </si>
  <si>
    <t>Temporary compensation of administrative fees for energy efficiency programmes</t>
  </si>
  <si>
    <t>LUX9</t>
  </si>
  <si>
    <t>Expansion of state aid for the installation of solar PV (30kW+) to all individuals, companies and municipalities (currently reserved for cooperatives and civil society)</t>
  </si>
  <si>
    <t>Expansion of existing policy to wider audience</t>
  </si>
  <si>
    <t>NOK 6 billion</t>
  </si>
  <si>
    <t>Suspension  of the air passengers tax from 1 January until 31 October 2020</t>
  </si>
  <si>
    <t>Several temporary tax reductions fort oil companies operating on the continental shelf, combined with new committments to reduce emissions.
A tax relief package has been recently approved by the Norwegian government which will benefit liquidity and reduce breakeven prices for near term projects by about 40% on average, for use by oil and gas exploration and production companies. 
The package will allow O&amp;G companies to deduct costs faster and is expected to fast-track new projects on the Norwegian continental shelf over the next two years.</t>
  </si>
  <si>
    <t>Increased grant  to "Enova", which provides R&amp;D funding for industries</t>
  </si>
  <si>
    <t>23.10.20</t>
  </si>
  <si>
    <t>NOK 485 million</t>
  </si>
  <si>
    <t>Grants to promote green shipping, including R&amp;D and investments in low-emission ships</t>
  </si>
  <si>
    <t>NOK 333 million in 2020; NOK 1 Billion over 3 years</t>
  </si>
  <si>
    <t>NOK 100 million</t>
  </si>
  <si>
    <t>NOK 25 million</t>
  </si>
  <si>
    <t>Almost NOK 20 million</t>
  </si>
  <si>
    <t>NOK 30 million</t>
  </si>
  <si>
    <t>NOK 50 million in 2020
NOK 100 million in 2021</t>
  </si>
  <si>
    <t>NOK 13 million</t>
  </si>
  <si>
    <t>A reduction in the compulsory capital reserve requirements for banks, in order to avoid a reduction in their lending activities.</t>
  </si>
  <si>
    <t>NOR21</t>
  </si>
  <si>
    <t>NOK 1900 million</t>
  </si>
  <si>
    <t>Compensation for income losses for rail and other public transport companies, due to the COVID crisis, covering the first 6 months of 2021</t>
  </si>
  <si>
    <t>https://www.regjeringen.no/no/dokumenter/meld.-st.-1-20202021/id2768215/</t>
  </si>
  <si>
    <t>22.10.20</t>
  </si>
  <si>
    <t>NOR22</t>
  </si>
  <si>
    <t>NOK 40 million</t>
  </si>
  <si>
    <t xml:space="preserve">Grant to cover the operating deficit for the last remaining coal mine on the remote island of Spitsbergen. </t>
  </si>
  <si>
    <t xml:space="preserve">https://www.regjeringen.no/no/aktuelt/regjeringa-vil-dekkje-driftsunderskottet-i-gruve-7-pa-svalbard/id2769019/ </t>
  </si>
  <si>
    <t>The community in the population centre of this very remote island relies on coal from this mine to generate electricity.</t>
  </si>
  <si>
    <t>NOR23</t>
  </si>
  <si>
    <t>NOK 700 million</t>
  </si>
  <si>
    <t>Grant to increase the capital of the venture company "Nysnø" (New Snow), which invests in firms that develop new climate-friendly technologies.</t>
  </si>
  <si>
    <t xml:space="preserve">https://www.regjeringen.no/no/aktuelt/meir-pengar-til-klimavenlege-investeringar-i-nysno2/id2769012/ </t>
  </si>
  <si>
    <t>The venture company was established in 2017, and its capital now stands at NOK 2425 million.</t>
  </si>
  <si>
    <t>NOR24</t>
  </si>
  <si>
    <t>NOK 600 million</t>
  </si>
  <si>
    <t>Loans to support green fleet renewal in the coastal transport and fisheries sectors.</t>
  </si>
  <si>
    <t xml:space="preserve"> https://www.regjeringen.no/no/aktuelt/regjeringa-fortset-satsinga-pa-gron-skipsfart-og-maritim-naring/id2769006/ </t>
  </si>
  <si>
    <t>"Facilitation of investment in new technologies".</t>
  </si>
  <si>
    <t>Voivodship Environmental Protection Funds (VEPFs) offer additional assistance to companies that have submitted applications for funding of green investments. VEPFs offer the possibility of granting additional loans to maintain financial liquidity. The total amount available for VEPFs is PLN 300 million. The terms of granting such loans vary from Fund to Fund, but a potential borrower os offered preferential interest rates, no additional fees and a flexible approach to security. The interest rate on loans at VEPFs starts from 1.5%. The required collateral for the support provided is most often determined in the course of individual negotiations between a given Fund and the borrower. Support for maintaining financial liquidity may reach a maximum of up to 100% of the total costs of the pro-ecological investment implemented.</t>
  </si>
  <si>
    <t>Available in Spaish only:
https://www.miteco.gob.es/es/ministerio/medidas-covid19/ 
https://www.mapa.gob.es/es/prensa/ultimas-noticias/la-agricultura-ganader%C3%ADa-pesca-industria-alimentaria-y-sus-actividades-relacionadas-son-servicios-esenciales/tcm:30-536830
; https://www.mapa.gob.es/es/prensa/200330cminextraordinario_tcm30-536832.pdf</t>
  </si>
  <si>
    <t>https://www.boe.es/eli/es/o/2020/03/19/snd271</t>
  </si>
  <si>
    <t>https://www.miteco.gob.es/images/es/200331directricesdesarrolloomsnd2712020_tcm30-509522.pdf</t>
  </si>
  <si>
    <t>https://www.boe.es/eli/es/res/2020/05/04/(2)</t>
  </si>
  <si>
    <t>https://www.boe.es/eli/es/rdl/2020/03/17/8</t>
  </si>
  <si>
    <t>https://www.boe.es/eli/es/o/2020/05/23/snd440</t>
  </si>
  <si>
    <t>https://www.boe.es/eli/es/res/2020/04/14/(4)</t>
  </si>
  <si>
    <t>https://www.boe.es/eli/es/rd/2020/07/21/692/con</t>
  </si>
  <si>
    <t>https://www.boe.es/ccaa/borm/2020/163/s15878-15878.pdf</t>
  </si>
  <si>
    <t>https://www.boe.es/eli/es/rd/2020/06/16/570</t>
  </si>
  <si>
    <t xml:space="preserve">Royal Decree-Law 23/2020, of the 23rd of June, by which measures in matter of energy and other environments for reactivation of the economy.  It includes certain measures for the development of renewable energy that includes regulation of access and distribution to secure high demand and ensure risk reduction. </t>
  </si>
  <si>
    <t>https://www.boe.es/eli/es/rdl/2020/06/23/23</t>
  </si>
  <si>
    <t>https://www.boe.es/eli/es/rd/2020/06/16/569</t>
  </si>
  <si>
    <t>https://www.miteco.gob.es/es/prensa/200519cminproyectoleycambioclimatico_tcm30-509230.pdf</t>
  </si>
  <si>
    <t>https://boe.es/boe/dias/2020/04/11/pdfs/BOE-A-2020-4415.pdf</t>
  </si>
  <si>
    <t xml:space="preserve">Royal Decree Law 15/2020,
(BOE núm. 112, 22/04/2020) - Ref. 38-01
of the 21st of April, of urgent measures for supporting the economy and employment. Article 6 has developed subsidies of E.P.E. Institute to IDAE under loans. </t>
  </si>
  <si>
    <t>https://www.boe.es/boe/dias/2020/04/22/pdfs/BOE-A-2020-4554.pdf</t>
  </si>
  <si>
    <t>https://www.idae.es/sites/default/files/documentos/ayudas_y_financiacion/escron_06-20ac.pdf</t>
  </si>
  <si>
    <t>10/09/2020 - The IDEA (Institute for the Diversification and Energy Savings - which is linked to the Ministry of Ecological Transition and Demographic Challenge (MITECO)- allocated the first 181 million EUR to support regional projects for energy and thermal generation in Andalucia, Asturias, Castilla-La Mancha, Cataluña, Extremadura, Madrid and Murcia. The IDAE will soon approve the remaining 316 million EUR for the public package towards renewable projects, which will be funded with the EU funds given towards the COVID-19 economic recovery. The funds will be used for:  - Aid for the installation of electricity generation with renewable sources, which supports photovoltaic, wind, biomass or renewable gas projects, including renewable hydrogen and self-consumption initiatives, among others.
- Aid for the construction of facilities that generate thermal energy from renewable sources, which promotes projects with technologies such as geothermal energy, solar thermal energy, aerothermal energy or biomass. Projects will be financed, including innovative applications, that will allow companies to reduce energy costs and CO2 emissions and strengthen their competitiveness.</t>
  </si>
  <si>
    <t>https://www.miteco.gob.es/es/prensa/ultimas-noticias/el-idae-destina-181-millones-a-las-primeras-convocatorias-para-financiar-proyectos-renovables-innovadores-en-siete-comunidades-aut%C3%B3nomas/tcm:30-511638</t>
  </si>
  <si>
    <t>https://www.miteco.gob.es/es/prensa/200910coadidae_tcm30-511636.pdf</t>
  </si>
  <si>
    <t>8/10/2020 - The Ministry for the Ecological Transition and the Demographic Challenge (MITECO), through the Biodiversity Foundation, has opened the deadline for two calls for grants to support the hiring of unemployed people and training and advice projects in the green and blue economy. With these calls, MITECO seeks to contribute to a green recovery. The objective of these grants is to address the current economic challenges generated by COVID-19, the loss of biodiversity, climate change and depopulation.</t>
  </si>
  <si>
    <t>https://www.miteco.gob.es/es/prensa/201008convocatoriasprogramaempleaverde_tcm30-513891.pdf</t>
  </si>
  <si>
    <t>15/10/2020 - The Biodiversity Foundation of the Ministry for the Ecological Transition and the Demographic Challenge (MITECO) allocates 4.3 million euros to support 47 projects that will work to reinforce the sustainability of fishing and aquaculture activities in Spain. In total, 34 entities will develop these projects, which will be co-financed by the European Maritime and Fisheries Fund (EMFF).</t>
  </si>
  <si>
    <t>https://www.miteco.gob.es/es/prensa/201015elmitecodestina43millonesparaapoyarlasostenibilidaddelsectorpesqueroyacuicola_tcm30-514259.pdf</t>
  </si>
  <si>
    <t xml:space="preserve">Althougth it is not clear whether this project is actually accelerated because of COVID, the Biodiversity Foundation has already financed over 18 million EUR in the last few years. </t>
  </si>
  <si>
    <t>SWE6</t>
  </si>
  <si>
    <t>SWE7</t>
  </si>
  <si>
    <t>SWE8</t>
  </si>
  <si>
    <t>SWE10</t>
  </si>
  <si>
    <t>SWE11</t>
  </si>
  <si>
    <t>SEK 0.90 billion (2021)</t>
  </si>
  <si>
    <t xml:space="preserve">Energy efficiency and renovation of multi-dwelling buildings and outdoor environments 0.90 2.40 1.00 </t>
  </si>
  <si>
    <t>https://www.government.se/4a6f35/globalassets/government/dokument/finansdepartementet/excel/bp-2021/table-1.1-reform-table.pdf</t>
  </si>
  <si>
    <t>SWE12</t>
  </si>
  <si>
    <t>SEK 1.10 billion (2022)</t>
  </si>
  <si>
    <t xml:space="preserve">Investment support for rental housing 1.10 1.90 </t>
  </si>
  <si>
    <t>SWE13</t>
  </si>
  <si>
    <t>SEK 1.22 billion (2021)</t>
  </si>
  <si>
    <t xml:space="preserve">Transition of the transport sector 1.22 1.22 0.89 </t>
  </si>
  <si>
    <t>SWE14</t>
  </si>
  <si>
    <t>SEK -0.15 billion (2021)</t>
  </si>
  <si>
    <t xml:space="preserve">Adjusted taxable benefit rates for passenger cars -0.15 -0.73 -1.31 </t>
  </si>
  <si>
    <t>SWE15</t>
  </si>
  <si>
    <t>SEK -0.33 billion (2021)</t>
  </si>
  <si>
    <t xml:space="preserve">Enhanced and simplified environmental governance in the bonus-malus system -0.33 -0.85 -1.38 </t>
  </si>
  <si>
    <t>SWE16</t>
  </si>
  <si>
    <t xml:space="preserve">Abolished reduction of energy tax on fuel in certain sectors -0.15 -0.60 -0.60 </t>
  </si>
  <si>
    <t>SWE17</t>
  </si>
  <si>
    <t>SEK 0.50 billion (2021)</t>
  </si>
  <si>
    <t xml:space="preserve">Charging infrastructure for heavy vehicles 0.50 0.55 </t>
  </si>
  <si>
    <t>SWE18</t>
  </si>
  <si>
    <t>SEK 2 billion (2021)</t>
  </si>
  <si>
    <t xml:space="preserve">Support to public transport 2.00 </t>
  </si>
  <si>
    <t>SWE19</t>
  </si>
  <si>
    <t xml:space="preserve">Maintenance of railways 0.50 0.50 0.50 </t>
  </si>
  <si>
    <t>SEK 1.59 billion (2021)</t>
  </si>
  <si>
    <t xml:space="preserve">Investments to protect natural areas 1.59 1.67 0.61 </t>
  </si>
  <si>
    <t>SEK 1.88 billion (2021)</t>
  </si>
  <si>
    <t xml:space="preserve">Reduce climate emissions 1.88 1.14 0.52 </t>
  </si>
  <si>
    <t>SEK 0.60 billion (2021)</t>
  </si>
  <si>
    <t>Measures to protect valuable natural areas 0.60 0.25</t>
  </si>
  <si>
    <t>SEK 0.20 billion (2021)</t>
  </si>
  <si>
    <t xml:space="preserve">Tax reduction for installation of green technology 0.20 0.20 0.20 </t>
  </si>
  <si>
    <t>SEK 0.15 billion (2021)</t>
  </si>
  <si>
    <t>Circular economy 0.15 0.14 0.01</t>
  </si>
  <si>
    <t>https://www.imf.org/en/Topics/imf-and-covid19/Policy-Responses-to-COVID-19</t>
  </si>
  <si>
    <t xml:space="preserve">Switzerland has not announced further fiscal stimulus packages - with several credit programs having already concluded in August/September. There has been no change to recovery efforts environmentral standard criteria's (I.e. they still don't exist). </t>
  </si>
  <si>
    <t xml:space="preserve">Program on-going. </t>
  </si>
  <si>
    <t>1.98 Billion</t>
  </si>
  <si>
    <t xml:space="preserve">Support for Civil Aviation Industry (Expanded August 26th)
As part of its $59 Billion Financial Stimuls Package (see CHE1) the government has provided aid to the Swiss Civil Aviation industry, totaling $1.93 Billion, to ensure vital transport infrastructure for the Swiss economy.
The government will provide CHF1.275 billion to guarantee loans to airlines operating in Switzerland, and CHF600 million to support aviation companies at national airports. On August 26th, a 130 million loan to air traffic control company Skyguide.
The target is to maintain the same level of airline connections and passenger traffic as the beginning of 2020 after the pandemic.The government has opened up for more support to the aviation industry if the crisis prolongs.
</t>
  </si>
  <si>
    <t>https://www.swissinfo.ch/eng/-parliament-agrees-extra-millions-for-covid-19-budget/46024120</t>
  </si>
  <si>
    <t xml:space="preserve">Support expanded to provide financial support for companies like Skybridge, which otherwise would face insolvency due to the continued decline in flight numbers. </t>
  </si>
  <si>
    <t xml:space="preserve">Credit Guarentees for Green Energy/Tech Start-ups (Expired in August)
 The Federal and Canton governments are deploying system of credit guarantees to shield start-ups from coronavirus-related insolvency.
Many (though not all) of these start-ups are expected to work within green tech/energy. The Confederation can guarantee up to CHF 100 million in total, and with the cantons, guarantees can be provided for up to CHF 154 million in credits.
</t>
  </si>
  <si>
    <t xml:space="preserve">Policy expired in August. </t>
  </si>
  <si>
    <t>Still in effect</t>
  </si>
  <si>
    <t>Still in effect.</t>
  </si>
  <si>
    <t>TUR1</t>
  </si>
  <si>
    <t>https://www.medefinternational.fr/wp-content/uploads/2020/03/C19_Economic-Stability-Shield-Program.pdf</t>
  </si>
  <si>
    <t>Temporary Suspension of EPA Enforcement (ended on August 31st)
On March 26 2020, the Environmental Protection Agency enforcement discretion policy temporarily relaxed the agency’s enforcement of environmental regulations on companies that are unable to comply, owing to the COVID-19 pandemic. (See above). However, on June 29, 2020, the EPA announced that this policy will be terminated on August 31, 2020.
The current enforcement discretion requires facilities to keep records of their non-compliance, including its pandemic-related causes, but EPA does not require any public disclosures or reporting to EPA. The Natural Resources Defense Council and other organizations have petitioned the EPA to require regulated facilities to monitor and report violations to EPA and state and local authorities. Brookings scholar Adele Morris encourages transparency and warns against potential worsening of the health crisis.</t>
  </si>
  <si>
    <t>Policy Terminated on August 31st</t>
  </si>
  <si>
    <t>https://www.onegreenplanet.org/environment/21-states-sue-trump-administration-for-rollback-of-nepa/</t>
  </si>
  <si>
    <t xml:space="preserve">21 states are challening the policy in the court, and observers believe they may be succesfull, but for now the policy is still in place. </t>
  </si>
  <si>
    <t xml:space="preserve">Executive Order still in effect, but has not materialized into concrete policies. </t>
  </si>
  <si>
    <t xml:space="preserve">Treasury, IRS provide safe harbor for taxpayers that develop renewable energy projects (Expanded for another year)
Treasury Department and the Internal Revenue Service has provided tax relief for taxpayers that develop renewable energy projects that produce electricity from sources such as wind, biomass, geothermal, landfill gas, trash, and hydropower, and use technologies such as solar panels, fuel cells, micro-turbines, and combined heat and power systems.
It specifically seeks to extend wind/PV tax incentives because of issues in RE supply chains and development during COVID-19 shutdown. The safe harbor seeks to raise flexibility around, extending, beginning of construction and placed in service deadlines for tax credits that financially underpin the industry, by providing a 3½ Month safe harbor. 
Ensure that the deadlines for wind/PV incentives are extended because of issues in RE supply chains and development during COVID-19 shutdown.
</t>
  </si>
  <si>
    <t>https://www.renewableenergymagazine.com/wind/new-american-wind-power-total-capacity-over-20200817</t>
  </si>
  <si>
    <t>Expanded for another year (2021)</t>
  </si>
  <si>
    <t xml:space="preserve">Federal tax credit for investment in carbon capture and sequestration projectS (expanded mid-august)
Treasury Department has released new rules guiding how companies use a federal tax credit designed to spur investment in carbon capture and sequestration projects.
Credits are $50 per metric ton of CO2 for projects that sequester carbon and $35 per ton for projects where carbon is captured and then used for recovering oil underground.
The new rules aim to give investors and developers clearer guidelines for 45Q tax credit program and ensure that projects are capturing and burying the amount of carbon they are supposed to before they embark on the costly projects.
Among the new measures are monitoring requirements for projects to demonstrate durable geologic storage of CO2 injected underground, standards for measuring utilization of carbon and rules for credit recapture.
</t>
  </si>
  <si>
    <t>https://www.cpapracticeadvisor.com/tax-compliance/news/21151392/what-does-irs-treasury-carbon-capture-tax-credit-guidance-mean-for-future-energy-production</t>
  </si>
  <si>
    <t xml:space="preserve">Practical guidelines for credits released in mid-august </t>
  </si>
  <si>
    <t xml:space="preserve">Policy continues to generate attention as a hallmark example of the US recovery direction </t>
  </si>
  <si>
    <t>Policy already in planning before COVID-19, only adapted post COVID-19</t>
  </si>
  <si>
    <t xml:space="preserve">Program introduced before COVID-19, and it was very popular, so it may have been expanded even without COVID-19. </t>
  </si>
  <si>
    <t xml:space="preserve">Oil drilling in the Arctic National Wildlife Refuge
The Arctic National Wildlife Refuge (ANWR) is home to approximately 19.64 million acres of land and water in Alaska. In September 2019, The Bureau of Land Management (BLM) completed an environmental impact statement (EIS) to analyze potential impacts of the programand proposed to lease the entire 1.57 acres of coastal plain for oil and gas leasing. Subsequently, on August 17, 2020, David Bernhardt, the Secretary of Interior, signed a record decision adopting the EIS recommendation and authorizing the program pursuant to TCJA. This action made the entire program area available for oil and gas leasing, leaving the Refuge vulnerable to future exploration, development, and transportation. On August 24, 2020, environmental and indigenous groups filed lawsuits claiming the federal government did not adequately comply with environmental laws requiring thorough impact assessments.
</t>
  </si>
  <si>
    <t>https://eplanning.blm.gov/public_projects/102555/200241580/20024135/250030339/Coastal%20Plain%20Record%20of%20Decision.pdf</t>
  </si>
  <si>
    <t xml:space="preserve">The Tax Cuts and Jobs Act of 2017 (TCJA) lifted the Section 1003 provision for the Coastal plain and directed the Secretary of Interior (Secretary) to establish a program for leasing, development, production, and transportation of oil and gas in and from the area. </t>
  </si>
  <si>
    <t>667 Million USD</t>
  </si>
  <si>
    <t xml:space="preserve">Tax credit for natural gas manufacturing (petrochemical) facilities – Pennsylvania. 
The Pennsylvanian state government has provided royalty or govt. fee break (GRF) for the Exploration or production or processing or storage or transportation of natural gas manufacturing, entering into force by the 23/07/2020 for the General Assembly of Pennsylvania.
</t>
  </si>
  <si>
    <t>https://www.legis.state.pa.us/cfdocs/billInfo/billInfo.cfm?sYear=2019&amp;sInd=0&amp;body=H&amp;type=B&amp;bn=732</t>
  </si>
  <si>
    <t>New Policy</t>
  </si>
  <si>
    <t>USD 14.4 billion</t>
  </si>
  <si>
    <t>USD 54.8 billion</t>
  </si>
  <si>
    <t>USD 10.3 billion.</t>
  </si>
  <si>
    <t>USD 3.6 billion</t>
  </si>
  <si>
    <t>BRA10</t>
  </si>
  <si>
    <t>Congress added important points in the MP (Provisional Measure) that had been set by the President early in the pandemic. The airline companies will not be held responsible for flight delays due to "force majeure" and they may use the National Civil Aviation Fund (FNAC) for loan guarantees of up to BRL 3 billion.</t>
  </si>
  <si>
    <t>https://www.in.gov.br/en/web/dou/-/lei-n-14.034-de-5-de-agosto-de-2020-270712514 (accessed 07/08/2020)</t>
  </si>
  <si>
    <t>BRA11</t>
  </si>
  <si>
    <t>The National Program for Electrical Energy Conservation (Procel) committed 30 million BRL for the National Development Bank's (BNDES) energy efficiency fund. The resources will be used as grants to support energy efficiency projects through guarantees in different sectors of the economy. The objective is to reduce risks of default and increase access to credits for such projects.</t>
  </si>
  <si>
    <t>BRA12</t>
  </si>
  <si>
    <t>It provides for the reduction of royalties and the incentive for small or medium-sized companies in the activities of exploration, development and production of oil and natural gas.</t>
  </si>
  <si>
    <t>https://web.archive.org/web/20200722013932/, http://www.in.gov.br/en/web/dou/-/despacho-do-presidente-da-republica-264424998</t>
  </si>
  <si>
    <t>BRA13</t>
  </si>
  <si>
    <t>The "More Light for the Amazon" program foresees the use of renewable sources of electricity generation, mainly photovoltaic systems, and the replacement of small diesel or gasoline electric power generators, which today are the only source of electricity for many families that live in these remote regions, thus contributing to the reduction of greenhouse gas emissions and encouraging the sustainable use of resources in the Amazon Forest.</t>
  </si>
  <si>
    <t>BRA14</t>
  </si>
  <si>
    <t>BRA15</t>
  </si>
  <si>
    <t>Establishes procedures for controlling and reducing oil and gas burns and losses. Aims to foster, on economic grounds, an increase in the share of domestic natural gas production in serving the Brazilian market, including by reducing the burning of natural gas in exploration and production activities.</t>
  </si>
  <si>
    <t>https://web.archive.org/web/20200713012922/, http://www.anp.gov.br/noticias/5589-anp-aperfeicoa-regras-para-queima-de-gas</t>
  </si>
  <si>
    <t>BRA16</t>
  </si>
  <si>
    <t>To allow the extension of deadlines related to oil and natural gas exploration and production contracts in the context of COVID.</t>
  </si>
  <si>
    <t>https://web.archive.org/web/20200713010848/, http://www.in.gov.br/web/dou/-/resolucao-n-815-de-20-de-abril-de-2020-253195842</t>
  </si>
  <si>
    <t>BRA17</t>
  </si>
  <si>
    <t>https://web.archive.org/web/20200421193251/, http://www.in.gov.br/web/dou/-/resolucao-n-816-de-20-de-abril-de-2020-253195837</t>
  </si>
  <si>
    <t>BRA18</t>
  </si>
  <si>
    <t>https://web.archive.org/web/20200712204420/, http://www.in.gov.br/en/web/dou/-/decreto-n-10.350-de-18-de-maio-de-2020-257267211</t>
  </si>
  <si>
    <t>BRA19</t>
  </si>
  <si>
    <t>https://web.archive.org/web/20200712203630/, http://www.in.gov.br/en/web/dou/-/medida-provisoria-n-950-de-8-de-abril-de-2020-251768271</t>
  </si>
  <si>
    <t>BRA20</t>
  </si>
  <si>
    <t xml:space="preserve">To postpone energy auctions indefinitely in order to adopt measures to deal with the public health emergency of international importance resulting from the coronavirus  </t>
  </si>
  <si>
    <t>https://web.archive.org/web/20200712161825/, http://www.in.gov.br/en/web/dou/-/portaria-n-134-de-28-de-marco-de-2020-250263670</t>
  </si>
  <si>
    <t>BRA21</t>
  </si>
  <si>
    <t xml:space="preserve">The objective is the guarantee of the provision of energy services; the preservation of the mineral goods production and supply chain; of petroleum and its derivatives; of natural gas; and biofuels. </t>
  </si>
  <si>
    <t>https://web.archive.org/web/20200712144231/, http://www.in.gov.br/en/web/dou/-/portaria-n-131-de-27-de-marco-de-2020-250710862</t>
  </si>
  <si>
    <t>BRA22</t>
  </si>
  <si>
    <t xml:space="preserve">To prevent electricity service from being interrupted or cut during the COVID crisis. </t>
  </si>
  <si>
    <t>https://web.archive.org/web/20200712142308/, http://www.in.gov.br/en/web/dou/-/resolucao-normativa-n-878-de-24-de-marco-de-2020-249621270</t>
  </si>
  <si>
    <t>BRA23</t>
  </si>
  <si>
    <t>BRA24</t>
  </si>
  <si>
    <t>To help facilitate environmental licensing for uranium and phosphate mining projects.</t>
  </si>
  <si>
    <t>https://web.archive.org/web/20200707222635/, http://www.mme.gov.br/web/guest/todas-as-noticias/-/asset_publisher/pdAS9IcdBICN/content/mme-aprova-no-ppi-o-programa-de-minerais-estrategicos?inheritRedirect=false&amp;redirect=, http%3A%2F%2Fwww.mme.gov.br%2Fweb%2Fguest%2Ftodas-as-noticias%3Fp_p_id%3D101_INSTANCE_pdAS9IcdBICN%26p_p_lifecycle%3D0%26p_p_state%3Dnormal%26p_p_mode%3Dview%26p_p_col_id%3Dcolumn-1%26p_p_col_count%3D1</t>
  </si>
  <si>
    <t>BRA25</t>
  </si>
  <si>
    <t>The Project contributes to the reduction of greenhouse gas emissions per MWh of energy from the Brazilian electric matrix by adding energy generation capacity through a clean and renewable source of resources; and it also contributes to the strengthening of the supply chain for the wind turbine sector established in the country.</t>
  </si>
  <si>
    <t>https://web.archive.org/web/20200712024353/, https://www.bndes.gov.br/wps/portal/site/home/imprensa/noticias/conteudo/projeto-eolico-no-rio-grande-do-norte-apoiado-pelo-bndes-fornece-a-energia-limpa-a-800-mil-residencias/%21ut/p/z1/zZRLb9swDMc_yw45EqJl-XV00zzauA22PtL4UsiynKiLJddR222ffnLRAVuHxBiyDPNFoEj__qRJk-TkjuSaP6sVt8povnH2Mg_vs2Q2mrI5ZhhcM0xP_YjdRCOcxZTckpzkQtvGrsmy0KXc3iu9tco-iVfCANemlgNUddNKveUD1MYqofh2gMJoK59KM8CmNQ_SGpBmo4QBbaBVBlYtd0Aou4vWSuCNUdxZjdwYeNWCyrRaCucCqWW7Uhw2Tok7O0aEWm2glVtVSt0pdqk2QpVkGSeFpGHpgYiqEFgQxFB4nge8LApRJdSPaUEWfbXnzo07nhTf3t8TkO_GszHu1-8C8v3pLbp6ezLoy-FdwOQ0o5hmwRjHHy8no5S-D5if-SNMp8MsYKOZN0l8snRVRLvT9MniWckXcuNaXLuBu_rDJk2xR2FOD1TowQfHxUdHxTN2IP68bwjdAqHtxfBi5bDcrkHpypC7f_S_O3H18PiYp25FdbvmiyV3__uO2tswNvZ2NywKMUFRlhB6DIEhp5AEYQlRxTmjzhuK3-fh6sR3-OgsyCYJTmn0l_G_Zn8bHhcfHBd_6Mc579u2B88raeo69r8qBZ8_Tb-dXMJkWMQv11X9dixi-7P54zb98B2x5CNI/dz/d5/L2dBISEvZ0FBIS9nQSEh/</t>
  </si>
  <si>
    <t>BRA26</t>
  </si>
  <si>
    <t>To increase the diversification of the power supply through investment in renewables, and also to improve energy security.</t>
  </si>
  <si>
    <t>BRA27</t>
  </si>
  <si>
    <t xml:space="preserve">Financing to support an investment plan in the electricity sector, with a view to expanding the system, reduction commercial losses, improving the quality of energy supply, expanding the customer base and improving the operation of the electricity system. </t>
  </si>
  <si>
    <t>https://web.archive.org/save/, https://www.bndes.gov.br/wps/portal/site/home/imprensa/noticias/conteudo/bndes-financia-investimentos-em-empresas-de-energia-de-pi-al-desestatizadas-com-apoio-do-banco/!ut/p/z1/zVTbbqMwEP2WfeDR8gDm9kjT3EmjVZum4aUyxkm8KjYNNNn06zuJol3tViGVIqQiJBt8fGbmnLFpSp9oqvlWrXitjOYv-L1I_eckGncHbAoJeA8M4ls3YLOgC-PQofMjAM48MdD0_H7WA_pIU5oKXZf1mi4yncvqWemqVvWbOGZgwdoU0gJVlBupK26BNrUSilcWCKNr-ZYbC44byVJprnGJKL2VyFFIXZuKyAJf3F3xiuSSSC03KwThtFSEv-CkQjRW_M5zhAhTEF4aZUhuSIaE5pBiKVROF2Fuc8-OXCLtyCbMFpJw6WXEky4TdmYLJwhOkjTUnH5F0gZA2qz46FIANNXZTDqTFZbF6zXKtTT0qWUNMaj69fqaxmj3wbff9SnkN_R7fnD8gof_Avq3iQNx4vWg9_Ou342d_wHToduFeNBJPNYd2_3IPQEafFxgHwTnc7DpfKvkjs602RR4VO__tmngQwQiz4lvMyAMuEMiz89JsOScObjqi4wOPke4v3ExQjD0kn4EAye4MkJzAY9-u_Reu_TXijO61GFXH5jmCsahe76CL91zzfRTp116r136oFV6xq6kL4tZEbp7RdJs74IaksVou9s9LItOFp6Gvft-c3f4_2eYxD8-AHWazoo!/dz/d5/L2dBISEvZ0FBIS9nQSEh/</t>
  </si>
  <si>
    <t>BRA28</t>
  </si>
  <si>
    <t>To diversify the energy mix in Brazil, increase the installed capacity of the national electricity system, and contribute to the strengthening of the wind turbine sector's supply chain established in the country.</t>
  </si>
  <si>
    <t>https://web.archive.org/web/20200712021311/, https://www.bndes.gov.br/wps/portal/site/home/imprensa/noticias/conteudo/bndes-aprova-1-3-bilhao-para-implantacao-de-projeto-eolico-na-paraiba/%21ut/p/z1/xZVdc6IwFIZ_Sy-4jIkQQPeO1m9pO65rrdw4IUSNAwkNUbv76zdYb6oVZ8c6ywUM4c1zTt5z5gAj-AojQbZ8STSXgqTmfRZ587A5bPfwMwqR-wujoOX4eOK30bBhw-legM5cAYLR-f24g-ALjGBEhc71Cs5ikbBizkWhud7QfQYWWsmMWYhnuWKiIBYSUnPKSWEhKoVmm0RaaL8RkFzJLQF14ICYpysiQU4UAWZrSoQm1CwkDBjRmmkJmEw5lUCQvYrHpMwkpzyBM9-uI-LYGDQc2wGYxhgQbBPgYoYXNm3gmHqHk1dYE1UbU7m_tCaqxg-OBGjURkE4-vncd0Yo6Dtl7Wz1-PC4NMciegW4WEj4Wt5VRqg0hklFScaMNcr4eQI8ifg18Hu8N2y-fnuLAtMNZVnf9YH8_9phWjbEhRJ9FnRboW1q4HZQZ_TUbQf2scDUxhSp9xC6uD2sd5vOQVDRJjPTJv75qjhwuuVsByeirGoKx__Yxb1LEZ7tKyNcwLu3xfs3xWN8Szzu1CvwHmoimiTAq2MEMCI2aLpeAvwFMWHMV4_GJ_jxvWPwft8Nu03Us_1vxn_O_sW7Ld69Lf5acwaXhsfVI68MsUxl_PGfDkTsNMxoVmzBFFO1jTLLK63z4oeFLLTb7Wp7em0pt7VYmZXcDM1cKl3GKLhmFZG-4K9kYRI-xsI8m2QN5zcHUeym23Ax7q_dZTZv3T-B2WD759zjQx3c3f0FQOyfDA%21%21/dz/d5/L2dBISEvZ0FBIS9nQSEh/</t>
  </si>
  <si>
    <t>BRA29</t>
  </si>
  <si>
    <t xml:space="preserve">The stimulus aims to help move Brazil toward a low-carbon economy, and to expand the private energy market in the country. </t>
  </si>
  <si>
    <t xml:space="preserve">https://web.archive.org/save/, https://www.bndes.gov.br/wps/portal/site/home/imprensa/noticias/conteudo/com-financiamento-do-bndes-parque-eolico-na-bahia-vai-gerar-energia-limpa-para-850-mil-domicilios/!ut/p/z1/xVVNc9owFPwtOXB8o4ctf3B0CZgPJyQhhOALI2QZ1MEysQ2U_vrKJJk2pODJUKa-yJZW-3b2rWQSkmcSKraRc1bIVLGl_p6E9jRo9FsdOsAArUeK3rXp0JHTwr5rkPFHwKBrttDrNAOLtvp1v2GS8Ph-2kbyREISclWsigWZzFQk8qlUeSGLNd8rqOEiTUQNZbLKhMpZDVVaSC5ZXkOeqkKso7R8SyCWiim9kAhVpBClsGeDFcte1gJEupQ8BcVgxhaSwYZJmIuMZSCUyOZ6ZqlLsBLOwLUQErnUJIkutZRpXqpccRmRiVMX1HQjA2wztoFybgEzGgbEnEczFxlllnXoymfbSlfwyOPh2_4TgApXT9YvAeFpeb2PAP8B6-hZ_bb3dN030aBlLozspnkz17awYgFSxSl5jsuG5JAJvs5ybZpGye8vL6GnW1wu_SjI84keFxlTuW6AKNtYw1e2aSSm74Tvc78rHAgdBL6DXuAPusPhHd7fOseEJsklxK1VtB81-6Gwh46rhTWDx7u2i_6IXrJ8OeqkvxJAso70uWDAdcAZxCrhNVxlKRe53gWRgLI8y4GpNZP5HnDEtapd4_KUVOS2KrkHAP86MLRvVhvb97d-yzMOAZ8vnInOvnM83CYZb6TYkpFKs0TfcMMvHu0OVlQYGGdWqKC3LkvvXJSe0jPpe1VX19-je_kfxBfP8__-n51sE23XT7TJxgbyKAK7ThEoMgMalh2BEzNGDb1q89kn-uE3U9M7XSvwG9gxnH9M_1H9k31Zeuuy9Oea06u6Y8-OKlklo8Q1d1JCONuZPwMx3r-g7MKkt9luH-OkOXPfhp253Pzx-T679a6ufgGovzVl/dz/d5/L2dBISEvZ0FBIS9nQSEh/ </t>
  </si>
  <si>
    <t>BRA30</t>
  </si>
  <si>
    <t xml:space="preserve">The stimulus aims to diversify the Brazilian energy matrix and to help economic recovery after the coronavirus pandemic. </t>
  </si>
  <si>
    <t>https://web.archive.org/save/, https://www.bndes.gov.br/wps/portal/site/home/imprensa/noticias/conteudo/bndes-aprova-financiamento-a-implantacao-de-parque-eolico-no-rio-grande-do-norte/!ut/p/z1/zVTBjpswFPyWPXB0_BZDQnpDuyRpQxq13TQLl8gYA26DTYwD27-vSXOoVk1W1Xal-mL56b2Z8ZgBp_gRp5J2oqRGKEn39pyk4108XUYLbw0x-A8ehPdk4m0mESwDF29PDXBhhYDTy_PeDPBXnOKUSdOYCieZzHm7E7I1whzZSYEDlaq5A6JuNJctdUAqI5igrQNMScOPuXLgNIhoo1VHUSEklbaj5tIoRJEd3VNpKKMK5Rw1VB-OHHG1F0whqZAWCpWaWgiUDwVt-CCqYSLHyRimGWM5Q8GtS5A3JlMUeBlFxCekANf3Cc_OJlxxKb3u0Xbg-x1hfh-7EMb-DGafPs6j0H3esH5PIggXd7HvRcvb-ZScG66QJFbk5LJIgred4D3eWANq-_Jf_tKDxUsMa_eVDC_A-28LP3lTeM97JfyHa0EbPkGbZFev7lalhaWmQkIWCj_-8-BYGvHtcEhDm-ohnk_mTPJfxNq6VO5V9uvHFsqMBNYOzQuuuR4dtS1XxjTtOwcc6Pt-dBIwKlU3yrStNFZdY4EG_a0w_PIt_oRfqdaa8RwWN_WmDsgP9P1z0D8UVVnvVhHxz9u-i4uV8ZPw5uYn_0fGBQ!!/dz/d5/L2dBISEvZ0FBIS9nQSEh/</t>
  </si>
  <si>
    <t>BRA31</t>
  </si>
  <si>
    <t>The operation was organized to avoid major readjustments in electricity tariffs, which would have been caused by the effects foreseen in the distributors' next ordinary tariff process. With Conta-Covid, these amounts will be diluted in 60 months, reducing the readjustment indexes to be approved in 2020.</t>
  </si>
  <si>
    <t>https://web.archive.org/save/, https://www.bndes.gov.br/wps/portal/site/home/imprensa/noticias/conteudo/bndes-fecha-com-bancos-a-operacao-da-conta-covid-destinada-ao-setor-eletrico/!ut/p/z1/xVTBcpswFPyWHDjKUpAo0BuTYLs1rqdt3AQuHiEJUGskImRo_77C9aGTqZ3ppJlygOHpaXe10goW8AEWig6yplZqRffuPy_e7LJ4lS7JBmUouCMoucUh2YYpWkU-vD82oDNPgmBxfj6ZI_gFFrBgyna2gXmpuOh3UvVW2gM7KvBQo1vhIdl2RqieekhpK5mkvYeYVlYcuPbQcSKoBGsoYLoFJVVM94AC3QlDGdWATwPKTu9BcuDarVTUVd1YL6w2QOyFNZLpSVDHJId5JDinPMCg5NcxIDwKAY1xDMoqrDiJI-oH-GTABYeKy_7cT3y_IyxuMx8lWTBH848fFmniP23YvMMpSpY3WUDS1fUixqeGCyS5ExmeF-lWMUgxwq3SpnW7_vkvPVg-x7DxX8jwDHzwuvDhq8IT8kL495dCNh1Bl2LfrG_WtYOltgFSVRo-_NPQOAr59fGxSFyap1h-tyeC_x5n50691-WvyyxRJY6cDUZUwggzOxhXbqzt-rce8tA4jrMj-azWw6w0rtI5ZZ02dtLeSyvOr-BP-I3unRFPYWHXbtsI_wDfPkXjXdXU7W6d4uD02Q9ZtbZBnlxd_QSwMBFD/dz/d5/L2dBISEvZ0FBIS9nQSEh/</t>
  </si>
  <si>
    <t>BRA32</t>
  </si>
  <si>
    <t xml:space="preserve">The purchase of biodiesel is intended to comply with the mandatory mixture of 12% biodiesel to the diesel sold for the months of July and August. </t>
  </si>
  <si>
    <t>eb.archive.org/web/20200701115203/, http://www.mme.gov.br/web/guest/todas-as-noticias/-/asset_publisher/pdAS9IcdBICN/content/73-leilao-de-biodiesel-negocia-1-19-bilhao-de-litros?inheritRedirect=false&amp;redirect=, http%253A%252F%252Fwww.mme.gov.br%252Fweb%252Fguest%252Ftodas-as-noticias%253Fp_p_id%253D101_INSTANCE_pdAS9IcdBICN%2526p_p_lifecycle%253D0%2526p_p_state%253Dnormal%2526p_p_mode%253Dview%2526p_p_col_id%253Dcolumn-1%2526p_p_col_count%253D1</t>
  </si>
  <si>
    <t>BRA33</t>
  </si>
  <si>
    <t>Strengthen the electricity sector's liquidity amid the COVID-19 pandemic scenario.</t>
  </si>
  <si>
    <t>https://web.archive.org/save/, https://www.aneel.gov.br/sala-de-imprensa-exibicao-2/-/asset_publisher/zXQREz8EVlZ6/content/covid-19-aneel-e-ccee-liberam-r-207-milhoes-para-distribuidoras-e-consumidores-livres/656877</t>
  </si>
  <si>
    <t>BRA34</t>
  </si>
  <si>
    <t>The international oil price reduction made biofuels less competitive compared to gasoline, thus increasing the COVID-19 crisis impact on the biofuel industry. The program aims to support the sector, incentivize the maintenance of jobs, and reduce the risk of fuel shortages during the period of economic recovery.</t>
  </si>
  <si>
    <t>https://web.archive.org/web/0/, https://www.bndes.gov.br/wps/portal/site/home/imprensa/noticias/conteudo/setor-sucroalcooleiro-tera-apoio-do-bndes-para-enfrentar-pandemia</t>
  </si>
  <si>
    <t>BRA35</t>
  </si>
  <si>
    <t>Exempts all beneficiaries of the Social Tariff Program (2002) from paying electric bills from April 8th to June 30th aiming to provide support to low income families.</t>
  </si>
  <si>
    <t>The presidential decree aims to maintain the renewable power mix (83% renewable), attract foreign investments, reduce consumer tariffs and generate employment. The discussion about green bonds in Brazil has been led by CBI to introduce this green finance mechanism for Brazilian infrastructure projects.</t>
  </si>
  <si>
    <t>https://web.archive.org/web/20200707221455/, http://www.mme.gov.br/web/guest/todas-as-noticias/-/asset_publisher/pdAS9IcdBICN/content/decreto-cria-novas-perspectivas-para-fontes-renovaveis?inheritRedirect=false&amp;redirect=, http%3A%2F%2Fwww.mme.gov.br%2Fweb%2Fguest%2Ftodas-as-noticias%3Fp_p_id%3D101_INSTANCE_pdAS9IcdBICN%26p_p_lifecycle%3D0%26p_p_state%3Dnormal%26p_p_mode%3Dview%26p_p_col_id%3Dcolumn-1%26p_p_col_count%3D1</t>
  </si>
  <si>
    <t xml:space="preserve">23 June 2020.
The government announces a massive infrastructure investment plan conceptualised as part of the country’s strategy to revitalize the economy and reduce rampant unemployment. The COVID-19 pandemic and the downgrading of the economy already before the pandemic increased the urgent need for infrastructure investment. 
The "greenness" of the measure has not been explicitly defined. Among the sectors of intervention - energy, water and sanitation, transport, digital infrastructure, human settlements, and agriculture and agroprocessing, energy is the one that most explicitly refers to sustainable resources with the continuation of the Integrated Resource Plan (project started in 2019). </t>
  </si>
  <si>
    <t>https://pmg.org.za/committee-meeting/30523/</t>
  </si>
  <si>
    <t>https://www.tralac.org/documents/news/3777-sustainable-infrastructure-development-symposium-south-africa-sidssa-23-june-2020/file.html</t>
  </si>
  <si>
    <t>23 June 2020.
In the infrastructure investment plan, the Integrated Resource Plan (project started in 2019) is explicitly considered to be continued, with a total of 25 projects approved. When the IRP is implemented in full, coal-fired generationwill fall from 70% of the current installed capacity to 43% by 2030 with renewables (excluding hydro) increasing from 7% to 34% over the same period. </t>
  </si>
  <si>
    <t>https://www.tralac.org/documents/news/3777-sustainable-infrastructure-development-symposium-south-africa-sidssa-23-june-2020/file.html 
(page 20)</t>
  </si>
  <si>
    <t>Whie indigenous coal is still the main source of primary energy (69%), renewables are increasingly growing in national energy policy, and this plan is a great accelerator</t>
  </si>
  <si>
    <t xml:space="preserve">13 September 2020
Cabinet approved key actions that will contribute to the environment:
1. Establishment of the Presidential Climate Change Coordinating Commission (PCCCC) to coordinate the Just Transition. One of its first tasks will be to focus on understanding the impact of climate change on jobs, both positive and negative, and climate change responses by sector and location. This will require the urgent finalisation of the National Employment Vulnerability Assessment (NEVA) and thereafter, Sector Job Resilient Plans (SJRPs). The Commission will also explore opportunities for new upstream and downstream green jobs and green industries that should be exploited, and climate resilience interventions that need to be expanded.
2. South Africa’s Low Emissions Development Strategy (LEDS), also approved by Cabinet, will be deposited with the United Nations Framework Convention on Climate Change (UNFCCC) Secretariat.  This is further to the country’s NDC deposited with the UNFCCC ahead of the signing of the Paris Agreement on Climate Change in which countries committed to limited the increase in global average temperatures to below 1.5°C above pre-industrial levels.
</t>
  </si>
  <si>
    <t>https://www.sanews.gov.za/south-africa/cabinet-approves-climate-change-plans</t>
  </si>
  <si>
    <t>https://www.environment.gov.za/mediarelease/climatechange_emissionsreduction_wastemanagementplans</t>
  </si>
  <si>
    <t>13 September 2020
Cabinet has approved another key action, the National Waste Management Strategy 2020, developed in terms of the National Environmental Management: Waste Act. This strategy is a revision and update of the 2011 strategy and builds on the successes and lessons from the implementation of that strategy. The NWMS 2020 is focused on preventing waste and diverting waste from landfill by leveraging the concept of the Circular Economy to drive sustainable, inclusive economic growth and development in the waste sector, while reducing the social and environmental impacts of waste. Its implementation plan will create jobs in the waste sector and increase awareness and compliance around waste.</t>
  </si>
  <si>
    <t>https://www.eapasa.org/images/documents/Costing_Framework_for_the_National_Waste_Management_Strategy_2020._18_June_2020.pdf</t>
  </si>
  <si>
    <t>1 October 2020
After a deferral in March due to the already demaged eeconomic downturn of the industrial sector, the government  has re-opened the period of submission of the carbon tax from 1 to 31 October for the period 2019</t>
  </si>
  <si>
    <t>https://www.sars.gov.za/ClientSegments/Customs-Excise/Excise/Environmental-Levy-Products/Pages/Carbon-Tax.aspx</t>
  </si>
  <si>
    <t xml:space="preserve">The measure had been approved before Covid crisis broke up, but it was only postponed to give some relief to industries </t>
  </si>
  <si>
    <t>16 October 2020
Intervention by the Department of Water and Sanitation (DWS) in the Vaal River pollution. To solve the sewer challenge, the Department committed this fund for work that includes the building of additional wastewater treatment capacity and associated pump stations. In addition, 26 work packages will be advertised in the coming weeks for competent contractors to be part of solving the protracted sewer challenge. In this regard, departmental checks and balances had to be followed to ensure compliance with procurement processes. This thoroughness on the part of the department caused delays but was necessary to ensure processes were done in a completely honest and straightforward manner.</t>
  </si>
  <si>
    <t>https://www.sanews.gov.za/south-africa/funds-allocated-solve-vaal-river-pollution</t>
  </si>
  <si>
    <t>ZAF1</t>
  </si>
  <si>
    <t>ZAF2</t>
  </si>
  <si>
    <t>ZAF3</t>
  </si>
  <si>
    <t>ZAF4</t>
  </si>
  <si>
    <t>ZAF5</t>
  </si>
  <si>
    <t>ZAF6</t>
  </si>
  <si>
    <t>USD</t>
  </si>
  <si>
    <t xml:space="preserve">An annual subsidy of nighttrains of EUR 10 million has been added since the initial proposal. </t>
  </si>
  <si>
    <t>AUT 6</t>
  </si>
  <si>
    <t>AUT 7</t>
  </si>
  <si>
    <t>AUT 8</t>
  </si>
  <si>
    <t>https://platform2020redesign.org/countries/austria/</t>
  </si>
  <si>
    <t>BEL1</t>
  </si>
  <si>
    <t xml:space="preserve">700 million </t>
  </si>
  <si>
    <t>Flanders has put together a relance plan (Flemish resilience - Vlaamse veerkracht) for a total budget of 4,3 billion euro (5 billion $). It is an economy-wide plan that focuses on 7 pillars (so roughly said 700 million $ per pillar). One of the seven pillars is Climate, Sustainability and Innovation. Key focal points for innovation are: CO2 captation in harbours, biogas and bio-based products, hydrogen, blue deal for drought management, renovation of buildings, greening the modal shift (bicycle lanes, car sharing, bike sharing, ...), transition to the circular economy.</t>
  </si>
  <si>
    <t>https://www.vlaanderen.be/publicaties/relanceplan-vlaamse-regering-vlaamse-veerkracht</t>
  </si>
  <si>
    <t>https://www.vlaio.be/nl/nieuws/43-miljard-euro-voor-relanceplan-vlaamse-veerkracht</t>
  </si>
  <si>
    <t>Most intentions already existed before, but now more budget is shifted to the priority topics. Most practical modalities still need to be developed.</t>
  </si>
  <si>
    <t>BEL2</t>
  </si>
  <si>
    <t xml:space="preserve">Brussels has put together a Relance and redevelopment Plan (Relance- en herontwikkelingsplan voor Brussel - Plan de relance et de redéploiment de RBC). One out of the three pillars concerns urban planning and environment. Focal points are: cycling paths, renovation of buildings and the procurement of an area to foster biodiversity in urban context. The total budget concerns 120 million € but is mainly focused on short term relance and econmic survival measures. The medium term priorities and almost all environmental measures still need to be developed. </t>
  </si>
  <si>
    <t>https://rudivervoort.brussels/wp-content/uploads/2020/07/Plan-de-relance-Dossier-de-presse-NL.pdf</t>
  </si>
  <si>
    <t>https://www.voka.be/nieuws/brussels-herstelplan-eerste-stap-relance</t>
  </si>
  <si>
    <t>BEL3</t>
  </si>
  <si>
    <t>12 million</t>
  </si>
  <si>
    <t>BEL4</t>
  </si>
  <si>
    <t xml:space="preserve">Wallonia has launched the 'Get Up Wallonia' plan. It has an economy-wide focus with sustainability as one of the three pillars. A processus involving a range of experts and stakeholders should lead to concrete relance measures and an analysis of the budgetary impacts in the first quarter of 2021. </t>
  </si>
  <si>
    <t>https://gouvernement.wallonie.be/files/%255BNote%20du%20Gouvernement%20de%20Wallonie%255D%20-%20Get%20up%20Wallonia%20!.pdf</t>
  </si>
  <si>
    <t>https://www.lecho.be/economie-politique/belgique/wallonie/le-covid-ne-peut-servir-de-paravent-a-la-relance-de-la-wallonie/10256438.html</t>
  </si>
  <si>
    <t>BEL5</t>
  </si>
  <si>
    <t>The new Belgian government (October 2020) has included Green Relance as one of its six pillars for its governmental agreement (Regeringsakkoord). The measures still have to be made concrete.</t>
  </si>
  <si>
    <t>https://www.belgium.be/sites/default/files/Regeerakkoord_2020.pdf</t>
  </si>
  <si>
    <t>BEL6</t>
  </si>
  <si>
    <t>The Value Added Tax for Demolition and Reconstruction will be reduced from 21% to 6% to speed up energy savings in residential buildings in Belgium.</t>
  </si>
  <si>
    <t>https://www.tijd.be/netto/analyse/vastgoed/strikte-regels-voor-sloop-en-heropbouw-aan-6-procent-btw/10257614.html</t>
  </si>
  <si>
    <t>BEL7</t>
  </si>
  <si>
    <t xml:space="preserve">Increase with 20% of salary fraction that can be deducted for donations: from 45% to 60%. The measure applies to all registered charities including charities that purchase and restore nature. </t>
  </si>
  <si>
    <t>https://financien.belgium.be/nl/particulieren/belastingvoordelen/giften#q3</t>
  </si>
  <si>
    <t>Up to $750 million to create a new Emissions Reduction Fund to support workers and reduce emissions in Canada's oil and gas sector, with a focus on methane.
This fund will provide primarily repayable contributions to conventional and offshore oil and gas firms to support their investments to reduce greenhouse gas emissions. Of this amount, $75 million will be allocated to the offshore sector.</t>
  </si>
  <si>
    <t>CAD 330 million</t>
  </si>
  <si>
    <t>https://climateactiontracker.org/countries/canada/</t>
  </si>
  <si>
    <t>Up to CAD 22.7 million</t>
  </si>
  <si>
    <t>(Alberta-specific) Support to air transport:
- Seeking partnerships to grow and expand remotely piloted aircraft systems by leveraging assets such as the aircraft testing range in Foremost
- Promoting Alberta’s position as a growing hub for logistics, including the significant scope to grow services in both Edmonton and Calgary
- Enacting regulatory changes that  permit increased airline traffic and services in Alberta, including expansion by WestJet, and other airlines that have a significant presence and focus in Alberta, such as Swoop and Flair
- Working with post-secondary institutions and private sector investors to address the massive shortage in trained pilots and maintenance personnel within the aviation sector</t>
  </si>
  <si>
    <t>CAN14</t>
  </si>
  <si>
    <t>CAD 200 million</t>
  </si>
  <si>
    <t>We have increased the Canadian Dairy Commission’s borrowing limit by $200 million to support costs associated with the temporary storage of cheese and butter to avoid food waste.</t>
  </si>
  <si>
    <t>CAN15</t>
  </si>
  <si>
    <t>CAD 62.5 million</t>
  </si>
  <si>
    <t>We are providing $62.5 million of new assistance to the fish and seafood processing sector through the Canadian Seafood Stabilization Fund.
This will help businesses:
add storage capacity for unsold product;
comply with new health and safety measures for workers;
support new manufacturing/automated technologies to improve productivity and quality of finished seafood products; and,
adapt products to respond to changing requirements and new market demands.
Regional Development Agencies are now accepting applications to the Fund.</t>
  </si>
  <si>
    <t>CAN16</t>
  </si>
  <si>
    <t>CAD 3 billion</t>
  </si>
  <si>
    <t>The new stream will support the following types of projects:
Retrofits, repairs and upgrades for municipal, territorial, provincial and Indigenous buildings, health infrastructure and schools;
COVID-19 response infrastructure, including measures to support physical distancing;
Active transportation infrastructure, including parks, trails, foot bridges, bike lanes and multi-use paths; and
Disaster mitigation and adaptation projects, including natural infrastructure, flood and fire mitigation, and tree planting and related infrastructure.
The stream supports near-term, quick- start projects and  projects must respect the following timeframes:
Construction must start no later than September 30, 2021; and,
Projects must be completed by the end of 2021, or by the end of 2022 in the territories and in remote communities.</t>
  </si>
  <si>
    <t>https://www.infrastructure.gc.ca/plan/covid-19-resilience-eng.html</t>
  </si>
  <si>
    <t>CAN17</t>
  </si>
  <si>
    <t>CAD 320 million</t>
  </si>
  <si>
    <t>We are providing $320 million in funding, towards an agreement with the Newfoundland and Labrador government, to support Canadians with offshore energy jobs. This agreement will allow the province to support workers through activities such as safety improvements, maintenance and upgrades of existing facilities, and research and development.</t>
  </si>
  <si>
    <t>https://www.cbc.ca/news/canada/newfoundland-labrador/offshore-announcement-o-regan-furey-1.5738954</t>
  </si>
  <si>
    <t xml:space="preserve">The impacts of this federal funding are unclear - could be spent to reduce emissions, or to increase exploration in the Atlantic region, or fix equipment that is currently not operational. </t>
  </si>
  <si>
    <t>CAN18</t>
  </si>
  <si>
    <t>CAD 2.3 billion</t>
  </si>
  <si>
    <t>the Government of Canada will also cost-match more than $2.3 billion to support any additional provincial/territorial contributions for public transit.</t>
  </si>
  <si>
    <t>https://www.canada.ca/en/intergovernmental-affairs/services/safe-restart-agreement.html</t>
  </si>
  <si>
    <t>https://montreal.ctvnews.ca/provincial-federal-governments-announce-2-3-billion-for-cities-and-public-transit-1.5120417</t>
  </si>
  <si>
    <t>CAN19</t>
  </si>
  <si>
    <t>CAD 469 million</t>
  </si>
  <si>
    <t>Support for Canada’s Fish Harvesters</t>
  </si>
  <si>
    <t>https://www.canada.ca/en/department-finance/economic-response-plan/fiscal-summary.html</t>
  </si>
  <si>
    <t>CAN20</t>
  </si>
  <si>
    <t>CAD 30 million</t>
  </si>
  <si>
    <t>Emergency Funding for Safety Measures in Forest Operations</t>
  </si>
  <si>
    <t>Energy Policy Tracker</t>
  </si>
  <si>
    <t>CAN21</t>
  </si>
  <si>
    <t>CAD 53 million</t>
  </si>
  <si>
    <t>Develop and implement the National Ecosystem Fund to support Black-led business organizations across the country</t>
  </si>
  <si>
    <t>CAN22</t>
  </si>
  <si>
    <t>CAD 141.5 million</t>
  </si>
  <si>
    <t>(Alberta) Investments from the Technology Innovation and Emissions Reduction (TIER) fund for carbon capture and storage and emissions reductions projects. Objective: Reduce methane emissions, cut costs for industry and get Albertans back to work.</t>
  </si>
  <si>
    <t>https://www.alberta.ca/release.cfm?xID=7329228BE88D1-0322-5F49-C6C11B795F47B4C0
https://www.alberta.ca/release.cfm?xID=73318C6591C57-0E3B-1147-1811898B8A0131A5 Accessed 28 September 2020</t>
  </si>
  <si>
    <t>Government of Alberta</t>
  </si>
  <si>
    <t>CAN23</t>
  </si>
  <si>
    <t>CAD 64.4 million</t>
  </si>
  <si>
    <t>(Ontario) Provincial investment in modern, green public transit for residents of Oakville, Brampton, and Sault Ste-Marie</t>
  </si>
  <si>
    <t>https://www.canada.ca/en/office-infrastructure/news/2020/07/backgrounder-canada-and-ontario-invest-in-modern-green-public-transit-for-residents-of-oakville.htm, , https://www.canada.ca/en/office-infrastructure/news/2020/07/backgrounder-canada-and-ontario-invest-in-sustainable-public-transit-to-support-residents-of-sault-ste-marie.html Accessed 1 August 2020; https://www.canada.ca/en/office-infrastructure/news/2020/07/backgrounder-canada-and-ontario-invest-in-sustainable-public-transit-for-brampton-residents.html Accessed 1 August 2020</t>
  </si>
  <si>
    <t>Government of Ontario</t>
  </si>
  <si>
    <t>CAN24</t>
  </si>
  <si>
    <t>CAD 58 million</t>
  </si>
  <si>
    <t>(Alberta) Incent investment in innovation for methane emissions reductions - Exploration or production or processing or storage or transportation</t>
  </si>
  <si>
    <t>https://www.alberta.ca/release.cfm?xID=728627405CE2F-953D-C71A-39908B074E8213CE Accessed 21 July 2020</t>
  </si>
  <si>
    <t>CAN25</t>
  </si>
  <si>
    <t>CAD 50 million</t>
  </si>
  <si>
    <t>(Alberta) Grants for energy efficiency projects and emissions reduction`(research, innovation in technologies to reduce methane emissions and improve industrial energy efficiency)</t>
  </si>
  <si>
    <t>https://www.alberta.ca/release.cfm?xID=745642FF8ABED-9314-3005-E8D65AF4E905EAB2 Accessed 3 November 2020</t>
  </si>
  <si>
    <t>CAN26</t>
  </si>
  <si>
    <t>CAD 2.9 billion</t>
  </si>
  <si>
    <t>(Ontario) Securing power plant ownership under the provincial crown corporation in order to provide electricity</t>
  </si>
  <si>
    <t>https://www.opg.com/media_release/opg-subsidiary-atura-power-finalizes-acquisition-of-natural-gas-assets/ Accessed 11 May 2020</t>
  </si>
  <si>
    <t>CAN27</t>
  </si>
  <si>
    <t>CAD 295 million</t>
  </si>
  <si>
    <t>(Ontario) Provincial funding for battery electric vehicle production at Ford Canada&amp;#8217;s Oakville Assembly Complex</t>
  </si>
  <si>
    <t>https://news.ontario.ca/en/release/58736/historic-ford-canada-investment-transforming-ontario-into-global-electric-vehicle-manufacturing-hub Accessed 13 October 2020</t>
  </si>
  <si>
    <t>Provincial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With this funding, the Oakville Assembly Complex is expected to become one of Ford's highest volume BEV plants in North America, with the first electric vehicles forecasted to roll off the production line in 2025.</t>
  </si>
  <si>
    <t>CAN28</t>
  </si>
  <si>
    <t>CAD 70 million</t>
  </si>
  <si>
    <t>(Quebec) Support for production and distribution of renewable natural gas-Reduce GHG emissions in natural gas networks and support local industry</t>
  </si>
  <si>
    <t>https://mern.gouv.qc.ca/gouvernement-quebec-attribue-70-m-soutenir-gaz-naturel-renouvelable-2020-07-07/ Accessed 15  July 2020</t>
  </si>
  <si>
    <t>Earmarked CAD 70 million over three years for renewable natural gas (RNG) projects. The 2020 budget sets aside CAD 45 million for eight RNG production projects, including for construction and for connection of production sites to the natural gas distribution network. Terms and conditions for the allocation of the remaining $25 million will be announced at a later date.</t>
  </si>
  <si>
    <t>CAN29</t>
  </si>
  <si>
    <t>CAD 16.67 million</t>
  </si>
  <si>
    <t>(Prince Edward Island) Supporting clean electricity investments in the western part of the island</t>
  </si>
  <si>
    <t>https://www.canada.ca/en/office-infrastructure/news/2020/07/canada-and-prince-edward-island-invest-in-new-transmission-line-to-support-wind-energy-production.html Accessed 1 August 2020</t>
  </si>
  <si>
    <t>CAN30</t>
  </si>
  <si>
    <t>CAD 18 million</t>
  </si>
  <si>
    <t>(British Columbia) Green energy infrastructure and transportation investment matching funding</t>
  </si>
  <si>
    <t>https://www.canada.ca/en/office-infrastructure/news/2020/09/backgrounder-canada-and-british-columbia-invest-in-green-energy-solutions.html Accessed 28 September 2020</t>
  </si>
  <si>
    <t xml:space="preserve">The Government of British Columbia is contributing nearly $18 million through the CleanBC Communities Fund, part of the federal Investing in Canada planâ€™s Green Infrastructure Stream. This announcement includes funding for 11 projects to help B.C. communities save energy and reduce pollution, including through renewable energy and energy efficiency projects for select buildings.  Funding is also going towards expanding the network of Level-2 electric vehicle (EV) charging stations across the province. The Government of Canada is investing more than $28.5 million in these projects through the Green Infrastructure Stream (GIS) of the Investing in Canada plan, and local and Indigenous communities are contributing more than $13 million. </t>
  </si>
  <si>
    <t>CAN31</t>
  </si>
  <si>
    <t>CAD 6 billion</t>
  </si>
  <si>
    <t>(Alberta) Increasing Alberta's takeaway capacity and access to international markets</t>
  </si>
  <si>
    <t>https://www.alberta.ca/investing-in-keystone-xl-pipeline.aspx Accessed 8 July 2020</t>
  </si>
  <si>
    <t>The Keystone XL pipeline was proposed in 2008. With this investment and project, the Albertan government anticipates material benefits (through taxes and royalties) to provincial government revenues and the wider Canadian economy, including jobs.</t>
  </si>
  <si>
    <t>CAN32</t>
  </si>
  <si>
    <t>CAD 80 million</t>
  </si>
  <si>
    <t xml:space="preserve">(Alberta) Reduce fiscal burdens for energy sector. </t>
  </si>
  <si>
    <t xml:space="preserve">https://www.alberta.ca/release.cfm?xID=7450191EACDD1-D715-3078-59DF6480E106FC9E Accessed 26 October 2020 </t>
  </si>
  <si>
    <t>A series of measures to reduce fiscal burdens for oil and gas companies, including elimination of the Well Drilling Equipment Tax, extending a 35% assessment reduction on shallow gas wells, lowering tax assessments for less productive wells, and a 3-year tax exemption for companies building new pipelines or drilling new wells.</t>
  </si>
  <si>
    <t>CAN33</t>
  </si>
  <si>
    <t>CAD 32 million</t>
  </si>
  <si>
    <t>(Newfoundland and Labrador) Support initiatives to develop the province's oil and gas industry</t>
  </si>
  <si>
    <t>https://www.gov.nl.ca/budget/2020/wp-content/uploads/sites/3/2020/09/Innovation-Industry-Development.pdf Accessed 5 October 2020</t>
  </si>
  <si>
    <t>Budget 2020 allocates CAD 26 million for exploration activities to systematically evaluate offshore basins and image prospects to capture global investment offshore Newfoundland and Labrador. It also allocates CAD 6 million to help supply-and-service companies in the oil and gas sector through the Innovation and Business Development Fund.</t>
  </si>
  <si>
    <t>CAN34</t>
  </si>
  <si>
    <t>(Saskatchewan): I) Postponed deadline for companies to report GHG emissions; ii) deferral environmental reporting requirements; iii) suspension of penaltities for oils/gas companis; iv) enforcement flexibility for companies breaching environmental regulations</t>
  </si>
  <si>
    <t>https://www.saskatchewan.ca/government/health-care-administration-and-provider-resources/treatment-procedures-and-guidelines/emerging-public-health-issues/2019-novel-coronavirus/covid-19-information-for-businesses-and-workers Accessed 17 June 2020</t>
  </si>
  <si>
    <t>Reducing burdens for industry during COVID-19</t>
  </si>
  <si>
    <t>CAN35</t>
  </si>
  <si>
    <t>(Nova Scotia) Fee deferrals for air pollution and onshore petroleum drilling applications until June 30</t>
  </si>
  <si>
    <t>https://novascotia.ca/coronavirus/fees/ Accessed 17 June 2020</t>
  </si>
  <si>
    <t>CAN36</t>
  </si>
  <si>
    <t>(British Columbia): i) Increased flexibility in environmental reporting; ii) Decrease in natural gas levy; III) Deferral of carbon tax and fuel tax payments; iv) Delay in British Columbia carbon tax increase</t>
  </si>
  <si>
    <t>https://www2.gov.bc.ca/gov/content/environment/natural-resource-stewardship/natural-resource-law-enforcement/environmental-compliance/compliance-covid-19 Accessed 17 June 2020; https://www.bcogc.ca/news/natural-gas-levy-rate-change-indb-2020-13/ Accessed 17 June 2020</t>
  </si>
  <si>
    <t>Reducing burdens for industry during COVID-19. BC Hydro introduced deferrals for a portion of electricity bill payments for a variety of customers, including industry and coal mines. The change was originally introduced for March to May 2020. About 8% of BC Hydro's energy sources is natural gas or oil.The Province of British Columbia delayed implementation dates for changes to B.C.â€™s carbon tax. On 2 Sep 2020 it was announced that a scheduled increase in April 2020 from $40 to $45 per tonne of carbon dioxide equivalent (tCO2e) had been paused until at least October as part of the COVID-19 Action Plan. Upon review, the B.C. government has decided the carbon tax rate will remain at its current level of $40 per tCO2e until April 2021, when it will increase from $40 to $45 per tCO2e. The carbon tax will increase to $50 per tCO2e in April 2022.</t>
  </si>
  <si>
    <t>CAN37</t>
  </si>
  <si>
    <t>(Alberta): i) Temporary suspension of reporting requirement for companies exceeding certain air quality guidelines; ii) Deadline extension for large, industrial GHG emitters to submit compliance reports and emissions reduction plans; iii) Reduction of environmental protections to prevent coal mining in the Foothills and Rockies; iv) Suspension of additional reporting requirements for oil, gas and coal companies; v) Utility bill payment deferral for electricity and natural gas for select consumers; vi) Extensions for oil and gas tenures by one year; vii) Temporary 90% reduction of the operating budget of Canadian Energy Centre; viii) Suspension of certain environmental reporting requirements for the Environmental Protection and Enhancement Act (EPEA), the Water Act and the Public Lands Act</t>
  </si>
  <si>
    <t xml:space="preserve">https://open.alberta.ca/publications/ministerial-order-15-2020-environment-and-parks  Accessed 17 June 2020; https://web.archive.org/web/20200704000544/, https://www.alberta.ca/release.cfm?xID=72670D5511C29-EB2E-3C4B-BAF86938580C3532; https://www.aer.ca/documents/news-releases/IndustryMeasures_Table.pdf Accessed 16 June 2020
</t>
  </si>
  <si>
    <t>Reducing burden for industry during COVID19; Facilitate coal industry activity in Alberta</t>
  </si>
  <si>
    <t>CAN38</t>
  </si>
  <si>
    <t>(Newfoundland and Labrador): Extension of fuel tax exemption permits</t>
  </si>
  <si>
    <t>https://www.gov.nl.ca/releases/2020/fin/0330n03/ Accessed 16 June 2020</t>
  </si>
  <si>
    <t>The expiry date for Fuel Tax Exemption Permits, which allows permit holders to purchase tax-exempt marked gasoline and light fuel oil, which was set to expire on March 31, 2020 has been extended to June 30, 2020. Gasoline and carbon product retailers throughout the province are authorized to accept such permits and continue to sell marked diesel and light fuel oil exempt of gasoline and carbon tax to these permit holders up to and including June 30, 2020</t>
  </si>
  <si>
    <t>CAN39</t>
  </si>
  <si>
    <t>(Ontario): Fixed electricity price for all time-of-use electricity customers; Deferral of Global Adjustment charges for industrial and commercial electricity consumers</t>
  </si>
  <si>
    <t>https://news.ontario.ca/mndmf/en/2020/05/ontario-provides-consumers-with-greater-stability-and-predictability-with-their-electricity-bills.html Accessed 1 June 2020; https://news.ontario.ca/mndmf/en/2020/05/ontario-providing-support-for-industrial-and-commercial-electricity-consumers-during-covid-19.html Accessed 6 May 2020
, http://www.ieso.ca/en/Learn/Electricity-Pricing/What-is-Global-Adjustment Accessed 6 May 2020</t>
  </si>
  <si>
    <t>Ontario has introduced a fixed electricity price, known as the COVID-19 Recovery Rate, of 12.8 cents per kWh, which will be automatically applied to all time-of-use customers 24 hours a day, 7 days a week. This follows previous announcements related to cost relief for electricity in Ontario for residential, farm, and small business consumers announced on March 24, 2020. Defers a portion of Global Adjustment electricity charges for industrial and commercial electricity consumers that do not participate in Ontario's Regulated Price Plan. This change applies to over 50,000 companies and is estimated to prevent bill increases for Class B electricity consumers by at least 15%. Large industrial and commercial Class A consumers will receive the same percentage reduction. Global adjustment rates will be held in line with pre-COVID-19 levels. Ontario's electricity grid is mixed; only a portion of this change would represent deferrals for fossil fuel or nuclear-based energy. The government plans to recover deferred costs starting in January 2021 over a period of 12 months</t>
  </si>
  <si>
    <t>CAN40</t>
  </si>
  <si>
    <t>CAD 2.5 billion</t>
  </si>
  <si>
    <t xml:space="preserve">Within the framework of the Canada Infrastructure  Bank’s (CIB) Growth Plan, this initiative focuses on clean power to support renewable generation and storage and to  transmit clean electricity between provinces, territories, and regions, including to  northern and Indigenous communities. </t>
  </si>
  <si>
    <t>https://cib-bic.ca/en/the-canada-infrastructure-bank-announces-a-plan-to-create-jobs-and-grow-the-economy/</t>
  </si>
  <si>
    <t xml:space="preserve">On 1 October, the government announced $10 billion in new major infrastructure initiatives. The Canada Infrastructure  Bank’s (CIB) Growth Plan is expected to stimulate economic growth and create approximately 60,000 jobs. The three-year plan will connect  more households and small businesses to high-speed Internet, strengthen Canadian  agriculture, and help build a low-carbon economy. </t>
  </si>
  <si>
    <t>CAN41</t>
  </si>
  <si>
    <t>CAD 2 billion</t>
  </si>
  <si>
    <t xml:space="preserve">Investment  in large-scale building retrofits to increase energy efficiency  and help make communities more sustainable (Financing from the Canada's Infrastructure Bank's (CIB) Growth Plan)  </t>
  </si>
  <si>
    <t>CAN42</t>
  </si>
  <si>
    <t>CAD 1.5 billion</t>
  </si>
  <si>
    <t>Agriculture irrigation projects to help the agriculture sector enhance production, strengthen Canada’s food security, and expand export  opportunities (Financing from the Canada's Infrastructure Bank's (CIB) Growth Plan)  .</t>
  </si>
  <si>
    <t>CAN43</t>
  </si>
  <si>
    <t>Accelerate the adoption of zero-emission buses and charging  infrastructure so Canadians can have cleaner commutes (Financing from the Canada's Infrastructure Bank's (CIB) Growth Plan).</t>
  </si>
  <si>
    <t>CAN44</t>
  </si>
  <si>
    <t>CAD 300 million</t>
  </si>
  <si>
    <t>Second phase of Community Efficiency Financing initiative. Help homeowners cut their energy bills and emissions and keep the local economy moving</t>
  </si>
  <si>
    <t>https://www.canada.ca/en/office-infrastructure/news/2020/06/new-initiative-to-help-homeowners-cut-their-energy-bills-and-emissions-and-keep-the-local-economy-moving.html Accessed 10  July 2020</t>
  </si>
  <si>
    <t>Second phase of the new Community Efficiency Financing initiative funded by the Government of Canada and delivered by the Federation of Canadian Municipalities (FCM). The $300-million Community Efficiency Financing initiative helps municipalities and their partners implement innovative local financing programs that help homeowners cut their greenhouse gas emissions and make homes more comfortable and affordable. Bottom-up approach to local program design, offering applicants the opportunity to study and design programs tailored to local priorities and contexts. These programs for low-rise residential properties may build on approaches such as Property Assessed Clean Energy (PACE) and utility on-bill financing.</t>
  </si>
  <si>
    <t>CAN45</t>
  </si>
  <si>
    <t xml:space="preserve">Federal contribution to a $1.8 billion total public and private investment into Ford's Oakville, Ontario plant. The plant directly employs over 3,000 people and will be updated with a flexible manufacturing system able to accommodate multiple battery electric vehicle (BEV) models. It will also include the installation of a battery-pack assembly line. </t>
  </si>
  <si>
    <t>With this funding, the Oakville Assembly Complex is expected to become one of Ford's highest volume BEV plants in North America, with the first electric vehicles forecasted to roll off the production line in 2025.</t>
  </si>
  <si>
    <t>CAN46</t>
  </si>
  <si>
    <t>CAD 251.1 million</t>
  </si>
  <si>
    <t>Infrastructure Canada - Funding infrastructure projects for Canadians</t>
  </si>
  <si>
    <t>https://open.canada.ca/data/en/dataset/beee0771-dab9-4be8-9b80-f8e8b3fdfd9d Last accessed 5 October 2020</t>
  </si>
  <si>
    <t>Through the Investing in Canada plan (developed prior to COVID-19), the Government of Canada is investing over $180 billion over 12 years in infrastructure projects across Canada. This line item reflects federal investments made in public transit since the start of the pandemic.</t>
  </si>
  <si>
    <t>CAN47</t>
  </si>
  <si>
    <t>CAD 57.128</t>
  </si>
  <si>
    <t>Infrastructure Canada project funding for renewable green energy projects since March 2020</t>
  </si>
  <si>
    <t>https://open.canada.ca/data/en/dataset/beee0771-dab9-4be8-9b80-f8e8b3fdfd9d Last accessed 1 September 2020</t>
  </si>
  <si>
    <t>Through the Investing in Canada plan (developed prior to COVID-19), the Government of Canada is investing over $180 billion over 12 years in infrastructure projects across Canada. This line item reflects federal investments made in renewable energy projects (classified by government as "Green Energy") since the start of the pandemic.</t>
  </si>
  <si>
    <t>CAN48</t>
  </si>
  <si>
    <t>CAD 26.5 million</t>
  </si>
  <si>
    <t>Infrastructure Canada project funding for active transportation since March 2020</t>
  </si>
  <si>
    <t>Through the Investing in Canada plan (developed prior to COVID-19), the Government of Canada is investing over $180 billion over 12 years in infrastructure projects across Canada. This line item reflects federal investments made in active transportation since the start of the pandemic.</t>
  </si>
  <si>
    <t>CAN49</t>
  </si>
  <si>
    <t>CAD 100 million</t>
  </si>
  <si>
    <t>Natural Resources Canada - Low Carbon Economy Fund investment in Alberta</t>
  </si>
  <si>
    <t xml:space="preserve">https://www.canada.ca/en/environment-climate-change/news/2020/11/government-of-canada-announces-over-100m-to-spur-job-creation-in-alberta-and-fight-climate-change.html Accessed 10 November 2020. </t>
  </si>
  <si>
    <t>A total of CAD 280 million in federal and provincial funding for three new funds have been announced: the Shovel-Ready Challenge will use up to CAD 150 million to support a call for proposals for leading-edge technologies at large industrial sites to reduce emissions; the Energy Savings for Business Program will use up to CAD 55 million to help Alberta's small and medium-sized facilities benefit from industrial and commercial projects that can be installed quickly to cut emissions; the Partnership Intake Program will use up to CAD 75 million to continue supporting emissions reduction projects that stimulate Alberta's economy. Funding comes from the industry-supported Technology Innovation and Emissions Reduction (TIER) system and the federal Low Carbon Economy Leadership Fund (LCELF). It is not currently clear what projects will be supported, although in the past, similar funding has supported projects in the oil and gas industry.   As of November 9, 2020, no breakdown of how the funding will be applied is available. CAD 100 million is provided through the Low Carbon Economy Fund.</t>
  </si>
  <si>
    <t>CAN50</t>
  </si>
  <si>
    <t xml:space="preserve">Support oil and gas sector to rebound, create good jobs for workers and reduce its carbon footprint. </t>
  </si>
  <si>
    <t>https://www.canada.ca/en/innovation-science-economic-development/news/2020/10/government-of-canada-invests-in-clean-technology-ecosystems.html Accessed 27 October 2020.</t>
  </si>
  <si>
    <t xml:space="preserve">The investment will help the Clean Resource Innovation Network (CRIN) accelerate the development and adoption of innovative technologies and processes that seek to lower the oil and gas industry's environmental impacts. Through this investment, CRIN aims to reduce the sectorâ€™s greenhouse gas emissions by 100 megatons by 2033.economy. </t>
  </si>
  <si>
    <t>CAN51</t>
  </si>
  <si>
    <t>CAD 93 million</t>
  </si>
  <si>
    <t>Government of Alberta - Loan guarantee for investment in Clean Resource Innovation Network, exploration or production or processing or storage or transportation</t>
  </si>
  <si>
    <t xml:space="preserve">https://www.theaioc.com/about/news/alberta-indigenous-opportunities-corporation-announces-first-participation-in-cascade-power-project/
</t>
  </si>
  <si>
    <t>The Alberta Indigenous Opportunities Corporation (AIOC) announced its first commitment: a loan guarantee to a consortium of six Alberta First Nations to enable their participation in the Cascade Power Project (Cascade). Cascade is a 900MW combined cycle natural gas fired power plant located near Edson, AB.</t>
  </si>
  <si>
    <t>CAN52</t>
  </si>
  <si>
    <t>CAD 18.3 million</t>
  </si>
  <si>
    <t>Funding for South Baffin Energy Management Project</t>
  </si>
  <si>
    <t>https://www.canada.ca/en/environment-climate-change/news/2020/08/government-of-canada-partners-with-nunavut-for-renewable-and-energy-efficiency-projects.html Accessed 25 August 2020</t>
  </si>
  <si>
    <t>This project, funded through the Low Carbon Economy Fund, will help improve energy efficiency and introduce renewable energy in 45 buildings owned by the Government of Nunavut in the six communities that make up the South Baffin region. The South Baffin Energy Management Project will receive approximately $18.3 million through the Low Carbon Economy Leadership Fund. The Government of Nunavuta's Department of Community and Government Services is also contributing $8.6 million.</t>
  </si>
  <si>
    <t>CAN53</t>
  </si>
  <si>
    <t>CAD 17 million</t>
  </si>
  <si>
    <t>(Manitoba&amp;Saskatchewan - Funding for school energy efficiency and retrofits-Environment and Climate Change Canada</t>
  </si>
  <si>
    <t>https://www.canada.ca/en/environment-climate-change/news/2020/09/canada-supports-energy-efficiency-projects-in-saskatchewan-schools.html
, https://www.canada.ca/en/environment-climate-change/news/2020/09/canada-supports-energy-efficiency-projects-in-manitoba-schools.html
, https://www.canada.ca/en/environment-climate-change/services/climate-change/carbon-pollution-pricing-proceeds-programming/climate-action-incentive-fund/municipalities-universities-schools-hospitals.html Accessed 21 September 2020</t>
  </si>
  <si>
    <t>On June 25, 2019, the Minister of Environment and Climate Change announced the Municipalities, Universities, Schools and Hospitals (MUSH) Retrofit stream of the Climate Action Incentive Fund. The first round of funding, announced in September, includes approximately CAD 12 million for Saskatchewan and CAD 5 million for Manitoba.</t>
  </si>
  <si>
    <t>CAN54</t>
  </si>
  <si>
    <t>CAD 16.2 million</t>
  </si>
  <si>
    <t>SDTC funding for cleantech projects for energy efficiency and low-emissions vehicle cleantech projects</t>
  </si>
  <si>
    <t>https://www.canada.ca/en/innovation-science-economic-development/news/2020/09/list-of-cleantech-projects-receiving-funding-from-sustainable-development-technology-canada-sdtc.html Accessed 21 September 2020</t>
  </si>
  <si>
    <t>As part of a series of funding announcements for Sustainable Development Technology Canada, this includes funding for several cleantech projects that support energy efficiency in water treatement, mining operations, and electric vehicles. (CAD 2.8 million to Pani Energy, CAD 5.6 million to Motion Metrics International Corp, CAD 1.4 million to Swirltex Inc., CAD 2.4 mmillion in Inmotive Inc., CAD 4 million to Soleco Energie Inc.)</t>
  </si>
  <si>
    <t>CAN55</t>
  </si>
  <si>
    <t>CAD 15.7 milllion</t>
  </si>
  <si>
    <t>Funding for the conversion of the aluminum plant's anode baking furnaces (Aluminerie Alouette) from fuel oil to liquefied natural gas.</t>
  </si>
  <si>
    <t xml:space="preserve">http://www.fil-information.gouv.qc.ca/Pages/Article.aspx?Page=2&amp;idArticle=2810232141 Accessed 26 October 2020. </t>
  </si>
  <si>
    <t>CAN56</t>
  </si>
  <si>
    <t>CAD 12 million</t>
  </si>
  <si>
    <t xml:space="preserve">(BC and/or Alberta) Indigenous Natural Resources Partnership in the field of exploration or production or processing or storage or transportation- Increase the participation of Indigenous communities and organizations in oil and gas infrastructure development. </t>
  </si>
  <si>
    <t>https://www.canada.ca/en/natural-resources-canada/news/2020/11/government-of-canada-extends-funding-to-increase-indigenous-participation-in-oil-and-gas-infrastructure-development.html
, https://www.nrcan.gc.ca/our-natural-resources/indigenous-natural-resources/indigenous-natural-resource-partnerships/22197</t>
  </si>
  <si>
    <t>For Indigenous communities and organizations in British Columbia and Alberta to further increase their participation in economic opportunities related to oil and gas infrastructure development. This announcement extends the 2019â€“20 Indigenous Natural Resource Partnerships program</t>
  </si>
  <si>
    <t>CAN57</t>
  </si>
  <si>
    <t>CAD 10 million</t>
  </si>
  <si>
    <t>(Ontario) FedDev Ontario investment in biodiesel - exploration or production or processing or storage or transportation</t>
  </si>
  <si>
    <t>https://www.canada.ca/en/economic-development-southern-ontario/news/2020/07/two-renewable-fuel-producers-scale-up-to-increase-productivity-and-economic-growth-in-rural-southwestern-ontario.html</t>
  </si>
  <si>
    <t>Support the scale-up and growth of two renewable fuel producers in the Ontario: FORGE Hydrocarbons and IGPC Ethanol Inc.</t>
  </si>
  <si>
    <t>CAN58</t>
  </si>
  <si>
    <t>CAD 9.4 million</t>
  </si>
  <si>
    <t>Funding for four tidal energy projects through NRCan's Energy Innovation, Clean Growth, and Emerging Renewables Power programs</t>
  </si>
  <si>
    <t>https://www.canada.ca/en/natural-resources-canada/news/2020/09/government-invests-in-canadas-tidal-power-industry</t>
  </si>
  <si>
    <t xml:space="preserve">$4 million to Nova Innovation to build a tidal turbine array using sub-sea tidal technology in Petit Passage in the Bay of Fundy. $1.58 million to the University of Manitoba, in partnership with SOAR's Sustainable Oceans Applied Research, to advance research on river hydrokinetic and in-stream tidal energy technologies in the Canadian context. $2 million to Offshore Energy Research Association of Nova Scotia to research an environmental effects monitoring solution for the instream tidal energy industry in Canada, including fish and marine mammal interactions with tidal devices. $2 million to Fundy Ocean Research Centre for Energy to outline a plan to assess the encounter risk for fish with tidal devices and create a tool to support the regulatory authorization process for tidal energy projects. </t>
  </si>
  <si>
    <t>CAN59</t>
  </si>
  <si>
    <t>CAD 8 million</t>
  </si>
  <si>
    <t>(Northern Territories) This funding will support communities in their efforts to build a cleaner future and reduce their reliance on diesel fuel for heat and power while creating jobs</t>
  </si>
  <si>
    <t>https://www.canada.ca/en/natural-resources-canada/news/2020/09/canada-invests-in-clean-energy-projects-in-the-northwest-territories.html</t>
  </si>
  <si>
    <t>CAN60</t>
  </si>
  <si>
    <t>CAD 7.348 million</t>
  </si>
  <si>
    <t>(Québec)-Investment in 30 projects relating to the adoption and development of clean technologies in Quebec.</t>
  </si>
  <si>
    <t xml:space="preserve">https://www.canada.ca/en/economic-development-quebec-regions/news/2020/07/investment-in-clean-technologies-for-a-sustainable-future.html </t>
  </si>
  <si>
    <t>CAN61</t>
  </si>
  <si>
    <t>CAD 6 million</t>
  </si>
  <si>
    <t>(Alberta) Support R&amp;D on the detection and mitigation of methane emissions from oil and gas</t>
  </si>
  <si>
    <t>https://www.canada.ca/en/natural-resources-canada/news/2020/07/canada-invests-in-clean-technology-for-albertas-natural-resources-sectors.html</t>
  </si>
  <si>
    <t>An investment of $6 million, as part of the Canadian Emissions Reduction Innovation Network (CERIN) initiative, to the Petroleum Technology Alliance of Canada (PTAC) and Canadian Gas Association (CGA), through their Natural Gas Innovation Fund, to support their work in the oil and gas sector. These investments will inform protocols and standards for the detection and mitigation of methane emissions that will become the benchmark for Canada and the world. Through strong industry collaboration these investments will help Canada better understand and reduce methane emissions.</t>
  </si>
  <si>
    <t>CAN62</t>
  </si>
  <si>
    <t>CAD 5.1 million</t>
  </si>
  <si>
    <t>(Ontario) Smart Grid technology investment in London Hydro</t>
  </si>
  <si>
    <t xml:space="preserve">https://www.canada.ca/en/natural-resources-canada/news/2020/07/canada-invests-in-smart-grid-technology-for-london-net-zero-energy-community.html </t>
  </si>
  <si>
    <t>To develop and deploy a smart microgrid in the West 5 net-zero energy community in London, Ontario. The microgrid will integrate monitoring, data management and communications, electric vehicle infrastructure, distributed energy resource management, solar power generation and batteries to reduce grid use.</t>
  </si>
  <si>
    <t>CAN63</t>
  </si>
  <si>
    <t>CAD 5 million</t>
  </si>
  <si>
    <t>Federal Funding for Biocarbon Briquettes for Ferroalloy Production</t>
  </si>
  <si>
    <t>https://www.canada.ca/en/natural-resources-canada/news/2020/09/canada-invests-in-clean-technology-solutions-in-quebec.html</t>
  </si>
  <si>
    <t xml:space="preserve">Federal government funding for the manufacturing of biocarbon briquettes, a renewable alternative to metallurgical coal that can reduce the environmental impact of foundries and steelworks. Elkem MÃ©tal Canada Inc. intends to replace 43,000 tonnes of metallurgical coal per year, used at its Chicoutimi plant in Quebec, with 37,000 tonnes of bio-briquette (biocarbon) for a potential reduction of 100 ktonnes of CO2 eq/yr for Elkem MÃ©tal Canada. Elkem is a company specializing in the manufacturing of a ferroalloy used in the foundry and steel mill industry, and the briquettes will be made from forest biomass, reducing waste in the forestry sector. This is a second generation biofuel. </t>
  </si>
  <si>
    <t>CAN64</t>
  </si>
  <si>
    <t>CAD 4.5 million</t>
  </si>
  <si>
    <t>Federal investment in Quebec Bioenergy</t>
  </si>
  <si>
    <t xml:space="preserve">https://www.canada.ca/en/natural-resources-canada/news/2020/09/canada-invests-in-bioenergy-in-quebec.html </t>
  </si>
  <si>
    <t xml:space="preserve">$4.5 million federal government spending in CRB Innovations for second generation forest-based bioenergy, with the aim of energy efficiency and GHG reduction by converting forest residues to biofuels and bioplastics. Through Natural Resources Canada Clean Growth Program. </t>
  </si>
  <si>
    <t>CAN65</t>
  </si>
  <si>
    <t>CAD 4 million</t>
  </si>
  <si>
    <t>Funding for Algoma Steel's climate action initiatives</t>
  </si>
  <si>
    <t>https://www.canada.ca/en/environment-climate-change/news/2020/08/government-of-canada-announces-support-for-algoma-steels-climate-action-initiatives.html</t>
  </si>
  <si>
    <t xml:space="preserve">The integrated steel producer Algoma Steel will use the funding to improve both the tar-removal and light-oil-recovery areas of its coke-making plant in Sault Ste. Marie, Ontario. This project is funded through the Low Carbon Economy Fund. The coke-making process of steel production generates a variety of by-products including coke-oven gas, various tars, and light oil. By using updated equipment to capture and remove by-products suspended in coke-oven gas, a steel manufacturer can reduce its greenhouse gas emissions, reduce local air pollution, and re-use captured fuel. </t>
  </si>
  <si>
    <t>CAN66</t>
  </si>
  <si>
    <t>CAD 3 million</t>
  </si>
  <si>
    <t>(Alberta) Support SMEs to adopt clean tech</t>
  </si>
  <si>
    <t xml:space="preserve">https://www.canada.ca/en/western-economic-diversification/news/2020/09/government-of-canada-invests-in-albertas-construction-industry-to-help-strengthen-energy-efficiency-and-green-building-practices.html </t>
  </si>
  <si>
    <t>To help Alberta's construction and engineering industry by supporting small and medium-sized businesses adopt new products and technologies that improve the energy efficiency of buildings and reduce greenhouse gas emissions</t>
  </si>
  <si>
    <t>CAN67</t>
  </si>
  <si>
    <t>CAD 2 milion</t>
  </si>
  <si>
    <t>(City of Calgary) Support of Natural Resources Canada to biomass production and carbon sequestration project</t>
  </si>
  <si>
    <t xml:space="preserve">https://www.canada.ca/en/environment-climate-change/news/2020/08/government-of-canada-reducing-emissions-in-calgary-by-expanding-the-willow-plantation.html </t>
  </si>
  <si>
    <t>To support the City of Calgary's biomass production and carbon sequestration project. This initiative will reduce emissions by planting 300 new hectares of trees over three years at the City's successful willow plantation. The plantation will use municipal biosolids as fertilizer and will help create a carbon-storage sink that leads to fewer greenhouse gas emissions. Funding provided through the Low Carbon Economy Fund.</t>
  </si>
  <si>
    <t>CAN68</t>
  </si>
  <si>
    <t>CAD 1.717 milion</t>
  </si>
  <si>
    <t>Funding for research for electric and alternative fuel vehicles</t>
  </si>
  <si>
    <t>https://www.canada.ca/en/natural-resources-canada/news/2020/09/investing-in-canadas-zero-emission-vehicle-sector</t>
  </si>
  <si>
    <t>Investment to the CSA Group to support a project to research, develop, adapt and update codes and standards for electric and alternative fuel vehicles and infrastructure.</t>
  </si>
  <si>
    <t>CAN69</t>
  </si>
  <si>
    <t>CAD 0.57 million</t>
  </si>
  <si>
    <t>Encourage economic growth and climate action through investment for the development of electric vehicles</t>
  </si>
  <si>
    <t>https://www.canada.ca/en/natural-resources-canada/news/2020/11/new-electric-vehicle-chargers-coming-to-york-region.html ; https://www.canada.ca/en/natural-resources-canada/news/2020/08/new-electric-vehicle-chargers-coming-to-oakville.html</t>
  </si>
  <si>
    <t>Electric vehicles: i) 0.35 CAD million for the York Municipality (build 70 electric vehicle level 2 chargers); ii) 0.22 CAD million in in high-traffic spaces of Oakville (EV charges), project funded by Natural Resources Canada's Zero-Emission Vehicle Infrastructure Program.</t>
  </si>
  <si>
    <t>CAN70</t>
  </si>
  <si>
    <t>CAD 1.1 million</t>
  </si>
  <si>
    <t>Funding to reduce emissions from Toront's emergency response vehicles</t>
  </si>
  <si>
    <t>https://www.canada.ca/en/environment-climate-change/news/2020/08/government-of-canada-supports-innovative-climate-action-by-the-city-of-toronto.html</t>
  </si>
  <si>
    <t>This investment, through the Low Carbon Economy Fund, will go toward installing solar panels on the roofs of 215 ambulances and more than 60 emergency paramedic response units, which will power and recharge critical on-board medical equipment. The funding will also help install a hybrid electric drivetrain system in more than 100 ambulances to save fuel and reduce emissions. This will allow the City of Toronto to reduce its greenhouse gas emissions by an amount equivalent to removing approximately 2,900 passenger cars off the road for one year.</t>
  </si>
  <si>
    <t>CAN71</t>
  </si>
  <si>
    <t>(Alberta) Approval of NOVA Gas Transmission Ltd. expansion project: create jobs, support recovery and help phase out coal-powered electricity.</t>
  </si>
  <si>
    <t>https://www.canada.ca/en/natural-resources-canada/news/2020/10/government-of-canada-approves-the-nova-gas-transmission-ltd-2021-system-expansion-project.html</t>
  </si>
  <si>
    <t>The Government of Canada has approved the NOVA Gas Transmission Ltd. (NGTL) 2021 System Expansion Project with 35 conditions, and amendments to the Canada Energy Regulator's conditions for approval related to caribou and Indigenous engagement. The $2.3-billion project has been touted for creating 2,920 jobs and giving natural gas producers better access to markets for their products.</t>
  </si>
  <si>
    <t>CAN72</t>
  </si>
  <si>
    <t>CAD 5.4 million</t>
  </si>
  <si>
    <t>(Yukon) Support for clean energy projects and job creation</t>
  </si>
  <si>
    <t>https://www.canada.ca/en/natural-resources-canada/news/2020/09/government-invests-in-clean-energy-initiatives-in-yukon.html</t>
  </si>
  <si>
    <t>Five community-led clean energy projects from the Clean Energy for Rural and Remote Communities program supporting communities reducing their reliance on diesel fuel for heat and power while creating jobs.</t>
  </si>
  <si>
    <t>CAN73</t>
  </si>
  <si>
    <t>Delay of publication and implementation of the Clean Fuel Standard</t>
  </si>
  <si>
    <t xml:space="preserve">https://www.canada.ca/en/environment-climate-change/services/managing-pollution/energy-production/fuel-regulations/clean-fuel-standard.html </t>
  </si>
  <si>
    <t xml:space="preserve">The Clean Fuel Standard will contribute to reduce GHG emissions through the increased use of lower-carbon fuels, energy sources, and technologies. </t>
  </si>
  <si>
    <t>CAN74</t>
  </si>
  <si>
    <t>Extension of deadline for pollution data reporting by industry to reduce burdens for industry during COVID-19.</t>
  </si>
  <si>
    <t>https://www.canada.ca/en/services/environment/pollution-waste-management/national-pollutant-release-inventory.html; https://www.canada.ca/en/environment-climate-change/services/climate-change/greenhouse-gas-emissions/facility-reporting/reporting.html</t>
  </si>
  <si>
    <t xml:space="preserve">The deadlines for industry reporting on: i) National Pollutant Release Inventory data and ii) GHG emissions have been extended to July 31, 2020 </t>
  </si>
  <si>
    <t>USD 4.5 million</t>
  </si>
  <si>
    <t xml:space="preserve">As a part of the programme "Paso a paso Chile se recupera", Chile intends to add USD 4.5 million to the Ministries' regular budget. This sum will raise total public investment to USD 34 million, which will be spent within 24 months. The plan seeks to respond to several social and environmental challenges. 30% of the projects (not necessarily of the funds) will be invested to accelerate Chile's climate mitigation and adaptation efforts and to support sustainable development, on the basis of the country's new NDC and of the Climate Bond Initiative (CBI) classification (that corresponds to the green investment framework of Chilean sovereign green bonds). The projects will enhance (1) water management (focusing on the modernization of irrigation plants, rainwater conservation, flood control, drought resilience, improved water treatment, improved access to drinking water, etc.), (2) green urban mobility (extension of the metro system, railways, electric buses, public transport routes, bicycle lanes), (3) reforestation (reforesting 24.1 ha with a focus on wildfire management), (4) urban greening, (5) public infrastructure (focus on coastal and fluvial climate-resilient infrastructure and on the energy efficiency of public buildings) and (6) sustainable local development (including local strategic plans for water resources; energy efficiency of housing). </t>
  </si>
  <si>
    <t>The implementation of the plan will involve the Ministry of Public works and infrastructure, the Ministry of Transport and telecommunications, the Ministry of Housing and Urbanism, the Ministry of Agriculture, the Interior Ministry and the Ministry of Sports.</t>
  </si>
  <si>
    <t>Water pricing frozen, and reconnecting the water service to people who had it suspended for non-payment (benefits more than 1 million people), collection of water purification and wastewater treatment fees suspended until 30 May.</t>
  </si>
  <si>
    <t>https://coronaviruscolombia.gov.co/Covid19/acciones/acciones-de-servicios-publicos.html</t>
  </si>
  <si>
    <t>In addition, in cities with more that 5 000 users, disinfection will be carried out once a weekto prevent the spread of the vrus.</t>
  </si>
  <si>
    <t xml:space="preserve"> guarantees to finance 3 months salaries of MSMEs up to 5 minimum wages, as long as no worker is fired; and special credit line to own accountant workers.                   </t>
  </si>
  <si>
    <t>COL15</t>
  </si>
  <si>
    <t>COP 16 billion</t>
  </si>
  <si>
    <t>Commitment to invest in 9 wind, 5 solar, 3 thermal and 1 hydropower projects, as well as 9 transmission lines. The investment is part of the "commitment to clean and sustainable growth"</t>
  </si>
  <si>
    <t>https://id.presidencia.gov.co/Paginas/prensa/2020/COMPROMISO-POR-COLOMBIA-Transicion-energetica-y-crecimiento-limpio-en-el-foco-del-Gobierno-para-proximos-dos-anios-200807.aspx</t>
  </si>
  <si>
    <t>COL16</t>
  </si>
  <si>
    <t>Goal to plant 180 million trees through incentives for silvopastoralism and agroforestry with community support</t>
  </si>
  <si>
    <t>https://id.presidencia.gov.co/Paginas/prensa/2020/Nace-el-nuevo-Compromiso-por-el-Futuro-de-Colombia-200807.aspx</t>
  </si>
  <si>
    <t>Goal was announced in January at Davos and I believe independent of COVID-19. It has now been reaffirmed in the new Compromiso por el Futuro de Colombia</t>
  </si>
  <si>
    <t>COL18</t>
  </si>
  <si>
    <t>COP 1.5 trillion</t>
  </si>
  <si>
    <t>Accelerate infrastructure projects including ports, airports, aqueducts and treatment plants and fourth and fifth generation highways. Conclude development of 14 national roads, 8 regional ones and initiate 22 highway projects</t>
  </si>
  <si>
    <t>Linear infrastructure often has biodiversity impacts and if facilitates increased commuting then potential GHG emissions increase?  Note this is another commitment outlined by President in the Compromiso por el Futuro de Colombia</t>
  </si>
  <si>
    <t>COL19</t>
  </si>
  <si>
    <t>Accelerate ratification of Escazu Agreement: Regional Agreement on Access to Information, Public Participation and Justice in Environmental Matters in Latin America and the Caribbean</t>
  </si>
  <si>
    <t xml:space="preserve"> another commitment outlined by President in the Compromiso por el Futuro de Colombia</t>
  </si>
  <si>
    <t>COL20</t>
  </si>
  <si>
    <t>Proposal for new legislation to combat illegal mining</t>
  </si>
  <si>
    <t>Accelerate construction of Dique canal to adapt to flood risk and improve navigation</t>
  </si>
  <si>
    <t>COL21</t>
  </si>
  <si>
    <t>Commitment to improve the sustainability of mining and energy sectors (although also plan to continue exploration)</t>
  </si>
  <si>
    <t>COL22</t>
  </si>
  <si>
    <t>"Colombia Agro Produce credit", allowing farmers to benefit from lower interest rates (3.5% small producers; 4.5% medium-large producers) up to a3 years, one year grace. Finacial aid will be provided for farmers over 70s not covered by other government programs.</t>
  </si>
  <si>
    <t>https://coronaviruscolombia.gov.co/Covid19/acciones/acciones-de-agricultura.html</t>
  </si>
  <si>
    <t>Goal announced on 01/04/2020</t>
  </si>
  <si>
    <t>Direct subsidies to rural and community aqueducts (COP 14 400/month per user) guaranteeing access to drinking water and basic sanitation and reducing related bills. The 1,621 rural operators registered with the Superintendency of Public Services may apply to this subsidy</t>
  </si>
  <si>
    <t>Decree 819, 4 June 2020</t>
  </si>
  <si>
    <t>DNK16</t>
  </si>
  <si>
    <t>DNK17</t>
  </si>
  <si>
    <t>DNK18</t>
  </si>
  <si>
    <t>DNK19</t>
  </si>
  <si>
    <t xml:space="preserve">https://www.valitsus.ee/et/uudised/valitsus-kinnitas-eesti-seisukohad-euroopa-rohelise-kokkuleppe-kohta     </t>
  </si>
  <si>
    <t>Green Agreement still to be defined</t>
  </si>
  <si>
    <t>EST2</t>
  </si>
  <si>
    <t xml:space="preserve">EUR 150 000 </t>
  </si>
  <si>
    <t>Support for nature and environmental education centres.The purpose of the grant is to support non-profit organisations and foundations active in the field of environmental education in mitigating the effects of the spread of the coronavirus, which causes COVID-19, in association with the cancellation of active environmental education programmes due to emergency situation-related restrictions on movement.  The purpose of the support is for the nature and environmental education centers to continue to operate and provide services even after the crisis.</t>
  </si>
  <si>
    <t>https://kik.ee/en/supported-activity/support-nature-and-environmental-education-centres</t>
  </si>
  <si>
    <t xml:space="preserve">https://kik.ee/et/toetatav-tegevus/loodus-ja-keskkonnahariduskeskuste-toetus  </t>
  </si>
  <si>
    <t>EST3</t>
  </si>
  <si>
    <t>Support to separate waste collection solutions in local regional governments (municipalities). Since the COVID-19 outbreak, it has been decided to increase the maximum rate of support from 75% to 90%. The purpose of the grant is to increase the use of secondary raw materials and reduce the extraction of primary raw materials by increasing the capacity for the separate collection of waste within local governments.</t>
  </si>
  <si>
    <t xml:space="preserve">https://kik.ee/en/supported-activity/supporting-solutions-separate-collection-waste-within-local-governments </t>
  </si>
  <si>
    <t xml:space="preserve">https://kik.ee/et/toetatav-tegevus/jaatmete-liigiti-kogumise-lahenduste-toetamine-kohalikes-omavalitsustes  </t>
  </si>
  <si>
    <t>EST4</t>
  </si>
  <si>
    <t>Simplification of the application for resource efficiency support for businesses in the COVID-19 crisis.The amount of support is up to 200,000 euros and the maximum share of eligible costs per project is up to 50%.</t>
  </si>
  <si>
    <t>https://www.kik.ee/en/supported-activity/energy-and-resource-efficiency-undertakings</t>
  </si>
  <si>
    <t xml:space="preserve">https://www.kik.ee/et/toetatav-tegevus/ettevotete-ressursitohusus </t>
  </si>
  <si>
    <t>EST 5</t>
  </si>
  <si>
    <t xml:space="preserve">EUR 200 500 000 </t>
  </si>
  <si>
    <t>Alleviation of the unexpected liquidity shortage of rural businesses through loans and loan guarantees. The financial lease of agricultural land is intended to improve farmers' access to additional funding, and this measure will continue after the crisis. The budget for the farmer replacement aid will be increased by 0.5 million to ensure that not only livestock farmers but also growers are provided with a replacement service due to absence from work under COVID-19. The aim is to ensure the continuation of food production and thus the security of food supply in Estonia. Target group: organic and rural farms depending on the measures. For example: primary agricultural producers, processors and / or distributors of agricultural products; entrepreneurs engaged in fishing, food industry, rural economy (incl. accommodation and catering or rural tourism); savings and loan associations belonging to the Estonian Association of Savings and Loan Associations; foundations and non-profit associations in these fields. Support for farmer replacement is targeted at crop and livestock farmers.</t>
  </si>
  <si>
    <t xml:space="preserve">https://www.kriis.ee/et/uudised/valitsuse-liikmed-kiitsid-heaks-covid-19-lisaeelarvega-seotud-kriisimeetmed </t>
  </si>
  <si>
    <t>EST 6</t>
  </si>
  <si>
    <t xml:space="preserve">EUR 73 000 000 </t>
  </si>
  <si>
    <t>Renovation loan and housing loan guarantee to improve the energy efficiency of single and multi-family houses.The objective of the extraordinary apartment building reconstruction grant is to facilitate the reconstruction of apartment buildings to be energy-efficient, to improve indoor climate and safety, and to mitigate the effects of the COVID-19 related emergency situation that was announced on 12 March 2020, in the construction sector.The aim is to alleviate the impact of the crisis on the construction sector so that the situation on the construction market can begin to stabilize. The construction sector is an important economic driver with high employment, which also helps other sectors out of the downturn, which is why work on construction sites must recover as soon as possible.
Target group: The direct target group is housing associations, small house owners and local governments, through whose orders the money goes to construction companies, construction consulting companies, logistics companies, building material manufacturers and other construction-related companies.</t>
  </si>
  <si>
    <t xml:space="preserve">https://kredex.ee/en/node/2051 </t>
  </si>
  <si>
    <t>EST 7</t>
  </si>
  <si>
    <t>Support for purchase of new, fully-electric M1 and N1 category vehicles.</t>
  </si>
  <si>
    <t>https://www.kik.ee/en/supported-activity/purchasing-fully-electric-vehicles</t>
  </si>
  <si>
    <t xml:space="preserve">https://www.kik.ee/et/toetatav-tegevus/elektriliste-soidukite-soetamine </t>
  </si>
  <si>
    <t>EUR12</t>
  </si>
  <si>
    <t>EConomy-wide</t>
  </si>
  <si>
    <t>EUR 1 billion</t>
  </si>
  <si>
    <t>First call for proposals under the EU Innovation Fund for demonstration of innovative low-carbon technologies ("Boosting EU green recovery" )</t>
  </si>
  <si>
    <t>https://ec.europa.eu/clima/news/boosting-eu-green-recovery-commission-invests-1-billion-innovative-clean-technology_en</t>
  </si>
  <si>
    <t>EUR 20 million</t>
  </si>
  <si>
    <t>EUR 755.8 million</t>
  </si>
  <si>
    <t>FIN8</t>
  </si>
  <si>
    <t>FIN9</t>
  </si>
  <si>
    <t>This economy wide multi sector support. The additional funding comes from Finland’s Structural Funds programme and the appropriations supporting sustainable growth and vitality in the regions and development projects for SMEs.</t>
  </si>
  <si>
    <t>https://tem.fi/-/alueille-yli-100-miljoonaa-euroa-koronaelvytykseen?languageId=en_US</t>
  </si>
  <si>
    <t>FIN10</t>
  </si>
  <si>
    <t>An appropriation of EUR 300 million is proposed for the capitalisation of Ilmastorahasto Oy (Climate Fund). The purpose of the fund is to provide funding for projects focusing on combating climate change, promoting digitalisation and boosting low-carbon approaches in industry.</t>
  </si>
  <si>
    <t>https://valtioneuvosto.fi/-/10616/hallitus-paatti-vuoden-2020-seitsemannesta-lisatalousarvioesityksesta?languageId=en_US</t>
  </si>
  <si>
    <t>FIN11</t>
  </si>
  <si>
    <t>A total increase of EUR 16.1 million is proposed in the appropriations for nature conservation based on the Government Programme. The appropriations would be used for, for example, the needs of the METSO Programme, a goose field project and additional compensation for damage caused by protected species. </t>
  </si>
  <si>
    <t>FIN12</t>
  </si>
  <si>
    <t>FIN13</t>
  </si>
  <si>
    <t>FIN14</t>
  </si>
  <si>
    <t>FIN15</t>
  </si>
  <si>
    <t>FIN16</t>
  </si>
  <si>
    <t>EUR 10 million</t>
  </si>
  <si>
    <t>FIN17</t>
  </si>
  <si>
    <t>FIN18</t>
  </si>
  <si>
    <t>FIN19</t>
  </si>
  <si>
    <t>Air France has committed to cutting its emissions from domestic flights in half by 2024 as part of the climate conditions for a €3bn loan from the French state and €4bn in bank loans guaranteed</t>
  </si>
  <si>
    <t>Listed as part of France Relance plan, continuation of the 'plan automobile" (FRA2 and FRA3)</t>
  </si>
  <si>
    <t>5000000000 EUR</t>
  </si>
  <si>
    <t>1200000000 EUR</t>
  </si>
  <si>
    <t>2000000000 EUR</t>
  </si>
  <si>
    <t>2300000000 EUR</t>
  </si>
  <si>
    <t>DEU19</t>
  </si>
  <si>
    <t>1000000000 EUR</t>
  </si>
  <si>
    <t>This measure refers to the one billion euros committed to finance innovation and transformation in Germany’s leading export industry</t>
  </si>
  <si>
    <t>https://de.reuters.com/article/us-germany-autos/germany-to-up-financial-aid-for-cars-sector-government-sources-idUSKBN27X1S7</t>
  </si>
  <si>
    <t>DEU20</t>
  </si>
  <si>
    <t>Truck scrappage scheme</t>
  </si>
  <si>
    <t>https://de.reuters.com/article/us-germany-autos/germany-to-up-financial-aid-for-cars-sector-government-sources-idUSKBN27X1S8</t>
  </si>
  <si>
    <t>DEU21</t>
  </si>
  <si>
    <t>To support the development and production of climate-friendly cars as the auto industry grapples with challenges posed by the COVID-19 pandemic and global climate crisis</t>
  </si>
  <si>
    <t>https://de.reuters.com/article/us-germany-autos/germany-to-up-financial-aid-for-cars-sector-government-sources-idUSKBN27X1S9</t>
  </si>
  <si>
    <t>32 bn HUF</t>
  </si>
  <si>
    <t>7.3 bn HUF</t>
  </si>
  <si>
    <t>7 bn HUF</t>
  </si>
  <si>
    <t>140 bn HUF</t>
  </si>
  <si>
    <t>24 bn HUF</t>
  </si>
  <si>
    <t>24.6 bn HUF</t>
  </si>
  <si>
    <t>22 bn HUF</t>
  </si>
  <si>
    <t>15.1 bn HUF</t>
  </si>
  <si>
    <t>4.9 bn HUF</t>
  </si>
  <si>
    <t>less than 1.1 bn ISK</t>
  </si>
  <si>
    <t>ISK 250 million top-up, adding up to ISK 628 million for 2021</t>
  </si>
  <si>
    <t>Iceland's food production fund ("Matvælasjóður") is being allocated more of the state budget to increase domestic food production in an effort to increase food security and reduce imports-related emissions</t>
  </si>
  <si>
    <t xml:space="preserve">https://www.stjornarradid.is/efst-a-baugi/frettir/stok-frett/2020/10/02/Matvaelasjodur-faer-250-milljon-krona-vidbotarframlag/; https://www.government.is/news/article/?newsid=5a7b7cb1-83f7-11ea-9467-005056bc4d74; </t>
  </si>
  <si>
    <t>ISL5</t>
  </si>
  <si>
    <t>ISK 4.5 billion total (ISK 1.7 billion on circular economy measures; ISK 2.8 billion on sewerage improvements)</t>
  </si>
  <si>
    <t>The government as part of its special investment programme to recover from the pandemic's economic effects is increasing its spending on circular economy issues from ISK 100 million annually to ISK 1.7 billion over 2021-2025. Focus is on promoting responsible production &amp; consumption, reducing waste, increasing recycling and reuse. The government is also investing heavily in the country's sewerage system (2.8 billion over 2021-2025 compared to the ISK 200 million annually that was originally budgeted)</t>
  </si>
  <si>
    <t>https://www.stjornarradid.is/efst-a-baugi/frettir/stok-frett/2020/10/13/4-5-milljardar-i-eflingu-hringrasarhagkerfis-og-urbaetur-i-fraveitumalum/</t>
  </si>
  <si>
    <t>ISL6</t>
  </si>
  <si>
    <t>ISK 3 billion (2021-2025) or ISK 600 million a year</t>
  </si>
  <si>
    <t xml:space="preserve">Increase to budget for climate action to ISK 3 billion over 2021-2025. Focus on energy transition (especially in transport - towards electric vehicles and hydrogen), carbon sequestration, innvation &amp; research, improving emissions accounting. Aims to help Iceland meet its 2040 goal of carbon neutrality.  </t>
  </si>
  <si>
    <t>https://www.stjornarradid.is/efst-a-baugi/frettir/stok-frett/2020/10/13/3-milljarda-krona-aukning-til-loftslagsmala/</t>
  </si>
  <si>
    <t>€42 million ( as part of a €115 million investment in sustainable mobility)</t>
  </si>
  <si>
    <t>Reduuction in the interest rate applying to agreed repayments of all tax debt.
• All taxpayers (sole traders and businesses) that have declared but unpaid tax debts can avail of a reduced interest rate of 3% provided they contact Revenue to agree payment of these debts or have entered into an agreement to pay these debts on or before 30 September 2020.</t>
  </si>
  <si>
    <t>€25 million</t>
  </si>
  <si>
    <t>Grants up to 50% of capital investment in the COVID Life Sciences Products Scheme to aid the research, development and production of medicinal products in Ireland that are used in the fight against COVID-19</t>
  </si>
  <si>
    <t>https://dbei.gov.ie/en/News-And-Events/Department-News/2020/June/04062020b.html</t>
  </si>
  <si>
    <t>19,000 places on the government's Skills to Complete programme to be used to support people developing skills and attain qualifications for emering growth sectors and occupations</t>
  </si>
  <si>
    <t>Many green sectors are considered emering and growing</t>
  </si>
  <si>
    <t>€10 million</t>
  </si>
  <si>
    <t>Grants provided to support businesses engaging in green research, development and innovation, capital investment and capacity building.  This is part of the Green Enterprise Fund.  A funding programme to support innovators to develop and demonstrate consumer and business solutions that will stimulate the circular economy in the following thematic areas: Plastics, construction and demolition, food and resources and raw materials (electrical and electronic equipment, textiles and furniture).  Maximum amount of funding available was €100,000 per grant award.  Grant aid is provided on a shared cost contribution basis, from 25% up to 95% of the total eligible project costs incurred.</t>
  </si>
  <si>
    <t>https://www.epa.ie/researchandeducation/research/epafunding/greenenterprise/</t>
  </si>
  <si>
    <t>€10 million added to the already €30 million in the scheme</t>
  </si>
  <si>
    <t>An increase of €10 million in funding for the Seed and Venture Capital sector though Enterprise Ireland as a top-up to existing funds and leveraging a combined additional pool of €55 million, as part of the commitment to innovation driven enterprises</t>
  </si>
  <si>
    <t>https://www.enterprise-ireland.com/en/Invest-in-Emerging-Companies/Seed-and-Venture-Capital-Scheme/</t>
  </si>
  <si>
    <t>€100 million</t>
  </si>
  <si>
    <t>Better Energy Homes Scheme.  Grant for the following energy-saving and renewable solutions (to be retrofitted into older dwellings):  Attic insulation, Wall insulation, Heating controls upgrade, Solar therman solultions, Heat pump systems.</t>
  </si>
  <si>
    <t>https://www.citizensinformation.ie/en/housing/housing_grants_and_schemes/home_energy_saving_scheme.html#</t>
  </si>
  <si>
    <t>https://assets.gov.ie/81556/d4fa4cc4-7e9f-4431-8540-a9ecb7126505.pdf</t>
  </si>
  <si>
    <t>Data from draft EPR of Ireland</t>
  </si>
  <si>
    <t>€40 million ( as part of a €115 million investment in sustainable mobility)</t>
  </si>
  <si>
    <t>Allocated to local authorities to improve pedestrian infrastructure across the country</t>
  </si>
  <si>
    <t>https://platform2020redesign.org/countries/ireland/</t>
  </si>
  <si>
    <t>€2 million ( as part of a €115 million investment in sustainable mobility)</t>
  </si>
  <si>
    <t>Support new and expanded bus services in rural and urban areas.</t>
  </si>
  <si>
    <t>€21 million ( as part of a €115 million investment in sustainable mobility)</t>
  </si>
  <si>
    <t>Support improving rail journeys, primarily an enhanced programme of track relaying on the main inter-urban route between Dublin and Cork to facilitate increased speeds as well as an expanded programme of ballast cleaning on the network generally</t>
  </si>
  <si>
    <t>€250,000 ( as part of a €115 million investment in sustainable mobility)</t>
  </si>
  <si>
    <t>Transitioning local link service vehicles to zero-emission alternatives in rural parts of the country.</t>
  </si>
  <si>
    <t>€15 million</t>
  </si>
  <si>
    <t>Multi-year programme to rehabilitate 33,000 hectares of peatlands with a strong focus on just transition for jobs and sustainable long-term job creation. Longer term impacts will reduce greenhouse gas emissions by increasing the area of wetland habitats which will lower carbon emissions by ~6tonnes of CO2 per hectare per year</t>
  </si>
  <si>
    <t>https://www.westmeathindependent.ie/2020/07/24/e15m-fund-for-peatland-rehabilitation-announced/</t>
  </si>
  <si>
    <t>€11 million</t>
  </si>
  <si>
    <t>As part of the "Just Transition Fund" money will be available for projects focusing on retraining workers and proposals to generate sustainable employment in green enterprise in the region, and supporting communitities to transition to a low carbon economy.  It will support and reinforce the other just transition and peat protection measures underway.  The objective is to fund innovative projects that contribute to the economic, social and environmental sustain.</t>
  </si>
  <si>
    <t>https://www.gov.ie/en/publication/ed10d-just-transition-fund/</t>
  </si>
  <si>
    <t>€10 million ( as part of a €115 million investment in sustainable mobility)</t>
  </si>
  <si>
    <t>Allocated to adapt roads to the effects of climate change, which including repairs to damaged roads as a result of severe weather events, improved drainage provisions, and the upgrade of certain strategic roads to protect them from the effects of climate change.</t>
  </si>
  <si>
    <t>https://www.gov.ie/en/publication/b8bc5-july-jobs-stimulus-plan/</t>
  </si>
  <si>
    <t>Fishery and on-farm renewable energy investments</t>
  </si>
  <si>
    <t>Support businesses to adapt to green economy (support to green research, development and innovation, capacity building, capital investment)</t>
  </si>
  <si>
    <t>€30 million</t>
  </si>
  <si>
    <t>Investment in water infrastructure</t>
  </si>
  <si>
    <t>ISR1</t>
  </si>
  <si>
    <t xml:space="preserve">NIS 6.5 billion </t>
  </si>
  <si>
    <t>Promotion of new renewable energy (solar) projects in the amount of 2000 megawatts and the volume of investment in the economy will be approximately NIS 6.5 billion - investment in clean and sustainable energy.</t>
  </si>
  <si>
    <t>https://www.gov.il/he/departments/publications/reports/economic_growth
https://www.gov.il/BlobFolder/reports/economic_growth/he/economic_growth.pdf</t>
  </si>
  <si>
    <t>ISR2</t>
  </si>
  <si>
    <t>NIS 500 million</t>
  </si>
  <si>
    <t xml:space="preserve">Incentive economy for the establishment of local solar energy by providing a state-guaranteed loan fund in the amount of NIS 500 million, which will incentivize an additional investment of 3.5 billion in renewable energies-investment in clean and sustainable energy. </t>
  </si>
  <si>
    <t>ISR3</t>
  </si>
  <si>
    <t>n.a.</t>
  </si>
  <si>
    <t>Removing Barriers to Promoting Existing Projects in Wind Energy. The investment in the economy alone for this project will stand at NIS 1.2 billion and will lead to the required diversity in renewable energies and ensuring redundancy and energy security, all while creating additional clean and sustainable energy.</t>
  </si>
  <si>
    <t>ISR4</t>
  </si>
  <si>
    <t>Removal of barriers that will enable rapid and efficient development of the transmission and distribution network in electricity</t>
  </si>
  <si>
    <t>ISR5</t>
  </si>
  <si>
    <t>NIS 300 million</t>
  </si>
  <si>
    <t>Leading an action plan for an energy-efficient urban space in cities, a project in which there will be a budget and municipal investment of approximately NIS 300 million and will enable the promotion of an efficient and clean energy space, reducing urban pollution, tackling climate crisis, kicking off innovation, adopting new technologies (smart homes, smart homes In the city) economic savings and more. Creating energetic resilience centers that will ensure a regular supply of electricity in an emergency while investing only tens of millions of shekels</t>
  </si>
  <si>
    <t>ISR6</t>
  </si>
  <si>
    <t>NIS 180 million</t>
  </si>
  <si>
    <t>Alternative propulsion for transportation - investment in promoting clean alternative energy for transportation, whether in electricity or in the development of additional clean fuel substitutes, promoting heavy transportation in natural gas and R&amp;D. This is a budget investment of NIS 180 million that will lead to a private investment of at least NIS 180 million. On the way to creating clean and non-polluting transportation</t>
  </si>
  <si>
    <t>ISR7</t>
  </si>
  <si>
    <t>NIS 600 million</t>
  </si>
  <si>
    <t>Construction of a new fuel port in Haifa - this project will lead to an economic investment of about NIS 600 million, this is a very important investment in order to produce an efficient, safe and cleaner infrastructure for the absorption of fuels and distillates, a need that is essential and sustainable in the short and long term.</t>
  </si>
  <si>
    <t>ISR8</t>
  </si>
  <si>
    <t>NIS 250 million</t>
  </si>
  <si>
    <t>Consolidation of infrastructures - creating synchronization in the establishment of infrastructure Transport infrastructures (light rail, subway, Ayalon routes, Moriah, etc.) - This is a step that will lead to an investment of about 250 million NIS</t>
  </si>
  <si>
    <t>ISR9</t>
  </si>
  <si>
    <t>NIS 1 billion</t>
  </si>
  <si>
    <t>Tender for the construction of a solar field in Dimona, a field that will produce about 500 megawatts and the volume of investment in the economy as a result is about one billion NIS. A tenders committee has already been set up to promote this project but it has been delayed due to internal government disputes</t>
  </si>
  <si>
    <t>Increase of EUR 300 mn in the fund for the purchase of low emission vehicles. EUR 100 mn for 2020 and EUR 200 mn in 2021; this is in addition to 60 already spent in 2019 (not counted here), and was an up from orignally 70m in 2020; note that this corresponds to the measure captured in row 357 of the Energy Tracker database as of mid-Nov 2020</t>
  </si>
  <si>
    <t>Art 44 of Decreto Rilancio (aka Law-Decree 19 May 2020, n. 34 - http://www.governo.it/it/dl-rilancio)</t>
  </si>
  <si>
    <t>04.11.2020</t>
  </si>
  <si>
    <t>Art 119 of Decreto Rilancio (aka Law-Decree 19 May 2020, n. 34 - http://www.governo.it/it/dl-rilancio)</t>
  </si>
  <si>
    <t>--</t>
  </si>
  <si>
    <t>Art 132 of Decreto Rilancio (aka Law-Decree 19 May 2020, n. 34 - http://www.governo.it/it/dl-rilancio)</t>
  </si>
  <si>
    <t>Art 227 of Decreto Rilancio (aka Law-Decree 19 May 2020, n. 34 - http://www.governo.it/it/dl-rilancio)</t>
  </si>
  <si>
    <t>Art 229 of Decreto Rilancio (aka Law-Decree 19 May 2020, n. 34 - http://www.governo.it/it/dl-rilancio)</t>
  </si>
  <si>
    <t>Art 42-bis of Decreto Rilancio (July update) (aka Law-Decree 19 May 2020, n. 34 - http://www.governo.it/it/dl-rilancio)</t>
  </si>
  <si>
    <t>Art 200 of Decreto Rilancio (aka Law-Decree 19 May 2020, n. 34 - http://www.governo.it/it/dl-rilancio)</t>
  </si>
  <si>
    <t>ITA9</t>
  </si>
  <si>
    <t>Measure potentially detrimental for the environment: The so-called "safeguard clauses" which provide for automatic increases in the rates of value added tax and those relating to excise duty on certain fuel products are definitively abolished, starting from 1 January 2021.</t>
  </si>
  <si>
    <t>Art 123 of Decreto Rilancio (aka Law-Decree 19 May 2020, n. 34 - http://www.governo.it/it/dl-rilancio)</t>
  </si>
  <si>
    <t>05.11.2020</t>
  </si>
  <si>
    <t>ITA10</t>
  </si>
  <si>
    <t xml:space="preserve">Increase in state incentives for those who buy and register low-carbon cars </t>
  </si>
  <si>
    <t>Art 74 of Decreto Agosto (aka Law-Decree 14 August 2020, n. 104) https://www.gazzettaufficiale.it/eli/id/2020/08/14/20G00122/sg</t>
  </si>
  <si>
    <t>https://www.idealista.it/news/finanza/economia/2020/10/21/151392-ecoincentivi-auto-le-misure-del-decreto-agosto-2020-in-gazzetta-ufficiale#:~:text=L'articolo%2074%20del%20decreto,euro%20per%20l'anno%202020.</t>
  </si>
  <si>
    <t>Fund for the financing of public works for the implementation of energy efficiency measures, including the efficiency of public lighting, energy saving of public buildings, installation of energy production systems from renewable sources and sustainable territorial development including sustainable mobility.</t>
  </si>
  <si>
    <t>Art 30 of Decreto Crescita (Law-Decree 30 April 2019, n. 34) -- period of implementation of the measure extended to October 31 2020 by the Decreto Rilancio)</t>
  </si>
  <si>
    <t>https://www.mise.gov.it/index.php/it/incentivi/energia/comuni-progetti-di-efficientamento-energetico-e-sviluppo-territoriale</t>
  </si>
  <si>
    <t xml:space="preserve">This measure is an economic incentive of up to 2,000 euros for those who scrap their old car and buy a new one instead. </t>
  </si>
  <si>
    <t>https://www.innovationpost.it/wp-content/uploads/2020/07/Ultimi-Emendamenti-approvati-DL-Rilancio.pdf 7 July 2020</t>
  </si>
  <si>
    <t>17.11.2020</t>
  </si>
  <si>
    <t>Alitalia has undergone 3 failed restructuring attempts and has not been doing well financially, even before C-19. The objective of the nationalisation is to also protect jobs and the aim is to also focus on long haul flights.</t>
  </si>
  <si>
    <t xml:space="preserve">http://www.governo.it/sites/new.governo.it/files/DL_20200520.pdf </t>
  </si>
  <si>
    <t xml:space="preserve">KRW 163.4 billion </t>
  </si>
  <si>
    <t>KOR9</t>
  </si>
  <si>
    <t>Bailout for the Airline Companies (Korean Air &amp;#038; Asiana)</t>
  </si>
  <si>
    <t>https://asia.nikkei.com/Business/Transportation/Virus-hit-Korean-Air-and-Asiana-offered-2bn-bailout Accessed 7 July 2020</t>
  </si>
  <si>
    <t>KOR10</t>
  </si>
  <si>
    <t>Bailout of Doosan Heavy Industries &amp;#038; Construction Co</t>
  </si>
  <si>
    <t>https://www.koreaexim.go.kr/site/program/board/basicboard/view?boardtypeid=284&amp;boardid=62860&amp;menuid=002001007  Accessed 7 July 2020</t>
  </si>
  <si>
    <t>LVA2</t>
  </si>
  <si>
    <t>"On June 29 the Government of the Republic of Latvia has supported several municipal investment projects with the aim of supporting those who contribute to the economy at the same time reducing greenhouse gas emissions. The approved projects include projects such as the reconstruction of road coverage and the road infrastructure, the energy efficiency measures for buildings, the improvement of traffic safety, the construction of a new combined pedestrian and cycling path and the others."</t>
  </si>
  <si>
    <t>https://platform2020redesign.org/countries/latvia/</t>
  </si>
  <si>
    <t>LVA3</t>
  </si>
  <si>
    <t>EUR 9.4 million (EU funding)</t>
  </si>
  <si>
    <t>"13 Latvian municipalities. The goal is to increase energy efficiency in municipal buildings, to create public infrastructure and to promote business development in order to create new jobs, to support local producers and service providers, thus attracting private investment in the regions. Simultaneously as a result of the implementation of these projects, the achievement of Latvia's climate change goals will be promoted (increasing the energy efficiency of municipal buildings and using of renewable energy resources). Reducing dependence on fossil energy imports and switching to local renewables is also expected to benefit the health of the population by improving air quality, especially in cities."</t>
  </si>
  <si>
    <t>LVA4</t>
  </si>
  <si>
    <t xml:space="preserve">On July 14 the Government of the Republic of Latvia approved the Regulation on capital investments in enterprises whose operations have been affected by the spread of Covid-19, setting out the rules for the establishment of alternative investment funds for the support of large enterprises affected by the Covid-19 crisis.The fund is being created with the aim to support well-managed, perspective enterprises that have run into temporary difficulties as a result of the Covid-19 crisis. AS Development Finance Institution Altum will decide on investment based on the business plan developed by the enterprises, which also have to include an action plans to address the impact of Covid-19 infection on the enterprises business, information, how the received investment supports the activities of the enterprise in accordance with the objectives of the European Union and Latvia's obligations related to green and digital transformation, including the objective of the European Union to achieve climate neutrality by 2050. </t>
  </si>
  <si>
    <t>On how much has been disbursed up to October 2020 (but not very fine-grained): https://gouvernement.lu/dam-assets/documents/actualites/2020/10-octobre/Dashboard.pdf</t>
  </si>
  <si>
    <t>LUX10</t>
  </si>
  <si>
    <t>carbon tax currently at 20, will go up to 25 euros per tonne by 2022 and 30 euros by 2023; other measures with unclear budget allocations</t>
  </si>
  <si>
    <t>Increase of minimum carbon tax rate to 25 euros per tonne by 2022 and 30 per tonne by 2023. Expanding existing programmes for super-reduced VAT on energy efficiency renovations (minimum age of the building reduced from 20 to 10 to benefit from the programme); the threshold at which independent producers of PV solar electricity need to pay tax on it has been increased to incentivise more private generation</t>
  </si>
  <si>
    <t>https://mea.gouvernement.lu/fr/actualites.gouvernement%2Bfr%2Bactualites%2Btoutes_actualites%2Bcommuniques%2B2020%2B10-octobre%2B30-pollueur-payeur.html</t>
  </si>
  <si>
    <t>Not explicitly linked to COVID in this press release, but the 2021 budget (where these measures are written out in more detail) makes the link</t>
  </si>
  <si>
    <t>https://www.eleconomista.com.mx/empresas/Gobierno-de-AMLO-otorga-estimulo-fiscal-a-Pemex-por-65000-millones-de-pesos-20200427-0142.html</t>
  </si>
  <si>
    <t>https://presidente.gob.mx/presidente-anuncia-acciones-para-la-reactivacion-economica-ante-covid-19-en-primer-informe-del-ano-al-pueblo-de-mexico/</t>
  </si>
  <si>
    <t xml:space="preserve">161,000 million pesos (USD 7.94 billion) </t>
  </si>
  <si>
    <t>Continuation of construction of Oil Refinary in Dos Bocas. Announced as part of plan for recovery although it was already planned</t>
  </si>
  <si>
    <t>https://www.msn.com/es-mx/dinero/noticias/el-paquete-econ%C3%B3mico-2021-asigna-19-000-mdp-m%C3%A1s-al-tren-maya-que-a-salud-pese-a-crisis-de-coronavirus/ar-BB18RsCV?li=AAggPN5</t>
  </si>
  <si>
    <t xml:space="preserve">45,000 million pesos (USD 2.2 billion) </t>
  </si>
  <si>
    <t>Continuation of construction of Mayan Train in the Riviera Maya region. The project does not have an environmental impact assessment and it has been recently announced that it will be diesel-based. Announced as part of plan for recovery althouh it was already planned.</t>
  </si>
  <si>
    <t>https://www.dineroenimagen.com/economia/paquete-economico-en-2021-destinaran-45-mil-50-mdp-la-refineria-de-dos-bocas/126549</t>
  </si>
  <si>
    <t>no specific funds have been assigned</t>
  </si>
  <si>
    <t xml:space="preserve">A new mobility strategy "Estrategia 4S"has been launched by the National Government. It has the aim of attaining safer, more sustainable, healthier and more inclusive mobility, reducing car use while preparing systems to be better equiped for providing social distancing. However, there has not been any dedicated funding assigned to the implementation of the strategy and some funds that were available for urban mobility projects (e.g. A Metropolitan Fund) have been suppressed. </t>
  </si>
  <si>
    <t>https://www.gob.mx/sedatu/documentos/movilidad-4s-para-mexico-saludable-segura-sustentable-y-solidaria-plan-de-movilidad-para-una-nueva-normalidad</t>
  </si>
  <si>
    <t>MEX6</t>
  </si>
  <si>
    <t>Expansion of Cycling Lanes in Mexico City</t>
  </si>
  <si>
    <t xml:space="preserve">https://web.archive.org/save/, https://www.semovi.cdmx.gob.mx/comunicacion/nota/boletin-guia-ciclovias-emergentes </t>
  </si>
  <si>
    <t>MEX7</t>
  </si>
  <si>
    <t xml:space="preserve">EUR 750 million </t>
  </si>
  <si>
    <t>First Sustainable Sovereign Bonds linked to the UN Sustainable Development Goals</t>
  </si>
  <si>
    <t>https://www.gob.mx/cms/uploads/attachment/file/577794/Comunicado_No._071.pdf</t>
  </si>
  <si>
    <t>MEX8</t>
  </si>
  <si>
    <t xml:space="preserve">KLM loan and loan guarantee. The only environmental condition for the bailout is that KLM will reduce its night flights from Schiphol by 20%, from 32 thousand to 25 thousand per year.  KLM also has to comply with already existing requirements to emit 50% less CO2 per passenger by 2030 and that 14 percent of used fuels should be sustainable. The emission reduction goal was set by the International Air Transport Association (IATA) and thus nothing additional to what was already agreed. The 14% sustainable fuels objective was already adopted earlier this year in a Dutch Draft Sustainable Aviation Agreement. </t>
  </si>
  <si>
    <t>EPT</t>
  </si>
  <si>
    <t>NLD3</t>
  </si>
  <si>
    <t>EUR 1.65 billion</t>
  </si>
  <si>
    <t>Compensation to cover losses made by public transport companies due to COVID-19</t>
  </si>
  <si>
    <t>https://www.energypolicytracker.org/country/the-netherlands</t>
  </si>
  <si>
    <t>NLD4</t>
  </si>
  <si>
    <t>Tax deferral on almost entirely CO2-based passenger cars and motorcycles tax</t>
  </si>
  <si>
    <t>https://www.rijksoverheid.nl/onderwerpen/coronavirus-financiele-regelingen/overzicht-financiele-regelingen/belastingmaatregelen  Accessed 16 June 2020</t>
  </si>
  <si>
    <t>NLD5</t>
  </si>
  <si>
    <t>Tax deferral on sustainable energy surcharge</t>
  </si>
  <si>
    <t>NLD6</t>
  </si>
  <si>
    <t>Environmental tax deferral (coal tax)</t>
  </si>
  <si>
    <t>https://www.belastingdienst.nl/wps/wcm/connect/nl/ondernemers/content/bijzonder-uitstel-van-betaling-vanwege-coronacrisis  Accessed 16 June 2020</t>
  </si>
  <si>
    <t>NLD7</t>
  </si>
  <si>
    <t>Environmental tax deferral (energy tax)</t>
  </si>
  <si>
    <t>https://www.rijksoverheid.nl/onderwerpen/coronavirus-financiele-regelingen/overzicht-financiele-regelingen/energiebelastingen  Accessed 16 June 2020</t>
  </si>
  <si>
    <t>NZD 124 million (20/21-23/24)</t>
  </si>
  <si>
    <t>https://www.beehive.govt.nz/release/government-steps-action-waste-funds-recycling-infrastructure-and-expands-levy-scheme</t>
  </si>
  <si>
    <t>NZL16</t>
  </si>
  <si>
    <t>NZD 182 million</t>
  </si>
  <si>
    <t xml:space="preserve">Part of NZD 3 billion infrastructure Investment Fund. investment package in public transport and walking and cycling infrastructure, helping the region's economic recovery while reducing emissions. This investment is expected to create 800 jobs and protects around 200 jobs on the two projects already underway. </t>
  </si>
  <si>
    <t>https://www.beehive.govt.nz/release/auckland-transport-infrastructure-revealed</t>
  </si>
  <si>
    <t xml:space="preserve">Infrastructure Investment Fund is NZD 3 billion and part of the broader NZD 50 billion Response and Recovery Fund. This is a specific project supported by the fund. Not all projects have been announced (or not all funding allocated). Those announced but not included here have indeterminate impacts. </t>
  </si>
  <si>
    <t>NZL17</t>
  </si>
  <si>
    <t>NZD 39 million</t>
  </si>
  <si>
    <t xml:space="preserve">Part of NZD 3 billion infrastructure Investment Fund. New Zealand Government is investing in a new rail maintenance facility in Christchurch which will support hundreds of construction jobs and ensure a strong future for South Island rail networks. </t>
  </si>
  <si>
    <t>https://www.beehive.govt.nz/release/green-light-te-awa-river-ride-220m-nationwide-cycleways-investment</t>
  </si>
  <si>
    <t>NZL18</t>
  </si>
  <si>
    <t>NZD 220 million</t>
  </si>
  <si>
    <t>Part of NZD 3 billion infrastructure Investment Fund. Nationwide cycleway package</t>
  </si>
  <si>
    <t>NZL19</t>
  </si>
  <si>
    <t xml:space="preserve">Part of NZD 3 billion infrastructure Investment Fund. Investing in infrastructure to support hydrogen vehicles, with the establishment of a nationwide network of hydrogen-fuelling stations. These stations will begin to supply zero emission fuel to trucks, buses and commercial fleets from 2021. </t>
  </si>
  <si>
    <t>https://www.beehive.govt.nz/release/low-emissions-options-heavy-transport-step-closer</t>
  </si>
  <si>
    <t>NZL20</t>
  </si>
  <si>
    <t>NZD 210 million</t>
  </si>
  <si>
    <t xml:space="preserve">Part of NZD 3 billion infrastructure Investment Fund. Projects, focused on protecting land from soil erosion, flooding and the destruction of infrastructure associated with extreme weather events, will also create more than 500 jobs. </t>
  </si>
  <si>
    <t>https://www.beehive.govt.nz/release/less-flooding-more-jobs-southland-and-otago https://www.beehive.govt.nz/release/climate-resilience-packages-regions</t>
  </si>
  <si>
    <t>NZL21</t>
  </si>
  <si>
    <t>NZD 1.69 million</t>
  </si>
  <si>
    <t xml:space="preserve">The Chatham Islands will receive close to 40 million NZD for projects that will improve its infrastructure, provide jobs and training opportunities for locals. Of this is 1.69 million NZD allocated to two projects to develop and strengthen the local fishing industry, improve food security and enhance biodiversity. </t>
  </si>
  <si>
    <t>https://www.beehive.govt.nz/release/big-boost-chatham-islands%E2%80%99-economy</t>
  </si>
  <si>
    <t>NZD 37 million</t>
  </si>
  <si>
    <t xml:space="preserve">Part of NZD 3 billion infrastructure Investment Fund.The Thermal Drying Facility (TDF) at the New Plymouth Wastewater Treatment Plant processes the bio-solids from the district’s sewage, turning it into a household fertiliser which is sold in bulk and in retail outlets.  The TDF diverts the district’s wastewater bio-solids away from landfill and provides a beneficial reuse for what would otherwise be a waste. Approx 77 jobs for construction.
</t>
  </si>
  <si>
    <t xml:space="preserve">An "Anti-crisis Shield 1.0 " support programme was adopted by the Polish Government on 26/03, approved by the Parliament on 28/03, discussed by the Senate on 30/03 suggesting several amendments.Ustawa z 16 kwietnia 2020 r. o szczególnych instrumentach wsparcia w związku z rozprzestrzenianiem się wirusa SARS-CoV-21 (Dz.U. z 2020 r. poz. 695). 
Source in Polish:
https://wyborcza.pl/7,155287,25821533,sa-juz-gotowe-projekty-ustaw-o-pomocy-pracownikom-i-firmom.html
</t>
  </si>
  <si>
    <t>https://www.dentons.com/pl/insights/alerts/2020/april/1/covid-19-environmental-alert</t>
  </si>
  <si>
    <t>https://serwisy.gazetaprawna.pl/nowe-technologie/artykuly/1475040,uzyskaniu-kredytu-na-innowacje-technologiczne.html</t>
  </si>
  <si>
    <t>https://www.gov.pl/web/tarczaantykryzysowa/zielona-tarcza-wojewodzkie-fundusze-ochrony-srodowiska-i-gospodarki-wodnej-wspieraja-przedsiebiorcow-w-czasie-epidemii</t>
  </si>
  <si>
    <t xml:space="preserve">Ministry of Climate approves RES auction rules for 2020 to support RES auctions and accommodate Anti-Crisis Shield measures. The Ministry of Climate approved regulations for this year's auctions selling electricity from renewable sources as established by the president of the Energy Regulatory Office. The regulations cover how the auction is to be organized, how bids are to be submitted, how the data will be processed, and how to access the online platform, among other issues. Measures taken in the Anti-Crisis Shield have also been accounted for. For example, bids can only be submitted through the online platform. Auctions will be held from 3 Nov. to 3 Dec. 2020. There will be a total of 8 auctions held, the first for existing RES installations, the second for new installations, and the remainder for large PV and wind installations. </t>
  </si>
  <si>
    <t>https://www.cire.pl/item,204624,1,0,0,0,0,0,minister-klimatu-zatwierdzil-regulamin-tegorocznych-aukcji-oze.html (accessed 21 Sep 2020)</t>
  </si>
  <si>
    <t xml:space="preserve">Amendment to the Renewable Energy Act on the definition of wood energy to allow for wood not collected from forests due to COVID-19 to be used for electricity generation. By temporarily changing the definition of "energy from wood," wood currently unused will be allowed to go to the power industry for the purposes of electricity generation. This is considered a solution to sustainable forest management for the duration of the global pandemic. Critics of the amendment say this will lead to more tree felling. </t>
  </si>
  <si>
    <t>https://www.cire.pl/item,203346,1,0,0,0,0,0,prezydent-podpisal-zmiane-ustawy-o-oze-z-nowa-definicja-drewna-energetycznego.html (accessed 8 Sep 2020)</t>
  </si>
  <si>
    <t xml:space="preserve">Establishing a strategic hard coal reserve by the Material Reserves Agency. Strategic coal reserve is part of the announced restructuring strategy for the energy and mining sector aimed at increasing the stability of the sector (and in particular of the Polish Mining Group) that faces structural challenges and further difficulties caused by the COVID-19 crisis. The Material Reserves Agency will create a strategic reserve of hard coal for energy purposes. The estimated value of coal for the purposes of creating this reserve amounts to approx. PLN 130 million net. </t>
  </si>
  <si>
    <t>https://www.gov.pl/web/aktywa-panstwowe/informacja-dotyczaca-dzialan-podjetych-w-sektorze-energetyki-i-gornictwa-wegla-kamiennego</t>
  </si>
  <si>
    <t>The Infrastructure Minister's ordinance to support 14 public airports to help the selected state and local public airports to sustain financial liquidity. Under the regulation, airports will be able to receive a subsidy from the COVID-19 Counteracting Fund. They will be required to maintain a minimum operational readiness in the state of epidemic emergency and epidemic. The subsidy will be awarded to cover the costs, the catalog of which will be included in the draft regulation.</t>
  </si>
  <si>
    <t>https://www.gov.pl/web/infrastruktura/ponad-140-mln-zl-rzadowego-wsparcia-dla-lotnisk</t>
  </si>
  <si>
    <t>PLN 50 million</t>
  </si>
  <si>
    <t>Liquidity support for TAURON, SOE energy company (Anti-crisis and Financial Shield). Sustaining the financial liquidity of firms after major decrease in revenues caused by COVID-19 pandemic. The company has reported an impact of COVID-19 on financial results. The Group secured PLN 50 million of support from the anti-crisis shield.</t>
  </si>
  <si>
    <t>https://media.tauron.pl/pr/555846/grupa-tauron-niemal-10-mld-zl-przychodow-i-2-4-mld-zl-ebitda-w-pierwszym-polroczu-2020-r</t>
  </si>
  <si>
    <t>https://www.portugal.gov.pt/download-ficheiros/ficheiro.aspx?v=%3d%3dBQAAAB%2bLCAAAAAAABAAzNDCztAQAGgIv2wUAAAA%3d</t>
  </si>
  <si>
    <t>PRT7</t>
  </si>
  <si>
    <t>140 M Euros</t>
  </si>
  <si>
    <t>Waters of Portugal has developed a Urban Water Cycle which includes a set of interventions for the increased resilience and improvement the quality of service of supply systems water and sanitation. (Plan for 2030)</t>
  </si>
  <si>
    <t>PRT8</t>
  </si>
  <si>
    <t>480 M Euros</t>
  </si>
  <si>
    <t>Promotion of Asset Renewal: Ensuring better functional conditions for water supply and water drainage system infrastructures
domestic wastewater and rainwater, contributing to operational optimization and improving service quality provided. (2021-2030)</t>
  </si>
  <si>
    <t>PRT9</t>
  </si>
  <si>
    <t>724 M Euros</t>
  </si>
  <si>
    <t>Increased Resiliance of Water Supply Systems, Water and Rainwater Drainage:Contribute to the efficient use of water, reduce vulnerability and ensure the resilience of systems and infrastructure, as well as
maintenance of the service in the context of climate change and the occurrence of extreme events.(2021-2030)</t>
  </si>
  <si>
    <t>PRT10</t>
  </si>
  <si>
    <t>109 M Euros</t>
  </si>
  <si>
    <t>Promoting Circular Transition for Water Supply: Valuing the resources and by-products generated in the urban water cycle, promoting increased levels of eco-efficiency,
environmental sustainability and innovation (2021-2030)</t>
  </si>
  <si>
    <t>PRT11</t>
  </si>
  <si>
    <t>204 M Euros</t>
  </si>
  <si>
    <t>Decarbonisation of Water Sector and Support Climate Change Adaptation: Contribute to the efficient valorisation of available resources, ensuring a sustainable trajectory for reducing greenhouse gas (GHG) emissions, with direct effects on mitigating climate change</t>
  </si>
  <si>
    <t>PRT12</t>
  </si>
  <si>
    <t>130 M Euros</t>
  </si>
  <si>
    <t xml:space="preserve">Program to Adapt regions with water to risk of flooding by contributing to the development of a higher resilient society that can face climate change while protecting hydro resources to the risk associated to flooding. </t>
  </si>
  <si>
    <t>PRT13</t>
  </si>
  <si>
    <t>580 M Euros</t>
  </si>
  <si>
    <t xml:space="preserve">Program for protecting and revaluing hydro resources: Guarantee the compliance of the Directive of Water, ensuring the good state of water sources and disponibility of the resource to support populations, economic activities and ecosystems. </t>
  </si>
  <si>
    <t>PRT14</t>
  </si>
  <si>
    <t>600 M Euros</t>
  </si>
  <si>
    <t xml:space="preserve">Adaptation Program of Hydro Areas and Droughts seeks to contribute to the creation of a society that is better prepared for the new climate challenges, ensuring simmultaneausly protection of hydro resources and adaptation of these regions to extreme droughts. </t>
  </si>
  <si>
    <t>PRT15</t>
  </si>
  <si>
    <t>150 M Euros</t>
  </si>
  <si>
    <t>Monitoring of marine biodiversity and maritime space by deepening the knowledge of the portuguese sea, understand biodiversity and ecosystems. Develop new systems for monitoring and observating marine areas and develop a network of Marine Protected Areas</t>
  </si>
  <si>
    <t>PRT16</t>
  </si>
  <si>
    <t>75 M Euros</t>
  </si>
  <si>
    <t xml:space="preserve">Development of Sustainable Agriculture: Promote a sustainable agricultural production in open seas and circular systems to ensure use of all all nutrients. Additionally promote the incorporation of all side-products created in well established chains of production. </t>
  </si>
  <si>
    <t>PRT17</t>
  </si>
  <si>
    <t>3.850 M Euros</t>
  </si>
  <si>
    <t>Sustainable Mobility an Public Transport includes 3.850 M Euros in three different policies. Firstly, Consolidation of Metro Networks (1.895 M Euros), Collective Transport AM (1.755 M Euros) and Collective Transport CIM (200 M Euros), Decarbonising Transport (590 M Euros), National Cycling Grid (300 M Euros), Urban Logistical Decarbonisation (450 M Euros), Electrical Mobility (360 M Euros), Flexible Mobility (75 M Euros) and Innovative Solutions (200 M Euros). PROTransP - program that finances the increase in the offer of public transportation outside the two metropolitan areas of the country - will be provided with € 15 M, the Environmental Fund being also the source of financing</t>
  </si>
  <si>
    <t>PRT18</t>
  </si>
  <si>
    <t>6.901 M Euros (2021)</t>
  </si>
  <si>
    <t xml:space="preserve">Sustinable Environment Support which includes CUA, Residual Management, Hydro Resources, Nature Conservation, Forestry, Marine Resources (Together Private and Public Investments ranging up to 7.418 M Euros till 2030). </t>
  </si>
  <si>
    <t>PRT19</t>
  </si>
  <si>
    <t>223 M Euros</t>
  </si>
  <si>
    <t>Solutions for Collective Organic Resiudes: Promote innovative solutions for the selective collection of organic and biodegradable products, as well as reinforce selective collection
multimaterial, in view of new targets foreseen for 2030</t>
  </si>
  <si>
    <t>PRT20</t>
  </si>
  <si>
    <t>535 M Euros</t>
  </si>
  <si>
    <t>Promote the efficient use of resources in the transition to a circular economy, covering production, consumption, waste management and the market for secondary raw materials</t>
  </si>
  <si>
    <t>PRT21</t>
  </si>
  <si>
    <t>2 M Euros</t>
  </si>
  <si>
    <t>The Environmental Fund will provide support to municipalities or associations of municipalities up to € 2 million. The objective of this budget is to support the implementation of the Biorresident Strategy, with the objective of diverting this waste from landfills. and incineration, through separation and recycling solutions at the source and a selective collection network. This will contribute to the mitigation of climate change, the return of organic matter to the soil and the production of energy</t>
  </si>
  <si>
    <t>PRT22</t>
  </si>
  <si>
    <t xml:space="preserve">Mitigation and Environmental Recovery of contaminated areas resulting from old industrial abandonned areas: Repurpose degraded territories from old industrial zones like coal mines and prevention of contamination of soils, providing higher public and environmental health. </t>
  </si>
  <si>
    <t>PRT23</t>
  </si>
  <si>
    <t xml:space="preserve">Pick up of marine waste in particular in regards to fishing equipement: Contribute to the reduction of sea waste and support of new projects of puck up waste and environmentally-friendly disposal of fishing equipement. </t>
  </si>
  <si>
    <t>PRT24</t>
  </si>
  <si>
    <t>13.060 M Euros</t>
  </si>
  <si>
    <t>Energy Grids, Production, Energy Efficiency and Renewable Gases</t>
  </si>
  <si>
    <t>PRT25</t>
  </si>
  <si>
    <t>Continued elimination of tax exemptions in the area of product tax petroleum and energy (ISP) that are used in the production of electricity from more polluting fuels, extending this policy to the autonomous regions. Additionally, the scope of theelimination of carbon tax exemptions for the most polluting fuels (coal, fuel and petroleum coke)</t>
  </si>
  <si>
    <t>The exact quantity of Tax Exemptions changes as new policies are established but currently they range between 10 000 000 euros in 2020 to 9 820 000 Euros in 2021</t>
  </si>
  <si>
    <t>PRT26</t>
  </si>
  <si>
    <t xml:space="preserve">80 M Euros </t>
  </si>
  <si>
    <t>With an investment budget of around 80 million, ICNF will reinforce its role in the execution of the Landscape Transformation programs for Vulnerable Forest Territories and structural fire prevention forestry, with emphasis on the execution of the primary network of fuel management bands, including the implementation and the payment of administrative subsidies. Florestgal, S.A. will become a key organization in the landscape transformation policy, reinforcing its role in management of forests and rustic and mixed properties that are of particular relevance for fire prevention forestry</t>
  </si>
  <si>
    <t>PRT27</t>
  </si>
  <si>
    <t>495 M Euros</t>
  </si>
  <si>
    <t>Program for Protecting Zones at Risk: Ensuring the protection and maintenance of the coastline, adapting the territory to climate change and safeguarding people, goods and natural systems and reinforce scientific knowledge about coastal dynamics (2021-2030)</t>
  </si>
  <si>
    <t>PRT28</t>
  </si>
  <si>
    <t>74 M Euros</t>
  </si>
  <si>
    <t xml:space="preserve">Program for revaluing coastal activities: Increase the contribution that economic activities in coastal regions generate while ensuring its decarbonisation, adaptation and circularity. </t>
  </si>
  <si>
    <t>PRT29</t>
  </si>
  <si>
    <t>231 M Euros</t>
  </si>
  <si>
    <t>Safeguard and enhance coastal resources and systems, as well as the rehabilitation of the seafront, the preservation and enhancement of the natural, scenic and historical-cultural heritage, which marks the litora's image</t>
  </si>
  <si>
    <t>PRT30</t>
  </si>
  <si>
    <t>120 M Euros</t>
  </si>
  <si>
    <t>Improvement of the state of conservation of the natural patrimony: Global compromise to end biodiversity loss that will bring wealth in both cultural and social dimensions to the country</t>
  </si>
  <si>
    <t>100 M Euros</t>
  </si>
  <si>
    <t>Promotion of knowledge based on natural resources and recognition of its true value to society</t>
  </si>
  <si>
    <t>PRT32</t>
  </si>
  <si>
    <t>PRT33</t>
  </si>
  <si>
    <t>800 M Euros</t>
  </si>
  <si>
    <t>Promotion of Landscape transformation of vulnerable forestry territories by turning these territories more resilient to fires by promotng a structural change in management models.</t>
  </si>
  <si>
    <t>PRT34</t>
  </si>
  <si>
    <t>250 M Euros</t>
  </si>
  <si>
    <t xml:space="preserve">Concentration of a primary network of fuel management: Strucutral Primary Network with the objective of segregate landscapes in order to limit the reach of forestry fires by reducing their occurrence in accordance with the carbon neutrality objectives assumed by Portugal by 2050. </t>
  </si>
  <si>
    <t>PRT35</t>
  </si>
  <si>
    <t>Investment to fulfill the purposes for which the areas subject to the Forestry Regime are intended: “creation, exploitation and conservation of forestry wealth, from the point of view of view of the national economy, but also the forest cover of land whose afforestation is of public utility, and convenient or necessary for the good water regime and defense of the floodplains, for the enhancement of arid plains and the benefit of the climate, or for the fixation and conservation of the soil, in the mountains, and the sands on the sea coast ”</t>
  </si>
  <si>
    <t>Creation of a forestry barrier against dessertification: Prevent and mitigate the effects of desertification by creating a forest barrier through soil densification and recovery degraded areas occupied by cork and holm oak and afforestation of new areas as measures to adapt to climate change, valuing the territory and promoting the sustainability of its resources</t>
  </si>
  <si>
    <t>Due to COVID the adoption of deposit refund system for beverage packaging has been postoned by one year (to 2023). This was due to administrative constraints during the COVID pandemic (regarding the selection of the system administrator). It is now being discussed that this amendment of Act is to be repealed so as to still make the legislation effective by 2022 as planned.  The Amendment has now been repealed and the legislation will take effect as planned in January 2022.
In April 2020, amendments to 11 individual laws (e.g. water, geology, waste, air) were passed. The consequence was to temporarily halt/postpone deadlines for issuing decisions, deadlines for applications for financial compensation as well as applications for financial support from the Environmental Fund. Currently only the amendment of act suspending the EIA (environmental impact assessments) is still in place. This amendment is now also scheduled to be repealed.  Repealed.</t>
  </si>
  <si>
    <t>ORIGINAL ANNOUNCEMENTS:
https://www.odpady-portal.sk/Dokument/105249/zalohovanie-sa-posuva-o-rok-viacere-lehoty-dostali-odklad-nr-sr-prijala-dolezite-zmeny.aspx
https://www.odpady-portal.sk/Dokument/105313/covid-19-ovplyvnuje-legislativu-v-oblasti-zivotneho-prostredia.aspx
https://www.minzp.sk/spravy/100-dni-ministra-jana-budaja-restart-ministerstva-zivotneho-prostredia-sr.html
REPEALED:
https://www.minzp.sk/spravy/minister-jan-budaj-chce-dodrzat-termin-spustenia-zalohovania-pet-flias.html
https://www.enviroportal.sk/clanok/konania-v-oblasti-zivotneho-prostredia-sa-spriechodnia-odobrila-to-prezidentka</t>
  </si>
  <si>
    <t>Please note that the postponement of the individual environmental proceedings due to Covid-19 has been repealed by the Parliament in October. Keeping the entry here for the record.</t>
  </si>
  <si>
    <t>Removing duplicate emissions reporting for resources included in the ETS.
Eliminating duplicate reporting of emissions data to the National Emission Information System and National Pollution Register.
Removing duplicate charging for listed resources within the ETS.</t>
  </si>
  <si>
    <t>Introducing a simplified energy audit for large businesses, which have achieved significant energy savings since the implementation of the last energy audit, as well as for companies with very low energy consumption.
Limiting the obligation of the authorised person during regular control of heating or air conditioning systems. The authorised person can agree on the procedures for preparing for regular inspection heating / air conditioning system operatively on the basis of local technical and personnel capacities.
Limiting the obligations for a large company after the execution of mandatory energy audits, so that it does not have to provide the monitoring system operator with an electronic data set and summary information sheet.
Reducing the minimum amount of the fine to EUR 500 if a large company does not perform the energy audit in due time (once every 4 years, unless the company does not have a system of certified energy or environmental management in place).
Eliminate the recurring information obligations for energy producers.</t>
  </si>
  <si>
    <t xml:space="preserve">Removing the obligation to donate food after the best before date.
Allowing sale of food stuffs after the best before date. 
Simplifying the application for a fish farming certificate.
Introducing a publicly available electronic register for applications for lease of agricultural land.
Enabling the purchasing of raw materials by businesses from small local farmers. </t>
  </si>
  <si>
    <t>SVK6</t>
  </si>
  <si>
    <t>Amendments in the legislation related to the extended producer responsibility, notably related to producers of packaging and producers of non-packaging products as well as producer responsibility organisations in order to ensure the stability of the system of separate collection in municipalities.</t>
  </si>
  <si>
    <t>https://www.odpady-portal.sk/Dokument/105543/vlada-schvalila-rozsiahle-zmeny-v-odpadovom-hospodarstve-platit-maju-uz-od-1-oktobra.aspx
https://www.odpady-portal.sk/Dokument/105626/exkluzivne-zmeny-v-zakone-c-792015-o-odpadoch-schvalene-24-septembra-2020.aspx</t>
  </si>
  <si>
    <t>Please note that the amendment of law had been planned before the outbreak of the pandemic, but the latter has accelerated its adoption (to be effective from 1 October 2020) in a shortened legislative procedure as a response to "problems that have arisen also for emergency measures adopted in relation to the prevention of the spread of COVID-19".</t>
  </si>
  <si>
    <t>SVK7</t>
  </si>
  <si>
    <t>1.85 billion EUR</t>
  </si>
  <si>
    <t>Energy efficiency measures - part of the draft reform programme for the period 2021-2026 (for more information please refer to the comment field). More specifically:
- replacement of solid fuel boilers for households;
- comprehensive renovation of public and private buildings;
- reduction in volume of heat produced from coal.
(Note that the sectors affected are buildings and heating industry)</t>
  </si>
  <si>
    <t>https://spectator.sme.sk/c/22502978/the-finance-ministry-introduced-a-reform-plan-for-slovakia.html
https://digitalnakoalicia.sk/wp-content/uploads/2020/10/ModerneaUspesneSlovenskoza10minut.pdf
https://www.mfsr.sk/files/archiv/59/Moderne_a_uspesne_Slovensko_NIRP1.pdf</t>
  </si>
  <si>
    <t>The draft document titled "A Modern and Successful Slovakia" is Slovakia's new integrated reform plan, which aims at defining the necessary reforms for the period 2021-2016 across 8 areas. One of these is also the green economy. This is not a direct outcome of the pandemic, but it acknowledges climate change along with Covid as the main trigger behind the proposed measures for the green transition. The document is currently undergoing public consultation, and once approved it is intended to form a basis for Slovakia making use of the funds from the EU's Recovery plan. Please note the investment amounts in column F represent the estimated total financial needs for the period 2021 - 2026 and are incomplete (the missing amounts are to be added by April 2021).</t>
  </si>
  <si>
    <t>SVK8</t>
  </si>
  <si>
    <t>216 million EUR</t>
  </si>
  <si>
    <t>Circular economy transition measures - part of the draft reform programme for the period 2021-2026 (for more information please refer to the comment field). More specifically:
- reforming sorted collection of waste, and making pay-as-you-throw mandatory;
- availability of re-use centres;
- removal of priority illegal dumping sites.</t>
  </si>
  <si>
    <t>SVK9</t>
  </si>
  <si>
    <t>581 million EUR</t>
  </si>
  <si>
    <t>Measures for strengthening nature protection and supporting tourism and regions - part of the draft reform programme for the period 2021-2026 (for more information please refer to the comment field). More specifically:
- transfer of land in the third and higher level of nature protection under the administration of nature protection bodies;
- zoning of natural and national parks;
- implementation of regional development plans in protected areas.
(Note that the sectors affected are forestry and tourism)</t>
  </si>
  <si>
    <t>SVK10</t>
  </si>
  <si>
    <t>9.094 billion EUR</t>
  </si>
  <si>
    <t>other</t>
  </si>
  <si>
    <t>Efficient transport investments - part of the draft reform programme for the period 2021-2026 (for more information please refer to the comment field). More specifically:
- elaboration of priority plans for the development of road, rail, and cycling infrastructure and municipal public transportation;
- modernisation of laws to ensure more efficient construction and lay the groundwork for transport infrastructure;
- construction and modernisation of transport infrastructure according to new rules.
(Note that the main contribution, in terms of environmental focus, is the increased efficiency and environmental benefits of transport investments)</t>
  </si>
  <si>
    <t>100 million EUR</t>
  </si>
  <si>
    <t>316 million EUR</t>
  </si>
  <si>
    <t>10.7 million EUR</t>
  </si>
  <si>
    <t>4.3 million EUR</t>
  </si>
  <si>
    <t>7.4 billion USD</t>
  </si>
  <si>
    <t>Recovery, Transformation and Resilience Plan for the Spanish Economy: Energy Transition</t>
  </si>
  <si>
    <t>https://www.lamoncloa.gob.es/presidente/actividades/Paginas/2020/071020-sanchez_plan.aspx (Accessed 8 October 2020)_x000D_
, https://www.lamoncloa.gob.es/serviciosdeprensa/notasprensa/presidencia/Paginas/2020/07102020_planrecuperacion.aspx (Accessed 8 October 2020)_x000D_
, https://www.lamoncloa.gob.es/presidente/actividades/Documents/2020/07102020_PlanRecuperacion.pdf (Accessed 8 October 2020)</t>
  </si>
  <si>
    <t>POsitive</t>
  </si>
  <si>
    <t>881 million USD</t>
  </si>
  <si>
    <t>Compensation for extraordinary expenses in public transport as part of the COVID-19 Fund</t>
  </si>
  <si>
    <t xml:space="preserve">https://www.mitma.gob.es/el-ministerio/sala-de-prensa/noticias/mar-16062020-1616  Accessed 1 September 2020_x000D_
_x000D_
, https://www.lamoncloa.gob.es/consejodeministros/resumenes/Paginas/2020/160620-cministros.aspx  Accessed 1 September 2020_x000D_
_x000D_
, https://www.boe.es/diario_boe/txt.php?id=BOE-A-2020-6232  Accessed 1 September 2020_x000D_
</t>
  </si>
  <si>
    <t>https://revistas.eleconomista.es/transporte/2020/julio/el-gobierno-destina-800-millones-al-transporte-publico-por-el-covid-19-IN3825082  Accessed 1 September 2020</t>
  </si>
  <si>
    <t>303 million USD</t>
  </si>
  <si>
    <t>Fund to finance the extraordinary deficit of public transport services of local entities caused by COVID-19</t>
  </si>
  <si>
    <t>https://www.boe.es/buscar/act.php?id=BOE-A-2020-9131  Accessed 26 August 2020_x000D_
_x000D_
, https://www.lamoncloa.gob.es/serviciosdeprensa/notasprensa/transportes/Paginas/2020/050820-transportes_local.aspx  Accessed 26 August 2020</t>
  </si>
  <si>
    <t>1.11 billion USD</t>
  </si>
  <si>
    <t>IAG (Iberia, Vueling) airlines support, unconditional</t>
  </si>
  <si>
    <t>buildings</t>
  </si>
  <si>
    <t>330.3 million USD</t>
  </si>
  <si>
    <t>The Building Energy Rehabilitation Program (PREE), endowed with â‚¬ 300 million, aims to improve energy efficiency in buildings built before 2007 with measures such as changing the thermal envelope or replacing old boilers with more sustainable ones. The importance of these actions comes from the fact that the energy consumed in homes represents 30% of the final energy consumed in Spain._x000D_
These aids are co-financed by the European Regional Development Fund (ERDF)._x000D_
The government estimates that this â€œwave of rehabilitationâ€ will generate, according to PNIEC estimates, some 48,000 net jobs per year between 2021 and 2030.</t>
  </si>
  <si>
    <t xml:space="preserve">https://www.lamoncloa.gob.es/serviciosdeprensa/notasprensa/transicion-ecologica/Paginas/2020/180220-ccaa.aspx  Accessed 29 September 2020  , https://www.miteco.gob.es/es/prensa/ultimas-noticias/el-gobierno-destina-300-millones-de-euros-a-ayudas-para-la-rehabilitaci%C3%B3n-energ%C3%A9tica-de-edificios-/tcm:30-511135  Accessed 29 September 2020     </t>
  </si>
  <si>
    <t>271 million uSD</t>
  </si>
  <si>
    <t>Subsidies to support innovative projects that stimulate the integration of renewable energies in electrical or thermal power generation systems</t>
  </si>
  <si>
    <t>https://www.boe.es/diario_boe/txt.php?id=BOE-A-2020-9261 Accessed 29 September 2020_x000D_
_x000D_
, https://www.lamoncloa.gob.es/serviciosdeprensa/notasprensa/transicion-ecologica/Paginas/2020/050820-proyectos.aspx  Accessed 29 September 2020</t>
  </si>
  <si>
    <t>SWE9</t>
  </si>
  <si>
    <t>59.1 billion</t>
  </si>
  <si>
    <t>CHE8</t>
  </si>
  <si>
    <t>500 Million</t>
  </si>
  <si>
    <t xml:space="preserve">Swiss Parliament strentghen the countries CO2 Law to reduce carbon emissions by 50% by 2030 relative to 1990 levels.
The new law introduces numerous incentives to reduce greenhouse gas emissions in line with the Paris Agreement, include a tax on private jet flights as well as a tax on airline tickets of CHF30-120 ($33-131) depending on the flight distance.  Higher taxes on fossil fuels including oil are also part of the package.These are expected to genarate 500 Million CHF. 
This revenue will partially fund the creation of a special climate fund to research new technology.
In addition, the Swiss Financial Market Supervisory Authority and the Swiss National Bank will have to periodically measure the financial risks resulting from climate change.
</t>
  </si>
  <si>
    <t>https://www.swissinfo.ch/eng/politics/passengers-to-pay-a-co2-tax-on-plane-tickets/45826798</t>
  </si>
  <si>
    <t>https://www.swissinfo.ch/eng/parliament-agrees-on-air-ticket-tax-and-other-incentives-to-reach-climate-target/46052860</t>
  </si>
  <si>
    <t xml:space="preserve">Swiss Parliament has approved the legislation, but it is possible it may be lifted to a referendum. </t>
  </si>
  <si>
    <t>CHE9</t>
  </si>
  <si>
    <t>150 Million</t>
  </si>
  <si>
    <t xml:space="preserve">Swiss Government increases its contributions to the Green Climate Fund
Switzerland will commit $150 million (approx. CHF135 million) to the fund aimed at helping developing countries reduce greenhouse gas emissions and adapt to climate change, highlighting the need to enable financing following the COVID pandemic.
</t>
  </si>
  <si>
    <t>https://www.swissinfo.ch/eng/switzerland-to-substantially-boost-funding-of-green-climate-fund/45977814</t>
  </si>
  <si>
    <t>Alongside the Carbon offset deal, I think this policy highlights the extent to which Switzerland is orienting its green recovery response towards international spending</t>
  </si>
  <si>
    <t>CHE10</t>
  </si>
  <si>
    <t>70 Million</t>
  </si>
  <si>
    <t xml:space="preserve">Swiss Government signs the worlds first Carbon Offset Deal with Peru
Switzerland has struck a carbon offsetting agreement with Peru, in what the two nations say is the first deal of its kind under Article 6 of the Paris agreement.
The deal signed on Tuesday allows Peru to fund sustainable development projects, while Switzerland gets to count the resulting emissions cuts against its national targets. It is expected to include initial Green Credit Lines of 70$ Million, and is expected to expand over time. 
</t>
  </si>
  <si>
    <t>https://www.climatechangenews.com/2020/10/21/peru-switzerland-sign-world-first-carbon-offset-deal-paris-agreement/</t>
  </si>
  <si>
    <t xml:space="preserve">Important to note it's a carbon offset deal - the actual emission reductions will occur in Peru, with Switzerland essentially paying for it in exchange for including it in their national emission reductions. </t>
  </si>
  <si>
    <t>In April: Reduction of VAT on domestic air travel from 18% to 1% for three months; Update in September: "Payments in April, May and June related to withholding tax returns, VAT returns and Social Security Premiums and service documents will be postponed for six months for companies operating in certain industries (e.g. retail, iron steel, automotive, logistics and transportation, cinema and theatre, accommodation, food and beverages, textile and garment and event organization)."</t>
  </si>
  <si>
    <t>https://www.invest.gov.tr/tr/news/newsletters/lists/investnewsletter/yat%C4%B1r%C4%B1m-ofisi-nis-2020-b%C3%BClten.pdf; https://home.kpmg/xx/en/home/insights/2020/04/turkey-tax-developments-in-response-to-covid-19.html</t>
  </si>
  <si>
    <t>TUR2</t>
  </si>
  <si>
    <t>not specified</t>
  </si>
  <si>
    <t>The New Economic Program 2021-2023 released on 30 September includes this somewhat vague statement: "Z ero waste practices will continue to be expanded with the
perspective of green economy and sustainable environment." Goal assigned to the Ministry of Environment and Urbanisation to be achieved by 2023, but no quantitative target or associated budget.</t>
  </si>
  <si>
    <t>https://ms.hmb.gov.tr/uploads/2020/10/New-Economy-Program-2021-2023.pdf</t>
  </si>
  <si>
    <t>TUR3</t>
  </si>
  <si>
    <t>The New Economic Program 2021-2023 aims to boost domestic food production in an effort to ensure food (and water) security. It explicitly frames this as a climate change risk-related decision "In view of the climate change and other risks, to meet the required and strategic farm products with supply deficit primarily by our resources and to meet the future generations’ food supply safety; planned production studies will be completed and plans will be updated every year to ensure food and water safety in the long term by setting agricultural and forestry policies based on strategic production and sustainability principles and enforcing them in a holistic and integrated way. "; also assigned to the Ministry of Environment and Urbanisation without an assigned budget or quantitative target.</t>
  </si>
  <si>
    <t>TUR4</t>
  </si>
  <si>
    <t>The New Eeconomic Program 2021-2023: Turkey aims to prepare its export sector for the European Green Deal "Within the scope of the Turkey-EU Customs Union, necessary work and preparation will be made in dialogue with the EU by coordinating the public sector, the private sector, NGOs and universities to ensure adaptation to the European Green Deal regarding Turkish exports to the EU."</t>
  </si>
  <si>
    <t>TUR5</t>
  </si>
  <si>
    <t>The Renewable Energy Support Scheme (YEKDEM) was first introduced into the system in 2013 and it outlines feed-in-tariffs of $0.133 for solar and biomass, $0.105 for geothermal, $0.073 for wind and hydro plants and it is valid for 10 years. Although this scheme was previously set to be repealed by the end of 2020 (November, 2nd being the last date of applications) now the Ministry of Energy and Natural Resources proposes to extend the application date for another 6 months, to benefit the renewable energy investors who were struggling with their imports and finances.</t>
  </si>
  <si>
    <t>https://www.resmigazete.gov.tr/eskiler/2020/09/20200918-8.pdf Accessed 21 September 2020.</t>
  </si>
  <si>
    <t>TUR6</t>
  </si>
  <si>
    <t>Turkey is introducing a 'green tariff' to encourage the use of domestic renewable energy and to direct citizens with high environmental awareness to renewable energy consumption. As of August, the special tariff will be available to consumers who want to use electricity produced solely from renewable energy sources. The prices will vary between 79.25 and 91.46 cents TRY per kilowatt-hour, depending on the consumer group.</t>
  </si>
  <si>
    <t>https://www.resmigazete.gov.tr/eskiler/2020/07/20200724-24.pdf _x000D_
Accessed 27 July 2020</t>
  </si>
  <si>
    <t>1.4 billion</t>
  </si>
  <si>
    <t>182.52 million</t>
  </si>
  <si>
    <t>£139 million to cut emissions in heavy industry by supporting the transition from natural gas to clean hydrogen power, and scaling up carbon capture and storage (CCS) technology which can stop over 90% of emissions being released from industrial plants into the air by storing carbon permanently underground</t>
  </si>
  <si>
    <t>https://www.gov.uk/government/news/pm-commits-350-million-to-fuel-green-recovery</t>
  </si>
  <si>
    <t>195.66 million</t>
  </si>
  <si>
    <t>£149 million to drive the use of innovative materials in heavy industry; the 13 initial projects will include proposals to reuse waste ash in the glass and ceramics industry, and the development of recyclable steel</t>
  </si>
  <si>
    <t>34.14 million</t>
  </si>
  <si>
    <t>£26 million to support advanced new building techniques in order to reduce build costs and carbon emissions in the construction industry</t>
  </si>
  <si>
    <t>13.13 million</t>
  </si>
  <si>
    <t>£10 million boost for state of the art construction tech which will go towards 19 projects focused on improving productivity and building quality, for example, re-usable roofs and walls and “digital clones” of buildings that analyse data in real time</t>
  </si>
  <si>
    <t>19.7 million</t>
  </si>
  <si>
    <t>New National Space Innovation Programme backed by £15 million initial funding from the UK Space Agency, which will see the first £10million go towards projects that will monitor climate change across the globe, which could protect local areas from the impacts of extreme weather by identifying changes in the environment</t>
  </si>
  <si>
    <t>https://www.instituteforgovernment.org.uk/explainers/governments-post-covid-19-stimulus-package</t>
  </si>
  <si>
    <t>7.34 billion</t>
  </si>
  <si>
    <t>£5.6bn of infrastructure spending. This will primarily be spent on maintenance and upgrades for hospitals (£1.5bn) and schools (£1.8bn), as well as £1bn for other local projects and smaller sums for maintenance of courts and roads.</t>
  </si>
  <si>
    <t>https://www.gov.uk/government/publications/a-plan-for-jobs-documents/a-plan-for-jobs-2020#policy-decisions</t>
  </si>
  <si>
    <t xml:space="preserve">Some of the projects were planned pre-COVID, others not. PM Johnson set up a taskforce Project Speed, but it is still unclear which projects are being funded at this stage. </t>
  </si>
  <si>
    <t>https://www.energypolicytracker.org/search-results/?_sfm_country=82</t>
  </si>
  <si>
    <t>https://www.gov.uk/government/publications/a-plan-for-jobs-documents/a-plan-for-jobs-2020</t>
  </si>
  <si>
    <t>https://www.gov.uk/government/news/735-million-to-boost-green-economic-recovery-in-automotive-sector</t>
  </si>
  <si>
    <t>495.72 million</t>
  </si>
  <si>
    <t>Support to Iberdrola International B.V. through Covid Corporate Financing Facility (CCFF) - Wind (125.94 million GBP)</t>
  </si>
  <si>
    <t>https://www.bankofengland.co.uk/-/media/boe/files/markets/covid-corporate-financing-facility/cp-held-by-ccff-by-business.xlsx?</t>
  </si>
  <si>
    <t>181.77 million</t>
  </si>
  <si>
    <t>Support to National Express Group PLC through Covid Corporate Financing Facility (CCFF) - Mobility General (377.83 million)</t>
  </si>
  <si>
    <t>991.45 million</t>
  </si>
  <si>
    <t xml:space="preserve">Support for Honda Finance Europe PLC through Covid Corporate Financing Facility (CCFF) - Oil and Oil Products (138.54 million) </t>
  </si>
  <si>
    <t>Support for Nissan Motor Co., Ltd through Covid Corporate Financing Facility (CCFF) - (755.67 million)</t>
  </si>
  <si>
    <t>Support for EasyJet through Covid Corporate Financing Facility (CCFF) - (755.67 million)</t>
  </si>
  <si>
    <t>Support for Ryanair through Covid Corporate Financing Facility (CCFF) (755.67 million)</t>
  </si>
  <si>
    <t>Support for British Airways through Covid Corporate Financing Facility (CCFF) - (377.83 million)</t>
  </si>
  <si>
    <t>Support for Wizz Air through Covid Corporate Financing Facility (CCFF) (377.83 million)</t>
  </si>
  <si>
    <t>Celsa Steel Loan - Emergency loan included legally binding conditions, including commitments around climate change and net-zero.</t>
  </si>
  <si>
    <t>https://www.gov.uk/government/news/government-agrees-support-package-to-uk-steel-company</t>
  </si>
  <si>
    <t>2.63 billion</t>
  </si>
  <si>
    <t>Emergency Active Travel Fund - A £250 million emergency active travel fund as part of a £2 billion package for cycling and walking as part of plans to boost greener, active transport. Includes £25m Fix Your Bike Voucher Scheme.</t>
  </si>
  <si>
    <t>https://www.gov.uk/government/news/2-billion-package-to-create-new-era-for-cycling-and-walking</t>
  </si>
  <si>
    <t>Reallocating Road Space Statutory Guidance - Fast-tracked statutory guidance, to tell councils to reallocate roadspace for significantly-increased numbers of cyclists and pedestrians.</t>
  </si>
  <si>
    <t>E-scooter trials - E-scooter trials brought forward from next year to help encourage more people off public transport and onto greener alternatives. Originally set to take place in 4 Future Transport Zones, the trials of rental e-scooters – now offered to all local areas across the country</t>
  </si>
  <si>
    <t>13.14 million</t>
  </si>
  <si>
    <t>Zero emission vehicle research - Funding for the OLEV R&amp;D programme to launch new competitions this summer with £10m for a new ZEV innovation competition and £2m to the Niche Vehicle Network to support SMEs.</t>
  </si>
  <si>
    <t>https://www.gov.uk/government/news/green-number-plates-get-the-green-light-for-a-zero-emission-future</t>
  </si>
  <si>
    <t>223.31 million</t>
  </si>
  <si>
    <t>Shovel-Ready Flood Defence Schemes - up to £170 million will be spent to accelerate work on shovel-ready flood defence schemes that will begin construction in 2020 or 2021. 22 areas across the country will benefit from this immediate boost to jobs supporting the local economy as communities recover from the impact of coronavirus</t>
  </si>
  <si>
    <t>https://www.gov.uk/government/news/multi-billion-pound-investment-as-government-unveils-new-long-term-plan-to-tackle-flooding</t>
  </si>
  <si>
    <t>The Scottish Government has set a new ambition to increase offshore wind capacity to 11GW of energy installed by 2030, up from 8GW target and 1GW currently installed, and has adopted a plan that identifies commercial-scale offshore wind sites._x000D_
The aim of substantially increasing the offshore wind capacity in Scottish waters supports the delivery of Scotlandâ€™s 2017 Energy Strategy and the decarbonisation of heat and transport. The strategy has been agreed following an extensive consultation with industry, stakeholders, coastal communities and environmental organisations.</t>
  </si>
  <si>
    <t>https://www.gov.scot/publications/offshore-wind-policy-statement/pages/3/ Accessed 2 November 2020</t>
  </si>
  <si>
    <t>80 million</t>
  </si>
  <si>
    <t>The Scottish government will commit £60 million to support decarbonisation of industrial and manufacturing sectors including the Â£34 million Scottish Industrial Energy Transformation Fund and the £26 million Low Carbon Manufacturing Challenge Fund." The current government also announced that it would continue "to support and invest in the development of CCUS projects in Scotland and commission a suite of research projects for CCUS," develop a Carbon Capture and Utilisation Challenge Fund, and publish a refreshed Energy Strategy.</t>
  </si>
  <si>
    <t>https://www.gov.scot/publications/protecting-scotland-renewing-scotland-governments-programme-scotland-2020-2021/pages/5/#page-top  Accessed 7 September 2020.</t>
  </si>
  <si>
    <t>2.02 billion</t>
  </si>
  <si>
    <t xml:space="preserve">The Scottish government plans to increase energy efficiency spending to £398m per year by 2025 (for a total of £1.6bn), with the following: </t>
  </si>
  <si>
    <t>https://www.gov.scot/publications/protecting-scotland-renewing-scotland-governments-programme-scotland-2020-2021/pages/5/#page-top Accessed 7 September 2020.</t>
  </si>
  <si>
    <t>£1.3 billion investment to deliver homes, infrastructure and jobs</t>
  </si>
  <si>
    <t>https://www.gov.uk/government/news/1-3-billion-investment-to-deliver-homes-infrastructure-and-jobs Accessed 4 August 2020</t>
  </si>
  <si>
    <t>1.89 billion</t>
  </si>
  <si>
    <t>London Â£1.5bn green infrastructure package</t>
  </si>
  <si>
    <t>https://www.edie.net/news/6/London-unveils--1-5bn-green-infrastructure-package-to-kick-start-economy-post-lockdown/ Accessed 3 August 2020</t>
  </si>
  <si>
    <t>250 million</t>
  </si>
  <si>
    <t>£200 million funding for R&amp;D to green the aerospace sector</t>
  </si>
  <si>
    <t>https://www.gov.uk/government/news/uk-aerospace-sector-to-benefit-from-400-million-funding-to-go-green Accessed 24 July 2020</t>
  </si>
  <si>
    <t>https://www.edie.net/news/11/-350m-for-decarbonising-heavy-industry-and--400m-for-sustainable-aviation--Boris-Johnson-unveils-fresh-green-recovery-spending/ Accessed 24 July 2020</t>
  </si>
  <si>
    <t>https://assets.publishing.service.gov.uk/government/uploads/system/uploads/attachment_data/file/936567/10_POINT_PLAN_BOOKLET.pdf</t>
  </si>
  <si>
    <t xml:space="preserve">NA </t>
  </si>
  <si>
    <t xml:space="preserve">Produce 40GW of offshore wind by 2030, including 1 GW of floating offshore wind </t>
  </si>
  <si>
    <t>212.5 million</t>
  </si>
  <si>
    <t xml:space="preserve"> £160 million into modern ports and manufacturing infrastructure to manufacture wind turbines (for the above goal) </t>
  </si>
  <si>
    <t>5GW of low carbon hydrogen production capacity by 2030</t>
  </si>
  <si>
    <t>318.8 million</t>
  </si>
  <si>
    <t>£240 million Net Zero Hydrogen Fund</t>
  </si>
  <si>
    <t xml:space="preserve">225.8 million </t>
  </si>
  <si>
    <t>53.3 million</t>
  </si>
  <si>
    <t xml:space="preserve">£40 million in developing the regulatory frameworks and supporting UK supply chain for small modular and advanced modular reactors </t>
  </si>
  <si>
    <t>1.33 billion</t>
  </si>
  <si>
    <t>£1 billion to support the electrification of UK vehicles and their supply chains</t>
  </si>
  <si>
    <t>1.73 billion</t>
  </si>
  <si>
    <t>£1.3 billion to accelerate the roll out of charging infrastructure, targeting support on rapid charge points on motorways and major roads to dash any anxiety around long journeys, and installing more on-street charge points near homes and workplaces to make charging as easy as refuelling a petrol or diesel car.</t>
  </si>
  <si>
    <t>772.86 million</t>
  </si>
  <si>
    <t>582 million to extend the Plug-in Car, Van, Taxi and Motorcycle grants to 2022–23 to reduce their sticker price for the consumer.</t>
  </si>
  <si>
    <t>26.56 million</t>
  </si>
  <si>
    <t>£20 million next year in freight trials to pioneer hydrogen and other zero emission lorries,</t>
  </si>
  <si>
    <t>159.35 million</t>
  </si>
  <si>
    <t>£120 million next year to begin the introduction of at least 4,000 more British built zero emission buses.</t>
  </si>
  <si>
    <t xml:space="preserve">Amount Unknown </t>
  </si>
  <si>
    <t>Fund at least two all-electric bus towns, beginning this financial year, as well as developing the first fully zero-emission city centre.</t>
  </si>
  <si>
    <t>19.92 million</t>
  </si>
  <si>
    <t>£15 million into FlyZero – a 12-month study, delivered through the Aerospace Technology Institute (ATI), into the strategic, technical and commercial issues in designing and developing zero-emission aircraft that could enter service in 2030.</t>
  </si>
  <si>
    <t>£15 million competition to support the production of Sustainable Aviation Fuels (SAF) in the UK, building on the success of the Future, Fuels for Freight and Flight Competition</t>
  </si>
  <si>
    <t>£20 million into the Clean Maritime Demonstration Programme to develop clean maritime technology. We are already running hydrogen ferry trials in Orkney and due to launch a hydrogen refuelling port in Teesside, as we seek to revitalise our ports and coastal communities.</t>
  </si>
  <si>
    <t>600,000 heat pump installations per year by 2028,</t>
  </si>
  <si>
    <t>Extend the Energy Company Obligation to 2026, so suppliers can help improve the draughtiest and coldest homes.</t>
  </si>
  <si>
    <t>£1 billion CCUS Infrastructure Fund will provide industry with the certainty required to deploy CCUS at pace and at scale</t>
  </si>
  <si>
    <t>6.91 billion</t>
  </si>
  <si>
    <t>£5.2 billion in a six-year programme for flood and coastal defences</t>
  </si>
  <si>
    <t>USA1</t>
  </si>
  <si>
    <t>USA2</t>
  </si>
  <si>
    <t>200 Million USD</t>
  </si>
  <si>
    <t xml:space="preserve">New York has authorized 200 Million USD investments to support offshore wind development
Governor Cuomo Announces Largest Combined Solicitations for Renewable Energy Ever Issued in the U.S. to Combat Climate Change. In seeking at least 1,000 megawatts of offshore wind, coordinated with a $200 million opportunity to support local and private investment in port infrastructure, NYSERDA will accept offshore wind bids between 400 megawatts and up to 2,500 megawatts. In addition to delivering a significant amount of clean, renewable energy to New Yorkers, this combined solicitation requests proposals for investment in port infrastructure, aimed to further incentivize private investment, and maximize economic benefits and job creation for New Yorkers while driving future cost reductions for this technology and establishing New York as the hub of the offshore wind supply chain. Notable provisions in this comprehensive solicitation include:
</t>
  </si>
  <si>
    <t>https://www.governor.ny.gov/news/governor-cuomo-announces-largest-combined-solicitations-renewable-energy-ever-issued-us-combat</t>
  </si>
  <si>
    <t xml:space="preserve">Environmental Protection Agency (EPA) ris amending the emissions reporting regulations applicable to sources that monitor and report emissions under the Acid Rain Program, the Cross-State Air Pollution Rule (CSAPR), and/or the NOX SIP Call. The amendments provide that if an affected unit fails to complete a required quality-assurance, certification or recertification, fuel analysis, or emission rate test by the applicable deadline under the regulations because of travel, plant access, or other safety restrictions implemented to address the current COVID-19 national emergency and if the unit's actual monitored data would be considered valid if not for the delayed test, the unit may temporarily continue to report actual monitored data instead of substitute data.
</t>
  </si>
  <si>
    <t>https://www.federalregister.gov/documents/2020/04/22/2020-08581/continuous-emission-monitoring-quality-assurance-requirements-during-the-covid-19-national-emergency</t>
  </si>
  <si>
    <t>120 Million USD</t>
  </si>
  <si>
    <t xml:space="preserve">Environmental Protection Agency (EPA) rolls back a rule regulating the amount of toxic pollutants discharged by steam electric power plants.
Among all industries regulated under the Clean Water Act, steam electric power plants contribute the greatest amount of toxic pollutants discharged to surface waters. The power plant water pollution rule establishes limits on the amount of toxic metals and other harmful pollutants that steam electric power plants are allowed to discharge into surface water. The rule was finalized on November 3, 2015, but recently rolled back by EPA Administrator Scott Pruitt. The elimination of the rule is expected to save $140 million annually in reduced compliance costs. 
</t>
  </si>
  <si>
    <t>https://www.federalregister.gov/documents/2017/09/18/2017-19821/postponement-of-certain-compliance-dates-for-the-effluent-limitations-guidelines-and-standards-for</t>
  </si>
  <si>
    <t>USD 44.244 million</t>
  </si>
  <si>
    <t>Removal of fossil fuel subsidies taking advantage of low international oil prices to protect workers that lost their job due to COVID 19 pandemic (Colon billion 27). The measure will benefits 75 000 families nation-wide</t>
  </si>
  <si>
    <t>https://www.elmundo.cr/costa-rica/aprueban-en-segundo-debate-proyecto-que-crea-subsidio-en-favor-de-trabajadores/</t>
  </si>
  <si>
    <t>Law 21 909 approved 22/04/20. Prices will be freezed for 3 months, with possible extension of 3 more months. Excluded are diesel, LPG, and fuels for the fishing sector,</t>
  </si>
  <si>
    <t>Liquidity assistance of US$ 240 billion from the Central Bank</t>
  </si>
  <si>
    <t>Ease of regularisations of private occupation of public lands, weakening compliance with environmental law after regularization and granting amnesty to those practicing illegal logging. This PL ("law project") is a proposal presented to the deputy chambers, as a result of the expiring of a similar provisory measure that deputees were unable to agree upon, presented in December 2019. The government is now presenting this PL, asking for voting on an urgency regime, during the COVID crisis, seen by many as a strategy to push forward easures for easing regulation in the environmental sector while society is "distracted" by the pandemics.</t>
  </si>
  <si>
    <t xml:space="preserve">Aims to encourage the entry of new actors and attract investments to the oil refinery sector. </t>
  </si>
  <si>
    <t>Temporary measures to confront Covid-19 for the oil and gas sector, specifically changes in procedures to be adopted by regulated agents from from the Oil National Agency</t>
  </si>
  <si>
    <t>Relief to the electricity sector (creation of "COVID-account", destined to receive resources to cover deficits or antecipate costs)</t>
  </si>
  <si>
    <t>Relief to the electricity sector (temporary measures to confront Covid-19 for the electricity sector)</t>
  </si>
  <si>
    <t>CHN19</t>
  </si>
  <si>
    <t>The CPC Central Committee's proposals for formulating the 14th Five-Year Plan (2021-2025) for National Economic and Social Development and the Long-Range Objectives Through the Year 2035 were adopted at the fifth plenary session of the 19th CPC Central Committee which closed on Oct 29. Eco-friendly ways of work and life will be advanced to cover all areas of society. Carbon emission will steadily decline after reaching a peak, and there will be a fundamental improvement in the environment with the goal of building a Beautiful China basically reached;</t>
  </si>
  <si>
    <t>http://english.www.gov.cn/policies/latestreleases/202011/03/content_WS5fa159efc6d0f7257693edc1.html</t>
  </si>
  <si>
    <t>CHN20</t>
  </si>
  <si>
    <t>The State Council on Nov 2 issued a circular aimed at boosting the high-quality development of new energy vehicles (NEV) from 2021 to 2035:According to the circular, the NEV industry should make groundbreaking achievements in batteries, driving motors, vehicle operating systems, and alike by 2025, with new car sales reaching 20 percent of total sales.
The core technology of the Chinese NEV industry should leapfrog to the international advanced level in the next 15 years with energy consumption per 100 kilometers dropping to 12 Kwh, it stated.
In addition, the development and commercial use of the solid power battery will also be accelerated.
Additionally, the NEV industry should actively take part in formulation of international rules and standards to facilitate the formation of an open, transparent, and inclusive international NEV market environment.</t>
  </si>
  <si>
    <t>CHN21</t>
  </si>
  <si>
    <t>The State Council issued a circular on Sept 27 to promote the high-quality development of the animal husbandry and ensure the security of livestock and poultry products.The self-sufficiency rate of hog products, beef and mutton, and dairy products should stay at about 95 percent, 85 percent, and 70 percent, respectively.The circular also set the goal that the rate of large-scale livestock and poultry breeding and comprehensive use of waste should reach beyond 70 percent and 80 percent, respectively, by 2025 and 75 percent and 85 percent by 2030.</t>
  </si>
  <si>
    <t>CHN22</t>
  </si>
  <si>
    <t>The General Office of the CPC Central Committee and the General Office of the State Council made the statement in Guidelines on Adjusting the Distribution of Land Transfer Revenues to Support Rural Rejuvenation on Sept 23, 2020.China will increase the share of revenue from land transfers diverted to agriculture and rural areas, in an effort to help finance rural rejuvenation.The guideline said that a national goal should be set based on overall consideration of fiscal capabilities, land transfer revenues and development demands in agriculture and rural areas across regions. And, local authorities should decide their own yearly goals and implementation steps, and carry out the reform at a proper pace.According to the guideline, the revenues will be mainly used to build high-quality farmlands, farming and water resource facilities; improve the living environment, and protect farmlands.</t>
  </si>
  <si>
    <t>http://english.www.gov.cn/policies/latestreleases/202009/23/content_WS5f7c3098c6d0f7257693d201.html</t>
  </si>
  <si>
    <t>CHN23</t>
  </si>
  <si>
    <t>The General Office of the State Council issued a circular on Sept 21, approving the tourism development plan for Taihang Mountain (2020-2035).
Adhering to new development concepts and high-quality development, the plan complies with major national strategies, and gives full play to the role of tourism in poverty alleviation and rural revitalization in the Taihang Mountain area, as well as transformation and development of the resource-based areas, the circular said.
The circular also stresses prioritizing ecological development and urges adherence to environmental protection in Taihang Mountain.</t>
  </si>
  <si>
    <t>http://english.www.gov.cn/policies/latestreleases/202009/21/content_WS5f689095c6d0f7257693c5e1.html</t>
  </si>
  <si>
    <t>CHN24</t>
  </si>
  <si>
    <t>The General Office of the State Council issued a circular on Sept 15 requiring efforts to implement the strictest farmland protection to prevent non-agricultural activities on farmlands and resolutely defend the red line.
According to the circular, the following acts are strictly prohibited on farmlands, especially on permanent, basic farmlands: illegal afforestation, building green channels beyond standards, digging lakes or building scenic spots, expanding nature reserve areas, as well as non-agricultural construction.
Land approval and usage against laws and regulations are also strictly banned, according to the document.
Related departments across regions are required to assume responsibilities for protecting farmlands, and conduct overall inspections on farmland protection.
The Ministry of Natural Resources, the Ministry of Agriculture and Rural Affairs and other departments should supervise and inspect the implementation of the circular.</t>
  </si>
  <si>
    <t>http://english.www.gov.cn/policies/latestreleases/202009/15/content_WS5f60c43cc6d0f7257693c077.html</t>
  </si>
  <si>
    <t>CHN25</t>
  </si>
  <si>
    <t>The State Council on July 20 issued a guideline, aimed at pushing forward work in renovating old urban residential areas. According to the guideline, 39,000 old urban housing estates should be renovated in 2020, involving nearly 7 million households. A basic renovation system frame, policy system, and work mechanism for obsolete urban housing estates should take shape by 2022. The renovation will focus on old residential areas built before the end of 2000, and most of the work will be completed by the end of the 14th Five-Year Plan.</t>
  </si>
  <si>
    <t>http://english.www.gov.cn/policies/latestreleases/202007/20/content_WS5f156515c6d00bd0989c642d.html</t>
  </si>
  <si>
    <t>CHN26</t>
  </si>
  <si>
    <t>The General Office of the State Council issued a reform guideline on July 10, clarifying fiscal powers and expenditure responsibilities between the central government and local governments in the field of natural resources.The assignment covers surveying and monitoring, property rights management, and security of natural resources, national territorial spatial planning and control over utilization of national land, ecological protection and restoration, disaster prevention and mitigation in the natural resource field, among other aspects.</t>
  </si>
  <si>
    <t>http://english.www.gov.cn/policies/latestreleases/202007/10/content_WS5f09812ec6d06c4091250c2e.html</t>
  </si>
  <si>
    <t>CHN27</t>
  </si>
  <si>
    <t>The State Council released a reform guideline on the allocation of duties of central and local finance in ecological environment.
According to the guideline, national and cross-regional ecological environment planning, and that of key drainage basins, sea areas, and key areas with huge influence, as well as the national plan formulation to tackle climate change, are the responsibility of central finance, which should undertake expenditures in these areas.
Local finance should assume responsibilities in ecological environment monitoring, law enforcement, inspection, and supervision at the local level, covering expenditures in these areas.
Dealing with cross-border water contamination will rest on the fiscal authority of the central government.
Prevention and control of radioactive pollution, air pollution in influential regions and water pollution in major regions including the drainage areas of the Yangtze and Yellow Rivers is the shared responsibility of central and regional finance.
Prevention and control of soil contamination, agricultural and rural pollution, solid waste pollution, chemical pollution, groundwater pollution and regional air and water pollution are defined as the responsibility of regional finance.</t>
  </si>
  <si>
    <t>http://english.www.gov.cn/policies/latestreleases/202006/12/content_WS5ee3890fc6d0a6946639bf84.html</t>
  </si>
  <si>
    <t>CHN28</t>
  </si>
  <si>
    <t>The State Council released a circular on June 8 on the decision to conduct the first general survey project on composite natural disaster risks, which cover 2020 to 2022, in an effort to beef up national comprehensive capabilities to prevent natural disasters.
According to the circular, 2020 marks the preliminary preparation and pilot phase of the natural disaster general survey, which calls for the establishment of a general survey work mechanism at all levels, organization of an exclusive team, related training, development of a special online-platform, and implementation of pilot work.
2021 and 2022 will see a composite general survey falling into place, with corresponding assessment and division work completed. And the general survey on national disaster risks and related assessment will come into fruition, with a detailed zoning map and results gathered, the circular said.</t>
  </si>
  <si>
    <t>http://english.www.gov.cn/policies/latestreleases/202006/08/content_WS5f17e41fc6d029c1c26367a0.html</t>
  </si>
  <si>
    <t>CHN29</t>
  </si>
  <si>
    <t xml:space="preserve">The State Council has decided to adjust the staffing of the National Committee for Disaster Reduction in light of institutional setup, personnel turnover and work requirements, said a circular released by the General Office of the State Council on May 13. China's Ministry of Finance and Ministry of Emergency Management (MEM) have allocated emergency funding of 130 million yuan (about $18.38 million) for flood control and drought relief in two provincial-level regions.
Of the total, 100 million yuan will be used in Yunnan province for drought relief due to serious water shortage in some areas of the province, the MEM said.
In addition, 30 million yuan of the funds will be channeled to the Inner Mongolia autonomous region for flood control, according to the MEM. </t>
  </si>
  <si>
    <t>http://english.www.gov.cn/statecouncil/ministries/202004/17/content_WS5e999f6dc6d0b3f0e9495bec.html</t>
  </si>
  <si>
    <t>IND8</t>
  </si>
  <si>
    <t>Free LPG cylinders under Pradhan Mantri Garib Kalyan Yojana to 8,00,00,000 beneficiaries of Pradhan Mantri Ujjwala Yojna.  The objective is to help consumers cope with the economic impacts of Covid-19</t>
  </si>
  <si>
    <t>https://pib.gov.in/PressReleasePage.aspx?PRID=1618345</t>
  </si>
  <si>
    <t>IND9</t>
  </si>
  <si>
    <t>Excise duty hiked on retail sale of gasoline and diesel</t>
  </si>
  <si>
    <t>https://energy.economictimes.indiatimes.com/news/oil-and-gas/excise-duty-hike-on-petrol-diesel-govt-to-garner-rs-39000-crore/74633623 Accessed 6 April 2020</t>
  </si>
  <si>
    <t>IND10</t>
  </si>
  <si>
    <t>Extension on waiver of interstate transmission charges granted for power generated from solar and wind power projects until June 30, 2023. This Order had superseded the earlier orders issued in 2016 and 2017. Further, the MoP in its order dated November 2019, had extended the waiver date from date March 31, 2022, to December 31, 2022. No ISTS charges would be levied for 25 years from the date of commissioning of the power plants for the supply and sale to entities having renewable purchase obligations (RPO)</t>
  </si>
  <si>
    <t>https://energy.economictimes.indiatimes.com/news/renewable/govt-grants-ists-waiver-extension-for-solar-wind-projects-until-june-2023/77390466 Accessed 11 August 2020</t>
  </si>
  <si>
    <t>IND11</t>
  </si>
  <si>
    <t>The policy focuses on which fuel will be allowed as far as industries are concerned. Petroleum coke and furnace oil are likely to be banned in the state by March 2024. Though initially, the plan was to roll out the ban of these pollutants over the next two years, the industry associations demanded relief for an additional two years because of the economic downturn induced by the ongoing COVID-19 pandemic. SFP allows the use of coal, wood, pine needle, and agricultural waste.</t>
  </si>
  <si>
    <t>https://www.hindustantimes.com/india-news/ueppcb-approves-state-fuel-policy-petcoke-to-be-banned-as-fuel-in-state-by-march-2024/story-JdWXVPlRVgAURolTFEBacK.html</t>
  </si>
  <si>
    <t>IDN2</t>
  </si>
  <si>
    <t xml:space="preserve">Under the Omnibus Bill, Indonesia intends to reform the environmental permitting process using a risk-based approach whereby projects will be classified by risk-category. Only projects in the high-risk category will be required to undergo an environmental impact assessment or public consultation with local communities. </t>
  </si>
  <si>
    <t>https://www.nytimes.com/2020/11/03/world/asia/indonesia-stimulus-bill-signed.html</t>
  </si>
  <si>
    <t>More details shall be provided in the implementing regulations</t>
  </si>
  <si>
    <t>IDR</t>
  </si>
  <si>
    <t>SEK</t>
  </si>
  <si>
    <t>GBP</t>
  </si>
  <si>
    <t>NOK</t>
  </si>
  <si>
    <t>NZD</t>
  </si>
  <si>
    <t>KRW</t>
  </si>
  <si>
    <t>JPY</t>
  </si>
  <si>
    <t>HUF</t>
  </si>
  <si>
    <t>DKK</t>
  </si>
  <si>
    <t>CZK</t>
  </si>
  <si>
    <t>CAD</t>
  </si>
  <si>
    <t>ARS</t>
  </si>
  <si>
    <t>AUD</t>
  </si>
  <si>
    <t>ZAR</t>
  </si>
  <si>
    <t>COP</t>
  </si>
  <si>
    <t>COL14</t>
  </si>
  <si>
    <t>COL17</t>
  </si>
  <si>
    <t>0 EUR</t>
  </si>
  <si>
    <t>9000000000 EUR</t>
  </si>
  <si>
    <t>700000000 EUR</t>
  </si>
  <si>
    <t>11000000000 EUR</t>
  </si>
  <si>
    <t>3000000 EUR</t>
  </si>
  <si>
    <t>DEU16</t>
  </si>
  <si>
    <t>550000000 EUR</t>
  </si>
  <si>
    <t>Condor received a â‚¬550m loan guarantee from the federal and Hessian government: â‚¬294m as corona-aid and â‚¬256m to refinance the bridging loan the airline received following the 2019 bankruptcy of Thomas Cook. [DR: abstract from energy tracker; note though that the numbers are rubbish: aid+refinance do not amount to an overall loan guarantee; the way written here sounds like grant+loan, but I could imagine what they really meant was two different loans by banks, covered by a loan guarantee]</t>
  </si>
  <si>
    <t>http://condor-newsroom.condor.com/en/de/news-article/condor-federal-government-and-hessian-state-government-pledge-guarantee/ Accessed 22 June 2020</t>
  </si>
  <si>
    <t>DEU17</t>
  </si>
  <si>
    <t>1800000000 EUR</t>
  </si>
  <si>
    <t>The TUI Group has been granted a loan of â‚¬1.8bn for its airline, cruise, hotel, and travel agency operations. For lack of exact breakdown by activity we are assigning the whole amount to oil and oil products as the main fuel for the airline and cruise ships, noting the lack of environmental conditionalities.</t>
  </si>
  <si>
    <t>https://www.tuigroup.com/en-en/media/press-releases/2020/2020-03-27-tui-ag-german-federal-government-approves-kfw-bridge-loan Accessed 9 July 2020</t>
  </si>
  <si>
    <t>DEU18</t>
  </si>
  <si>
    <t>Lufthansa will receive a EUR 9 billion bailout in exchange for the state taking a 20% share in the airline company. This deal has been approved by Lufthansa stakeholders.</t>
  </si>
  <si>
    <t>https://www.dw.com/en/lufthansa-bailout-package-overwhelmingly-backed-by-shareholders/a-53936823 Accessed 2 July 2020</t>
  </si>
  <si>
    <t>3000000000 EUR</t>
  </si>
  <si>
    <t>Alitalia (national carrier) nationalisation</t>
  </si>
  <si>
    <t>http://www.governo.it/sites/new.governo.it/files/DL_20200520.pdf _x000D_
Accessed 13 May 2020</t>
  </si>
  <si>
    <t>https://www.reuters.com/article/us-italy-alitalia-minister/italy-to-inject-3-billion-euros-in-new-alitalia-industry-minister-idUSKBN22J19P_x000D_
Accessed 13 May 2020</t>
  </si>
  <si>
    <t>ESP2</t>
  </si>
  <si>
    <t>ESP6</t>
  </si>
  <si>
    <t>ESP8</t>
  </si>
  <si>
    <t>ESP9</t>
  </si>
  <si>
    <t>ESP10</t>
  </si>
  <si>
    <t>ESP11</t>
  </si>
  <si>
    <t>ESP12</t>
  </si>
  <si>
    <t>ESP14</t>
  </si>
  <si>
    <t>ESP16</t>
  </si>
  <si>
    <t>ESP18</t>
  </si>
  <si>
    <t>ESP21</t>
  </si>
  <si>
    <t>ESP23</t>
  </si>
  <si>
    <t>GBR1</t>
  </si>
  <si>
    <t>GBR5</t>
  </si>
  <si>
    <t>GBR6</t>
  </si>
  <si>
    <t>GBR7</t>
  </si>
  <si>
    <t>GBR9</t>
  </si>
  <si>
    <t>GBR10</t>
  </si>
  <si>
    <t>GBR11</t>
  </si>
  <si>
    <t>GBR12</t>
  </si>
  <si>
    <t>GBR14</t>
  </si>
  <si>
    <t>GBR15</t>
  </si>
  <si>
    <t>GBR16</t>
  </si>
  <si>
    <t>GBR17</t>
  </si>
  <si>
    <t>GBR18</t>
  </si>
  <si>
    <t>GBR19</t>
  </si>
  <si>
    <t>GBR20</t>
  </si>
  <si>
    <t>GBR21</t>
  </si>
  <si>
    <t>GBR22</t>
  </si>
  <si>
    <t>GBR23</t>
  </si>
  <si>
    <t>GBR24</t>
  </si>
  <si>
    <t>GBR25</t>
  </si>
  <si>
    <t>GBR26</t>
  </si>
  <si>
    <t>GBR27</t>
  </si>
  <si>
    <t>GBR28</t>
  </si>
  <si>
    <t>GBR29</t>
  </si>
  <si>
    <t>GBR30</t>
  </si>
  <si>
    <t>GBR31</t>
  </si>
  <si>
    <t>GBR33</t>
  </si>
  <si>
    <t>GBR34</t>
  </si>
  <si>
    <t>GBR35</t>
  </si>
  <si>
    <t>GBR36</t>
  </si>
  <si>
    <t>GBR37</t>
  </si>
  <si>
    <t>GBR38</t>
  </si>
  <si>
    <t>GBR39</t>
  </si>
  <si>
    <t>GBR40</t>
  </si>
  <si>
    <t>GBR41</t>
  </si>
  <si>
    <t>GBR42</t>
  </si>
  <si>
    <t>GBR43</t>
  </si>
  <si>
    <t>GBR44</t>
  </si>
  <si>
    <t>GBR46</t>
  </si>
  <si>
    <t>GBR47</t>
  </si>
  <si>
    <t>GBR48</t>
  </si>
  <si>
    <t>GBR49</t>
  </si>
  <si>
    <t>GBR50</t>
  </si>
  <si>
    <t>GBR51</t>
  </si>
  <si>
    <t>GBR52</t>
  </si>
  <si>
    <t>GBR53</t>
  </si>
  <si>
    <t>GBR54</t>
  </si>
  <si>
    <t>GBR55</t>
  </si>
  <si>
    <t>GBR56</t>
  </si>
  <si>
    <t>GBR57</t>
  </si>
  <si>
    <t>GBR58</t>
  </si>
  <si>
    <t>3.5 million</t>
  </si>
  <si>
    <t>56 million</t>
  </si>
  <si>
    <t>ZAF7</t>
  </si>
  <si>
    <t>negative</t>
  </si>
  <si>
    <t>ZAF8</t>
  </si>
  <si>
    <t>The Minister of the Environment, Forestry and Fisheries, Barbara Creecy, published SO2 air pollution standards twice as low as previous standards at the start of the Covid-19 emergency lockdown.</t>
  </si>
  <si>
    <t>https://www.iol.co.za/saturday-star/news/government-locks-sa-into-deadly-air-pollution-amid-covid-19-pandemic-45895850 Accessed 18 May 2020_x000D_
, https://www.iol.co.za/saturday-star/news/government-locks-sa-into-deadly-air-pollution-amid-covid-19-pandemic-45895850 Accessed 18 May 2020</t>
  </si>
  <si>
    <t/>
  </si>
  <si>
    <t>ISK</t>
  </si>
  <si>
    <t>PLN</t>
  </si>
  <si>
    <t>FRA13</t>
  </si>
  <si>
    <t>NZL13</t>
  </si>
  <si>
    <t>USA13</t>
  </si>
  <si>
    <t>USA14</t>
  </si>
  <si>
    <t>USA15</t>
  </si>
  <si>
    <t>USA17</t>
  </si>
  <si>
    <t>USA18</t>
  </si>
  <si>
    <t>Measure potentially detrimental for the environment: 20% reduction on energy bills for energy consumed in the months of  April, May, June, uly and August 2020</t>
  </si>
  <si>
    <t>COUNTRY</t>
  </si>
  <si>
    <t>Australia</t>
  </si>
  <si>
    <t>Austria</t>
  </si>
  <si>
    <t>Belgium</t>
  </si>
  <si>
    <t>Canada</t>
  </si>
  <si>
    <t>Switzerland</t>
  </si>
  <si>
    <t>Chile</t>
  </si>
  <si>
    <t>Colombia</t>
  </si>
  <si>
    <t>Czech Republic</t>
  </si>
  <si>
    <t>Germany</t>
  </si>
  <si>
    <t>Denmark</t>
  </si>
  <si>
    <t>Spain</t>
  </si>
  <si>
    <t>Estonia</t>
  </si>
  <si>
    <t>Finland</t>
  </si>
  <si>
    <t>France</t>
  </si>
  <si>
    <t>United Kingdom</t>
  </si>
  <si>
    <t>Greece</t>
  </si>
  <si>
    <t>Hungary</t>
  </si>
  <si>
    <t>Ireland</t>
  </si>
  <si>
    <t>Iceland</t>
  </si>
  <si>
    <t>Israel</t>
  </si>
  <si>
    <t>Italy</t>
  </si>
  <si>
    <t>Japan</t>
  </si>
  <si>
    <t>Korea</t>
  </si>
  <si>
    <t>Lithuania</t>
  </si>
  <si>
    <t>Luxembourg</t>
  </si>
  <si>
    <t>Latvia</t>
  </si>
  <si>
    <t>Mexico</t>
  </si>
  <si>
    <t>Netherlands</t>
  </si>
  <si>
    <t>Norway</t>
  </si>
  <si>
    <t>New Zealand</t>
  </si>
  <si>
    <t>Poland</t>
  </si>
  <si>
    <t>Portugal</t>
  </si>
  <si>
    <t>Slovak Republic</t>
  </si>
  <si>
    <t>Slovenia</t>
  </si>
  <si>
    <t>Sweden</t>
  </si>
  <si>
    <t>Turkey</t>
  </si>
  <si>
    <t>United States</t>
  </si>
  <si>
    <t>Costa Rica</t>
  </si>
  <si>
    <t>Brazil</t>
  </si>
  <si>
    <t>China (People’s Republic of)</t>
  </si>
  <si>
    <t>India</t>
  </si>
  <si>
    <t>Indonesia</t>
  </si>
  <si>
    <t>RUS</t>
  </si>
  <si>
    <t>Russia</t>
  </si>
  <si>
    <t>South Africa</t>
  </si>
  <si>
    <t>Argentina</t>
  </si>
  <si>
    <t>natcurrency_code</t>
  </si>
  <si>
    <t>CHF</t>
  </si>
  <si>
    <t>CLP</t>
  </si>
  <si>
    <t>ILS</t>
  </si>
  <si>
    <t>MXN</t>
  </si>
  <si>
    <t>TRY</t>
  </si>
  <si>
    <t>CRC</t>
  </si>
  <si>
    <t>BRL</t>
  </si>
  <si>
    <t>CNY</t>
  </si>
  <si>
    <t>INR</t>
  </si>
  <si>
    <t>RUB</t>
  </si>
  <si>
    <t>y2019</t>
  </si>
  <si>
    <t>y2020</t>
  </si>
  <si>
    <t>2019 EXCHANGE RATES</t>
  </si>
  <si>
    <t>Convert to USD millions</t>
  </si>
  <si>
    <t>SVN1</t>
  </si>
  <si>
    <t>EUR million 2305</t>
  </si>
  <si>
    <t>Funding from the NRRP for sustainable and green transition (grants: EUR million 705; loans:EUR million 1600)</t>
  </si>
  <si>
    <t>https://www.gov.si/en/news/2020-10-08-government-approves-draft-national-recovery-and-resilience-plan/</t>
  </si>
  <si>
    <t>http://country.eiu.com/article.aspx?articleid=1910238574&amp;Country=Slovenia&amp;topic=Economy&amp;subtopic=Forecast&amp;subsubtopic=Fiscal+policy+outlook</t>
  </si>
  <si>
    <t>DNK20</t>
  </si>
  <si>
    <t>DNK21</t>
  </si>
  <si>
    <t>DNK22</t>
  </si>
  <si>
    <t>DNK23</t>
  </si>
  <si>
    <t>DNK24</t>
  </si>
  <si>
    <t>DNK25</t>
  </si>
  <si>
    <t>DNK26</t>
  </si>
  <si>
    <t>DNK27</t>
  </si>
  <si>
    <t>Transport</t>
  </si>
  <si>
    <t>In the Relance and Redevelopment plan discussed above, there is a measure to enhance renovation of buildings: 8 million euros goes energy saving subsidies and 2 million goes to support for landlords that are planning a renovation.</t>
  </si>
  <si>
    <t xml:space="preserve">Corporate income tax (CIT) rate reduction to incentivise environmentally-friendly investments: 1% regional contribution to new investment in fixed assets above USD 10 millons, if approved by the System of Environmental Impact Assessment (Sistema de Evaluación de Impacto Ambiental). Valid for projects submitted until 31 December 2021. </t>
  </si>
  <si>
    <t>Green transition of individual heating further by increasing the phasing out of oil and gas boilers</t>
  </si>
  <si>
    <t xml:space="preserve">Agreement between the government and the Radical Left, the Socialist People's Party, the Unity List and the Alternative on: Finance Act for 2021 (December 6, 2020)
Aftale mellem regeringen og Radikale Venstre, Socialistisk Folkeparti, Enhedslisten og Alternativet om: Finansloven for 2021 (6. december 2020)
</t>
  </si>
  <si>
    <t>A total of DKK 225 million is set aside. in 2021, DKK 225 million. in 2022, DKK 145 million. DKK in 2023, DKK 155 million. DKK in 2024 and DKK 60 million. DKK in 2025 for the subsidy pools for phasing out oil and gas boilers, which were agreed with the Climate Agreement for energy and industry, etc. 2020 and the follow-up agreement of 30 October 2020.</t>
  </si>
  <si>
    <t>Strengthen the transition to green transport by setting aside a pool to support initiatives that can contribute to the green transition of the transport sector, eg electric ferries, the spread of charging infrastructure, conversion of heavy transport, etc.</t>
  </si>
  <si>
    <t>A total of DKK 150 million is set aside. DKK 2021, DKK 50 million. DKK in 2022 and DKK 10 million. DKK annually in 2023-2025. The allocated funds include derived tax losses.</t>
  </si>
  <si>
    <t>The pool for sustainable construction must go to concrete efforts that help to support a greener and more sustainable and quality-conscious construction that is at the same time financially sustainable.</t>
  </si>
  <si>
    <t>DKK 25 million is set aside. DKK annually in 2021 and in 2022.</t>
  </si>
  <si>
    <t>The purpose is, among other things, to promote the development of safe storage of CO2 in the North Sea as early as 2025.</t>
  </si>
  <si>
    <t>To increase and extend the state pool for coastal protection projects and expand the criteria for relevant applicants. Several projects will thus be eligible for the pool.</t>
  </si>
  <si>
    <t>A total of DKK 50 million is set aside. DKK in 2021, which will bring the total pool in 2021 to 90 mill. DKK in 2021. 150 mill. DKK annually in 2022 and 2023.</t>
  </si>
  <si>
    <t>The construction of cycle paths along the state roads. It must support the citizens' access to a more coherent cycle path and thereby better opportunities to choose the bicycle over other modes of transport.
In addition, DKK 150 million will be set aside. DKK in 2021 for a pool of targeted municipal bicycle projects. Municipal co-financing of 50 per cent is assumed. of the construction cost. The municipal contribution will have to be prioritized within the municipalities' construction framework.</t>
  </si>
  <si>
    <t>A total of DKK 180 million is set aside. DKK in 2021 and 170 mill. DKK annually in 2022-2023 for cycling.</t>
  </si>
  <si>
    <t>strengthen municipalities and regions' ability to make their buildings more energy efficient</t>
  </si>
  <si>
    <t>A total of DKK 150 million is set aside. DKK annually in 2021-2022 and 5 mill. DKK annually from 2023.</t>
  </si>
  <si>
    <t>The pool will contribute to the promotion and demonstration of new technologies that aim to reduce greenhouse gas emissions from agriculture, for example in brown biorefining. With the technology "brown" biorefining, residual and waste products from agriculture and the waste sector are utilized, such as manure, straw, sewage sludge and residual fibers from biogas production. Through the use of thermal pyrolysis technology, the biomass can be converted into gas and oil that can be refined into liquid fuels such as aviation fuel. The pool must target cost-effective technologies with great reduction potential in the agricultural sector.</t>
  </si>
  <si>
    <t>DKK 100 million is set aside. DKK annually in 2021 and 2022 for the pool.
Environmental impact mix. Does this create land use changes? In addition, it is unclear if these technologies reduce GHG emissions significantly. They might be substitute for fossil based fuels which means GHG saving on the production phase of the feedstock but not on the consumption phase.</t>
  </si>
  <si>
    <t>The funds strengthen the green transition by supporting energy efficiency improvements in year-round homes. Public housing, ie. public housing associations, can apply for funds from the Building Fund on the basis of objective criteria and on an equal footing with other building owners, so that tenants can also benefit from energy renovations.</t>
  </si>
  <si>
    <t>A total of DKK 300 million is set aside. DKK in 2021 and 25 mill. DKK annually from 2022. The funds are incl. derived from poison loss.</t>
  </si>
  <si>
    <t>Between 165 million and 660 million</t>
  </si>
  <si>
    <t>By removing lowland soils and restoring natural water levels in the areas, greenhouse gas emissions are reduced. For the allocated funds, approx. 5,000 hectares of agricultural land, which is estimated to contribute to a total climate effect of almost 75,000 tonnes of CO2e in 2030.</t>
  </si>
  <si>
    <t>to set aside a total of DKK 660 million. DKK in the period 2021-2024 for extraction of carbon-rich agricultural land. A total of DKK 165 million is set aside. DKK annually in 2021-2024 for set-aside of agricultural land.</t>
  </si>
  <si>
    <t>Between 26 million and 106 million</t>
  </si>
  <si>
    <t>agree to support the development of geothermal energy as a technology in the district heating sector of the future by setting up a geothermal task force. The task force will be tasked with carrying out an analysis work to uncover the socio-economic potential for fitting geothermal heat into the district heating sector. can obtain state aid approval under EU state aid rules</t>
  </si>
  <si>
    <t>total of DKK 3 million is set aside. DKK annually in 2021 and 2022 for the task force. The parties to the agreement will be presented with the results of the task force's work in 2022.</t>
  </si>
  <si>
    <t>to support the fact that more households and companies across the country have access to fast broadband. The COVID-19 crisis has also highlighted the importance of fast broadband. In this connection, the broadband pool can contribute to improved broadband coverage in those areas where the market does not by itself ensure sufficient rollout.</t>
  </si>
  <si>
    <t>Access to broadband increase the volume of data which ultimatly increase GHG emission. On the other hand, digitalisation can save GHG emissions by decreasing travel demand.</t>
  </si>
  <si>
    <t>It can contribute to the development of new digital solutions, partly by supporting a more cohesive and efficient public sector, which holds potential in supporting Denmark's ambitions in the climate area. And partly by supporting the digitalisation and automation of the business community to strengthen the competitiveness of Danish companies and for the benefit of growth, employment and export opportunities.</t>
  </si>
  <si>
    <t>Digitalisation increase the volume of data which ultimatly increase GHG emission. On the other hand, digitalisation can save GHG emissions by decreasing travel demand or the use of material resources.</t>
  </si>
  <si>
    <t xml:space="preserve">The program will enable SMEs to receive funding for advice on green and digital transformation, growth advice and business development, as well as the purchase of specific technology, production equipment, software, etc., which can contribute to the transformation of the company, including green transformation. </t>
  </si>
  <si>
    <t>A total of DKK 825 million is set aside. DKK distributed with 300 mill. DKK in 2021 and 525 mill. DKK in 2022 and associated administrative funds. In addition, DKK 8 million is set aside. DKK distributed with 4 mill. DKK in 2021 and 4 mill. DKK in 2022 to the green entrepreneurship panel.</t>
  </si>
  <si>
    <t>DNK15</t>
  </si>
  <si>
    <t>insured unemployed people over the age of 30, who are unskilled or skilled with an outdated education, will have the right to start a SOSU assistant basic education in 2021 with 110 pct. of their previous unemploymenC16t benefit rate. At the same time, the positive list is expanded by 6 per cent. for educations that support a green transition in the labor market.</t>
  </si>
  <si>
    <t>The impact will be positive. If labor with green skill is available, green sector will thrive more. A total of DKK 120 million is set aside DKK for strengthened recruitment of SOSU assistants and for green jobs in 2021-2022. Of this, the extension of the right to 110 per cent. unemployment benefit rate additional expenses of DKK 84 million. DKK in 2021 and 18 mill. in 2022 after tax, setbacks and behavior. The measure has less positive qualifying effects in the following years.</t>
  </si>
  <si>
    <t>to raise the grant for the regional education pool and initiate a one-year trial with a right for the individual unemployed to a job-oriented course from the first day of unemployment via the regional education pool.</t>
  </si>
  <si>
    <t>It is not targeted at green jobs. DKK 30 million is set aside. DKK in 2021 for the regional education pool. Thereby, the pool will amount to a total of 285 million. DKK in 2021 and will contribute to more people being able to quickly and flexibly be transferred to new jobs and industries</t>
  </si>
  <si>
    <t>need to strengthen the warning efforts in 2021 as a result of the COVID-19 crisis, so that dismissed employees can quickly be helped into new employment with an early and focused effort.</t>
  </si>
  <si>
    <t>It is not targeted at green jobs. DKK 100 million is set aside. DKK in 2021 for the purpose. Thus, the warning pool will amount to DKK 106 million. in 2021.</t>
  </si>
  <si>
    <t xml:space="preserve"> to set aside DKK 25 million. DKK in 2021 for green conversion of ports and conversion efforts within, for example, fishing and related ancillary activities. The Danish ports have set a goal of becoming CO2-neutral by 2030, at the same time as 90 per cent. of all waste in the ports will be recycled in 2030. In order to support restructuring and development efforts within the fishing industry and related follow-up industries, a pool will be created that can be applied for by ports, fishing and follow-up industries to co-finance projects concerning eg conversion and green development.</t>
  </si>
  <si>
    <t>contribute to good living conditions for citizens in the villages by, for example, maintaining local jobs, local leisure activities, etc. In addition, the pool can also support the villages and smaller urban communities where the mink industry has been of particular importance.</t>
  </si>
  <si>
    <t>It is not targeted at green activites.</t>
  </si>
  <si>
    <t>to support village renewal, which i.a. may include the renewal of streets, squares and squares, the initiation of social or cultural activities, the renovation of dilapidated dwellings or town halls, and the demolition and removal of scrap on residential properties. The village renewal is implemented in the municipalities eligible for application.</t>
  </si>
  <si>
    <t>DKK 100 million is therefore set aside. DKK annually in 2021-2022 for an application pool for upskilling and continuing education within climate adaptation and green change in a broad sense. The funds can be applied for by educational institutions, possibly. after dialogue with continuing education committees and the professional committees for either a quality and equipment boost of existing qualification and continuing education offers or the development of new educations targeted at job functions and industries within green conversion as well as initiatives with a view to increased sustainability.</t>
  </si>
  <si>
    <t>DKK 100 million is therefore set aside. DKK annually in 2021-2022</t>
  </si>
  <si>
    <t>Strengthened public efforts are targeted as far as possible in areas where, for a period of time, benefits can be achieved through an upscaled effort, and where there are good preconditions for using temporary resources. As a starting point, the strengthening will aim at strengthened infection detection and extra efforts under the Danish Nature Agency, including strengthening outdoor facilities in nature areas, nature conservation tasks with a view to strengthening nature and biodiversity and green building initiatives on the Danish Nature Agency's properties.</t>
  </si>
  <si>
    <t>The Government and the Radical Left, the Socialist People's Party, the Unity List and the Alternative are
agreed to continue working on a green national account in order to support
the green agenda.
In this connection, it is agreed to add an additional DKK 1.9 million. DKK annually in the period 2021-
2024 with a view to extending the green national accounts to include in detail
material flow accounting and resource footprint as well as supporting the work with green calculation models.</t>
  </si>
  <si>
    <t>cleaning up the major generational pollutions in Denmark. It is pollution that threatens nature and the environment - also locally. Therefore, it is important that the pollutants are not left to future generations.</t>
  </si>
  <si>
    <t>DKK 50 million is set aside. in 2021, DKK 100 million. DKK in 2022, DKK 155 million. DKK in 2023, 150 million. DKK in 2024 and 175 mill. DKK in 2025. A total of DKK 630 million has thus been set aside. DKK for generational pollution up to 2025.
The parties to the agreement agree that the generational pollution at Himmark Strand, Kærgård Klit plantation, the former Grindsted power plant, Høfde 42 and Cheminova's old factory site must be prioritized, cf. the regions' plan.
The work will start in 2021 and is expected to continue until 2033. 
It was on the shelf before but the covid crisis accelerated this.</t>
  </si>
  <si>
    <t>The nature and biodiversity package must promote nature and biodiversity in Denmark and help to slow down the decline of nature.
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parties to the agreement agree that untouched forests and nature parks must be given priority in the implementation of the funds between the parties to the agreement.
The nature and biodiversity package gives biodiversity better conditions in Denmark. Untouched forest creates favorable conditions for different species and benefits biodiversity, while with the establishment of nature national parks, cohesive nature areas will be created where plant and animal life can unfold on more natural terms.</t>
  </si>
  <si>
    <t>The government and the Radical Left, the Socialist People's Party, the Unity List and the Alternative have agreed on a nature and biodiversity package of a total of DKK 888 million. DKK in the period 2021-2024 to i.a. laying of untouched forest, establishment of new nature national parks and preparation of a strategy for the management of endangered species. The OECD environmental performance review, the mink crisis and the relationship between biodiversity and covid led to this ambitious plan.</t>
  </si>
  <si>
    <t>The government and the Radical Left, the Socialist People's Party, the Unity List and the Alternative will support a continued market-driven development of ecology in Denmark.
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</si>
  <si>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The parties to the agreement therefore agree to set aside DKK 45 million. DKK annually in 2021 to 2024 for the promotion of ecology. Among these, priority is given to DKK 20 million. DKK 2021 to 2024 annually under the auspices of the Foundation for Organic Agriculture, while DKK 25 million. DKK is set aside as a framework for strengthened ecology, including conversion of public kitchens, strengthened innovation efforts in the field of ecology, etc.</t>
  </si>
  <si>
    <t>The government and the parties to the agreement also agreed to encourage the necessary investments in green technology with e.g. a green investment window up to and including 2022 with increased depreciation on green investments and almost DKK 700 million. DKK further in direct grants for green investments. At the same time, the relaxation of the R&amp;D deduction is extended by 130 per cent. to include 2022. This gives Danish companies a better opportunity to adapt to greener production and a greater incentive to invest in research and development.</t>
  </si>
  <si>
    <t xml:space="preserve">Broad agreement on green tax reform paves the way for green transformation in business
</t>
  </si>
  <si>
    <t>IRL 11</t>
  </si>
  <si>
    <t>IRL 12</t>
  </si>
  <si>
    <t>IRL 13</t>
  </si>
  <si>
    <t>IRL 14</t>
  </si>
  <si>
    <t>IRL 15</t>
  </si>
  <si>
    <t>IRL 16</t>
  </si>
  <si>
    <t>IRL 17</t>
  </si>
  <si>
    <t>IRL 18</t>
  </si>
  <si>
    <t>IRL 19</t>
  </si>
  <si>
    <t>IRL 20</t>
  </si>
  <si>
    <t>IRL 21</t>
  </si>
  <si>
    <t>IRL 22</t>
  </si>
  <si>
    <t>IRL 23</t>
  </si>
  <si>
    <t>IRL 24</t>
  </si>
  <si>
    <t>IRL 25</t>
  </si>
  <si>
    <t>ITA 8</t>
  </si>
  <si>
    <t>ITA 11</t>
  </si>
  <si>
    <t>ITA 12</t>
  </si>
  <si>
    <t>ITA 13</t>
  </si>
  <si>
    <t>NOK 2 billion in 2020
NOK 3.3 billion in 2021</t>
  </si>
  <si>
    <t>NOK 35 million. Orininally NOK 100 was allocated, but due to low demand, the grant was reduced.</t>
  </si>
  <si>
    <t>Million original currency</t>
  </si>
  <si>
    <t>The Government approved on 8/10/20 the National Recovery and Resilience Plan (NRRP). Over the next 6 years Slovenia will utilise around EUR 5.7 billion of the funding available under the recovery instrument. In addition to EUR 5.2 billion available under the Recovery and Resilience Facility (RRF), Slovenia is also eligible to EUR 312 million available under the React-EU initiative, EUR 129 million under the Just Transition Fund and EUR 68 million for Rural Development. The government is planning investments in rail and motorway infrastructure, army equipment, and improvements to public health facilities (including energy savings), as well as targeting environmental improvements, scientific research and greater cost competitiveness. The environmental component of the available grants represents the largest share (42%).</t>
  </si>
  <si>
    <t>USA6</t>
  </si>
  <si>
    <t>USA7</t>
  </si>
  <si>
    <t>CRI9</t>
  </si>
  <si>
    <t>90000 crore R</t>
  </si>
  <si>
    <t>50000 crore R</t>
  </si>
  <si>
    <t>6000 crore R</t>
  </si>
  <si>
    <t>200000 crore R</t>
  </si>
  <si>
    <t>20000 crore R</t>
  </si>
  <si>
    <t>9700 crore R</t>
  </si>
  <si>
    <t>USA19</t>
  </si>
  <si>
    <t>USA20</t>
  </si>
  <si>
    <t>USA21</t>
  </si>
  <si>
    <t>USA22</t>
  </si>
  <si>
    <t>USA23</t>
  </si>
  <si>
    <t>USA24</t>
  </si>
  <si>
    <t>USA25</t>
  </si>
  <si>
    <t>USA26</t>
  </si>
  <si>
    <t>17/11/2020</t>
  </si>
  <si>
    <t>16/11/2020</t>
  </si>
  <si>
    <t>2 500 000 000 EUR</t>
  </si>
  <si>
    <t>2 000 000 EUR</t>
  </si>
  <si>
    <t>ITA 14</t>
  </si>
  <si>
    <t>NZ 154.245 million (20/21-23/24)</t>
  </si>
  <si>
    <t xml:space="preserve">These are some green elements of the Finnish Government's seventh supplementary budget proposal for 2020. </t>
  </si>
  <si>
    <t>Environmental dimension 1</t>
  </si>
  <si>
    <t>Environmental dimension 2</t>
  </si>
  <si>
    <t>Environmental dimension 3</t>
  </si>
  <si>
    <t>Source 1</t>
  </si>
  <si>
    <t>JPN3</t>
  </si>
  <si>
    <t>¥2 trillion</t>
  </si>
  <si>
    <t>https://www5.cao.go.jp/keizai1/keizaitaisaku/2020-2/20201208_economic_measures.pdf</t>
  </si>
  <si>
    <t>https://english.kyodonews.net/news/2020/12/8a909b0c27bb-urgent-japan-to-compile-73-tril-yen-new-stimulus-package.html</t>
  </si>
  <si>
    <t>Measures to promote a green society - 2 trillion-yen fund to support innovative technology developments which contribute to achieving 2050 carbon neutral target, Promoting EV (Electric Vehicle) and ZEH (Net Zero Energy House)</t>
  </si>
  <si>
    <t>KOR11</t>
  </si>
  <si>
    <t>KOR12</t>
  </si>
  <si>
    <t>sectoral</t>
  </si>
  <si>
    <t>KRW 35.8 trillion</t>
  </si>
  <si>
    <t>KRW 30.1 trillion</t>
  </si>
  <si>
    <t>KRW 7.6 trillion</t>
  </si>
  <si>
    <t>Other or not specified</t>
  </si>
  <si>
    <t>Tax reduction / Other subsidy</t>
  </si>
  <si>
    <t>EUR 471 billion</t>
  </si>
  <si>
    <t>EUR 202 billion</t>
  </si>
  <si>
    <t>30% 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</si>
  <si>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70% non-climate part of NGEU: Recovery and Resilience Facility - Member States shall prepare national recovery and resilience plans setting out the reform and investment agenda of the Member State concerned for the years 2021-23. Effective contribution to the green and digital transition shall be a prerequisite for a positive assessment by Commission. An overall climate spending target of 30% will apply to the total amount of expenditure from the NGEU (which encompasses the Recovery and Resilience Facility) and the MFF and be reflected in appropriate targets in sectoral legislation.</t>
  </si>
  <si>
    <t>30% climate part of NGEU: ReactEU - cohesion policy. An overall climate spending target of 30% will apply to the total amount of expenditure from the NGEU (which encompasses the ReactEU) and the MFF and be reflected in appropriate targets in sectoral legislation.</t>
  </si>
  <si>
    <t>70% non-climate part of ReactEU - cohesion policy. An overall climate spending target of 30% will apply to the total amount of expenditure from the NGEU (which encompasses the ReactEU) and the MFF and be reflected in appropriate targets in sectoral legislation.</t>
  </si>
  <si>
    <t>EUR 14.25 billion</t>
  </si>
  <si>
    <t>EUR 33.75 billion</t>
  </si>
  <si>
    <t>EUR13</t>
  </si>
  <si>
    <t>EUR14</t>
  </si>
  <si>
    <t>EU - Positive</t>
  </si>
  <si>
    <t>EU - Indeterminate</t>
  </si>
  <si>
    <t>Temporary reduction in the standard rate of VAT
The standard rate of VAT will be decreased from 23% to 21% for the period 1 September 2020 to 28 February 2021
The standard rate applies to some 53% of activity, including the supply of cars, petrol, diesel, alcohol, tobacco, electrical equipment and adult clothes and footwear.</t>
  </si>
  <si>
    <t>Though not directly a 'stimulus' effort, in the middle of the pandemic, the Dutch government announced measures to cut the use of coal, limit livestock herds and increase garden greening. See also NLD8 and NLD9 for associated funding allocation</t>
  </si>
  <si>
    <t>NLD8</t>
  </si>
  <si>
    <t>NLD9</t>
  </si>
  <si>
    <t>EUR 2.33 billion</t>
  </si>
  <si>
    <t>https://www.urgenda.nl/en/themas/climate-case/dutch-implementation-plan/</t>
  </si>
  <si>
    <t>EUR 0.36 billion</t>
  </si>
  <si>
    <t>Compensation to reduce livestock herds. See also NLD2</t>
  </si>
  <si>
    <t>Commitment to Renewables (2bn, mostly rooftop solar) and household efficiency (0.3bn). See also NLD2</t>
  </si>
  <si>
    <t>https://www.env.go.jp/guide/budget/r02/r0204-hos-gaiyo/005.pdf; https://www5.cao.go.jp/keizai1/keizaitaisaku/2020/20200420_economic_measures_all.pdf</t>
  </si>
  <si>
    <t xml:space="preserve">The Japanese Government is dedicating a revised budget of five billion JPY to support the adoption of solar power generation equipment to allow solar energy to be produced for one's own use. This scheme is based on the on-site power purchase agreement (PPA) model, which contributes to the promotion of decarbonization and disaster prevention. Under this model, energy companies offer renewable electricity to businesses and individuals and install panels that they will continue to own and maintain where their clients reside. Meanwhile, businesses and individuals buy renewable electricity at a fixed long-term price with minimal risk of price hikes and only pay for the electricity they use. </t>
  </si>
  <si>
    <t>JPN4</t>
  </si>
  <si>
    <t>JPN5</t>
  </si>
  <si>
    <t>JPN6</t>
  </si>
  <si>
    <t>JPN7</t>
  </si>
  <si>
    <t>Addressing infectious medical waste</t>
  </si>
  <si>
    <t>https://www.env.go.jp/saigai/novel_coronavirus_2020.html</t>
  </si>
  <si>
    <t>http://www.env.go.jp/saigai/novel_coronavirus_2020/COVID-19_0727QA_en.pdf</t>
  </si>
  <si>
    <t>To address waste management issues relevant to COVID-19, Japan is implementing initiatives to maintain the waste management system, such as considering various countermeasures based on individual circumstances, creating communication documents related to measures, and sharing information with local governments and relevant organizations.</t>
  </si>
  <si>
    <t>JAXA, ESA, and NASA cooperation for development and operation of Earth observing dashboard on COVID-19</t>
  </si>
  <si>
    <t>https://eodashboard.org/</t>
  </si>
  <si>
    <t>The COVID-19 pandemic has caused various changes in socio-economic activities and the environments. Since satellite-based Earth observation can monitor the earth's surface globally and periodically with various physical parameters, the Japan Aerospace Exploration Agency (JAXA), European Space Agency (ESA), and National Aeronautics and Space Administration (NASA) have cooperated in developing the "Earth Observing Dashboard" by combining the resources, technical knowledge and expertise of the three partner agencies. The dashboard provides socio-economic activities and earth environmental change information, such as air quality, green house gasses,  port / airport activities, agriculture, and water quality, before / after COVID-19 pandemic to strengthen our global understanding of the economic and environmental effects of the COVID-19 pandemic.</t>
  </si>
  <si>
    <t>JPN8</t>
  </si>
  <si>
    <t>Promoting dissemination of electric vehicles and fuel cell vehicles.</t>
  </si>
  <si>
    <t>Green Growth Strategy towards 2050 Carbon Neutrality</t>
  </si>
  <si>
    <t>Addressing infectious waste</t>
  </si>
  <si>
    <t>https://www.env.go.jp/guide/budget/r02/r02-hos_03-gaiyo/001.pd</t>
  </si>
  <si>
    <t>https://www.meti.go.jp/english/press/2020/1225_001.html</t>
  </si>
  <si>
    <t xml:space="preserve">The Ministry of the Environment is working on decarbonization of lifestyles, especially in mobility, by subsidizing electrified vehicles such as electric vehicles and fuel cell vehicles as moving storage batteries, and promoting preferential treatments such as introducing charging and </t>
  </si>
  <si>
    <t>The Ministry of Economy, Trade and Industry (METI) formulated a “Green Growth Strategy towards 2050 Carbon Neutrality” in collaboration with related ministries and agencies. This strategy is an industrial policy to lead the challenging goal of achieving carbon neutrality by 2050, a vision that is upheld by the Suga administration and aims toward a positive cycle of economic growth and the environmental protection.</t>
  </si>
  <si>
    <t>To address waste management issues relevant to COVID-19, Japan is implementing initiatives to promote environmentally sound management on infectious waste, such as considering various countermeasures based on individual circumstances, creating communication documents related to measures, and sharing information with local governments and relevant organizations and developing collection with automated control.</t>
  </si>
  <si>
    <t>82.1 bn HUF</t>
  </si>
  <si>
    <t xml:space="preserve">Budapest-Belgrade rail line development (2020-2025) </t>
  </si>
  <si>
    <t>http://njt.hu/cgi_bin/njt_doc.cgi?docid=219509.383053; https://www.portfolio.hu/en/economy/20200702/hungarian-government-exhausts-coronavirus-war-chest-in-no-time-439653</t>
  </si>
  <si>
    <t>126.7 bn HUF</t>
  </si>
  <si>
    <t>078/01/2021</t>
  </si>
  <si>
    <t>46 bn HUF</t>
  </si>
  <si>
    <t>31.04 bn HUF</t>
  </si>
  <si>
    <t>231.3 bn HUF</t>
  </si>
  <si>
    <t>43.6 bn HUF</t>
  </si>
  <si>
    <t>136 bn HUF</t>
  </si>
  <si>
    <t>5 bn HUF</t>
  </si>
  <si>
    <t xml:space="preserve">The winning enterprises will be able to spend the 10-629.3 million forints (EUR 27.8 thousand -1.75 million) in funding to, amongst others, procure new equipment, invest in infrastructural and property development projects, develop technological systems such as RE technology and use of cloud services. </t>
  </si>
  <si>
    <t>Subsidy given to electric vehicles (EV) - total framework subsidy of 5 billion HUF = approx. 17 million USD</t>
  </si>
  <si>
    <t>https://ceenergynews.com/finance/hungarian-government-to-announce-further-subsidies-for-e-mobility/</t>
  </si>
  <si>
    <t>1598/2020. (IX. 21.) Government Resolution on the first phase of the project to clean up illegal landfills, “Clean the Country!” to be implemented in 2020</t>
  </si>
  <si>
    <t>13 bn HUF</t>
  </si>
  <si>
    <t>36 bn HUF</t>
  </si>
  <si>
    <t>Subsidies for electric buses as well as support for manufacturers of equipment relevant for electric buses (i.e. storage, recharge equipment)</t>
  </si>
  <si>
    <t>https://ceenergynews.com/transport/hungarian-government-to-launch-green-bus-program/</t>
  </si>
  <si>
    <t>Support for the technological change in the plastic industry</t>
  </si>
  <si>
    <t>https://www.palyazat.gov.hu/ginop-1213-20-az-egyszer-hasznlatos-s-egyb-manyagtermkek-forgalomba-hozatalnak-korltozsval-rintett-valamint-az-ezeket-helyettest-termkek-gyrtsval-foglalkoz-vllalkozsok-technolgiavltsnak-s-kapacitsbvtsnek-tmogatsa-2#</t>
  </si>
  <si>
    <t>HUN22</t>
  </si>
  <si>
    <t>HUN23</t>
  </si>
  <si>
    <t>HUN24</t>
  </si>
  <si>
    <t>HUN25</t>
  </si>
  <si>
    <t>HUN26</t>
  </si>
  <si>
    <t>HUN27</t>
  </si>
  <si>
    <t>HUN28</t>
  </si>
  <si>
    <t>HUN29</t>
  </si>
  <si>
    <t>HUN30</t>
  </si>
  <si>
    <t>HUN31</t>
  </si>
  <si>
    <t>3.3 bn HUF</t>
  </si>
  <si>
    <t>18.8 bn HUF</t>
  </si>
  <si>
    <t>3 bn HUF</t>
  </si>
  <si>
    <t>Possibility to extend the shelf-life of food</t>
  </si>
  <si>
    <t>Modification of authorization and evaluation of plant protection products, the removal and simplification of compulsory notification</t>
  </si>
  <si>
    <t>Review of soil protection planning and authorization procedures related to irrigation</t>
  </si>
  <si>
    <t>Simplification of feed authorization and registration procedures</t>
  </si>
  <si>
    <t>Expanding sales opportunities for small food producers</t>
  </si>
  <si>
    <t>Support for the modernization of SMEs (GINOP-1.2.8-20)</t>
  </si>
  <si>
    <t>Support for the modernization of SMEs (VEKOP-1.2.6-20)</t>
  </si>
  <si>
    <t>Support for developments in the fashion and design industry (GINOP-1.2.14-20)</t>
  </si>
  <si>
    <t>Support for developments in the fashion and design industry (VEKOP-1.2.7.20)</t>
  </si>
  <si>
    <t>https://www.palyazat.gov.hu/ginop-128-20-a-mikro-kis-s-kzpvllalkozsok-modern-zleti-s-termelsi-kihvsokhoz-val-alkalmazkodst-segt-fejlesztsek-tmogatsa-1</t>
  </si>
  <si>
    <t>https://www.palyazat.gov.hu/vekop-126-20-a-mikro-kis-s-kzpvllalkozsok-modern-zleti-s-termelsi-kihvsokhoz-val-alkalmazkodst-segt-fejlesztsek-tmogatsa-1</t>
  </si>
  <si>
    <t>https://www.palyazat.gov.hu/ginop-1214-20-divat-s-dizjnipari-mikro-kis-s-kzpvllalkozsok-modern-zleti-s-termelsi-kihvsokhoz-val-alkalmazkodst-segt-fejlesztsek-tmogatsa-1</t>
  </si>
  <si>
    <t>https://www.palyazat.gov.hu/vekop-127-20-divat-s-dizjnipari-mikro-kis-s-kzpvllalkozsok-modern-zleti-s-termelsi-kihvsokhoz-val-alkalmazkodst-segt-fejlesztsek-tmogatsa-1</t>
  </si>
  <si>
    <t>Increasing the domestic share of raw materials used in public catering</t>
  </si>
  <si>
    <t>https://magyarkozlony.hu/hivatalos-lapok/tMkTed9rU4L8GJ85RJmk5fe3ba8f5a9e6/dokumentumok/859e519d6c6249e6fb9f896bca0f5a928ddcb983/letoltes</t>
  </si>
  <si>
    <t>Initiated by the Economic Protection Operative Unit which was tasked to propose economic and administrative measures for the recovery</t>
  </si>
  <si>
    <t>..</t>
  </si>
  <si>
    <t>EST8</t>
  </si>
  <si>
    <t>EUR 1 400 000</t>
  </si>
  <si>
    <t xml:space="preserve">EUR 400 000 </t>
  </si>
  <si>
    <t>EUR 4 000 000</t>
  </si>
  <si>
    <t>Funding the purchase of electric buses and charging posts</t>
  </si>
  <si>
    <t>https://news.err.ee/1135630/government-to-fund-purchase-of-electric-buses-and-charging-posts</t>
  </si>
  <si>
    <t xml:space="preserve">https://www.err.ee/1135503/riik-hakkab-toetama-elektribusside-ostu-ja-laadimistaristu-ehitamist </t>
  </si>
  <si>
    <t>https://mmm.fi/en/forests/biodiversity-and-protection/metso-programme</t>
  </si>
  <si>
    <t>EUR 5 million</t>
  </si>
  <si>
    <t>Additional funding for the Wood Building Programme. Use of timber in the construction process would be promoted with grants in government-supported housing production and with increased funding for the wood construction programme. The wood construction programme promotes the use of timber by enhancing industry expertise, developing legislation and the building regulations, and providing factual information.</t>
  </si>
  <si>
    <t>https://ym.fi/en/wood-building</t>
  </si>
  <si>
    <t>Budget appropriations are proposed for grants to phase out oil heating in both households and municipal buildings, EUR 45 million in total for 2020. Grants of EUR 15 million will be allocated to phase out oil heating in municipal real estates and EUR 30 million to phase out oil heating in detached dwellings.</t>
  </si>
  <si>
    <t>Promotion of climate-sustainable transport projects and the production of reasonably priced housing in the agreements on housing, land use and transport (MAL-agreements). Furthermore, About a fourth of the recovery package is dedicated for developing the country’s railway and tramway infrastructure as well as to support public transport operators. The goal is to promote climate-sustainable transport projects and the production of reasonably priced housing especially in areas easily accessible with public transport. More details as follows:
• Negotiations have concluded on land use, housing and transport agreements with the urban regions of Helsinki, Turku, Tampere and Oulu. The agreements promote sustainable transport projects and affordable housing production, especially in areas that have good public transport links. 
• The Government undertakes to reserve EUR 755.8 million for measures in developing transport infrastructure. The costs of the projects would be divided over several years (2020–2031). This means it would be necessary to make financial provision for implementing the projects for example in the general government fiscal plans and in the preparation of the national transport system plan.
• Investments in railways and tramways will make up over 600 million of it. This needs to be checked from the MInistry of Finance of Finland. It is not added in the table.
• In addition, the government undertakes to finance grants for municipal engineering and start-up grants related to housing production with a sum of EUR 180 million in the period 2020–2023. Government funding for the package of land use, housing and transport in big cities is implemented within the framework of the general government fiscal plan. To be checked whether included in the above figure of EUR 755.8 milllion.</t>
  </si>
  <si>
    <t>CHL5</t>
  </si>
  <si>
    <t>CHL6</t>
  </si>
  <si>
    <t>CHL7</t>
  </si>
  <si>
    <t>CHL8</t>
  </si>
  <si>
    <t>CHL9</t>
  </si>
  <si>
    <t>CHL10</t>
  </si>
  <si>
    <t>CHL11</t>
  </si>
  <si>
    <t>CHL12</t>
  </si>
  <si>
    <t>USD 455 million</t>
  </si>
  <si>
    <t>USD 481 million</t>
  </si>
  <si>
    <t>USD 376 million</t>
  </si>
  <si>
    <t>USD 235 million</t>
  </si>
  <si>
    <t>USD 39 million</t>
  </si>
  <si>
    <t>USD 403 million</t>
  </si>
  <si>
    <t>CLP 5 million</t>
  </si>
  <si>
    <t>CLP 26 million</t>
  </si>
  <si>
    <t>Minimum USD 35 millon in 2020 and USD 75 millons in 2021</t>
  </si>
  <si>
    <t>National Mobility Plan: Work with Municipalities to implement tactical urbanism initiatives</t>
  </si>
  <si>
    <t>State Support Bonus and Solidarity Loan: Economic benefit to owners of buses, minibuses, cabs (urban and rural)</t>
  </si>
  <si>
    <t xml:space="preserve">Hydraulic Projects: Irrigation works that will benefit more than 125 thousand hectares, conservation of rainwater in cities and alluvial controls. </t>
  </si>
  <si>
    <t>Rural Drinking Water systems: 75 new systems, 69 improvements and extensions of systems, and minor conservation of another 44 systems.</t>
  </si>
  <si>
    <t>Roads: Construction, replacement and improvement of 93 bridges, and construction of 62 kilometers of bicycle lanes.</t>
  </si>
  <si>
    <t>Coastal and riverside projects: Construction, conservation, improvement and extension of more than 35 works on coastal and riversides.</t>
  </si>
  <si>
    <t>Water Management: Development of 50 strategic plans for the management of water resources, of which 30 will be ready between 2020-2022; and strengthening of the national hydrometric and glaciological network.</t>
  </si>
  <si>
    <t>Public Buildings: Construction, replacement and improvement of more than 280.000 m2 in public building projects such as police stations, schools, health centers, museums, theaters, and town hall buildings, among others.</t>
  </si>
  <si>
    <t>These projects contemplate the improvement of irrigation systems to increase water use efficiency and water savings. Likewise, this will increase the country's resilience or capacity to face the impacts of climate change, in the context of a mega drought that has affected Chile for over a decade.</t>
  </si>
  <si>
    <t>These projects will provide or improve access to water for vulnerable families in our country, particularly in rural areas.</t>
  </si>
  <si>
    <t>The design and implementation of these projects considering sustainable engineering, materials, and location aspects, among others, will contribute to climate change adaptation measures in facing events of river flooding, intensity of rainfalls, and probability of floodings, among others.</t>
  </si>
  <si>
    <t>The design and implementation of these projects considering sustainable engineering, materials, and location aspects, among others; will allow adaptation to the effects of climate change such as the frequency and intensity of storm surges, sea level, intensity of rainfall, etc; allowing to increase the resilience or reaction capacity of the communities and activities that will be affected.</t>
  </si>
  <si>
    <t>The design and implementation of these plans and tools will consider the effects of climate change with respect to temperatures, drought, intensity of rainfall, among others; allowing to increase the resilience or reaction capacity of the communities and activities that will be affected.</t>
  </si>
  <si>
    <t>These projects contemplate energy efficiency standards contributing to the reduction in the consumption of electrical energy or fuel, contributing to the mitigation of climate change.</t>
  </si>
  <si>
    <t>EUR 40 million</t>
  </si>
  <si>
    <t xml:space="preserve">EUR 45 million  </t>
  </si>
  <si>
    <t>EUR 33.9 million</t>
  </si>
  <si>
    <t xml:space="preserve">EUR 10 million is proposed for “Metsähallitus” (the Finnish Forest Administration) for the rehabilitation of nature sites and the development of their infrstructure. A sum of EUR 13 million is proposed for projects involving green areas, water services and forest conservation. Funding is also proposed for the development of nature and wildlife tourism (EUR 3.1 million); for the renotation of wetland (EUR million 1.8); to promote flood protection, water renovation and migratory fish (EUR 6 million).  </t>
  </si>
  <si>
    <t>Budget authority of EUR 20 million will be allocated to major energy-subsidy pilot projects to promote energy efficiency and EUR 20 million for energy aid. These is investment support for future energy solutions in order  to achieve the 2030 national and EU goals.</t>
  </si>
  <si>
    <t xml:space="preserve">EUR 118 million </t>
  </si>
  <si>
    <t>To support public transport, EUR 100 million is proposed to compensate for the loss of fare revenue in public transport; EUR 18 milllion for investment in walking and cycling paths</t>
  </si>
  <si>
    <t xml:space="preserve">EUR 2.5 million </t>
  </si>
  <si>
    <t>Budget authority of EUR 1 million for developing the battery cluster for the electric vehicles and EUR 1.5 million to develop vehicle charging infrastructure in dwelling.. </t>
  </si>
  <si>
    <t>Pilot and demonstration projects implementing the Plastics Roadmap</t>
  </si>
  <si>
    <t>https://muovitiekartta.fi/in-brief/</t>
  </si>
  <si>
    <t>EUR 1 million</t>
  </si>
  <si>
    <t>Strengthening the knowledge base on permitting of wind power projects</t>
  </si>
  <si>
    <t>EUR 3 million</t>
  </si>
  <si>
    <t>Advancing energy efficienct and nutrient recycling in water management</t>
  </si>
  <si>
    <t>https://www.vvy.fi/ajankohtaista/uutiset/ymparistoministerion-avustushaku/</t>
  </si>
  <si>
    <t>https://ym.fi/documents/1410903/33891761/kestava_elvytys_loppuraportti-2110.pdf/c8edf006-334f-ecd9-5364-9d55720823fe/kestava_elvytys_loppuraportti-2110.pdf?t=1603343569943</t>
  </si>
  <si>
    <t>Subsidies to support the conservation of the building heritage</t>
  </si>
  <si>
    <t>EUR0.8 million</t>
  </si>
  <si>
    <t>Budget authority increase to the Housing Finance and Development Centre of Finland (ARA)</t>
  </si>
  <si>
    <t>Budget authority to the Housing Finance and Development Centre of Finland (ARA) for 2020-2021 for government-supported rental housing production in areas not covered by the MAL-agreements.</t>
  </si>
  <si>
    <t>EUR 2 million</t>
  </si>
  <si>
    <t>EUR 340 million</t>
  </si>
  <si>
    <t>Budget authority to the Housing Finance and Development Centre of Finland (ARA) until the end of 2021 to increase subsidies to promote wood constructions in government-supported housing production and initiate wood construction in areas not covered by the MAL-agreements.</t>
  </si>
  <si>
    <t>EUR 8 million</t>
  </si>
  <si>
    <t xml:space="preserve">Business Finland programme to identify and fund leading companies that commit to increase R&amp;D&amp;I activities in Finland to find solutions to significant future challenges. </t>
  </si>
  <si>
    <t>EUR 12 million</t>
  </si>
  <si>
    <t>https://www.businessfinland.fi/kampanjasivut/veturiyrityksista-vipuvartta</t>
  </si>
  <si>
    <t>£1bn fund for public buildings, such as hospitals, schools, to improve energy efficiency.</t>
  </si>
  <si>
    <t xml:space="preserve">£73.5m of funding awarded through the APC (Advanced Propulsion Centre) Core Competition which supports R&amp;D targetted at strategically important parts of the vehicle value chain. </t>
  </si>
  <si>
    <t>GBP 73.5 million</t>
  </si>
  <si>
    <t xml:space="preserve">This consists of £400m Brownfield Fund and a £900 million Getting Building Fund. The latter is to deliver jobs, skills and infrastructure across the country. This investment is being targeted in areas facing the biggest economic challenges as a result of the pandemic. It is supporting the delivery of shovel-ready infrastructure projects, agreed with mayors and Local Enterprise Partnerships to boost economic growth, and fuel local recovery and jobs.  Link to the announcement may be found here https://www.gov.uk/guidance/getting-building-fund </t>
  </si>
  <si>
    <t>GBP 1.3 billion</t>
  </si>
  <si>
    <t>EUR 24.8 million</t>
  </si>
  <si>
    <t>EUR 20.75 million</t>
  </si>
  <si>
    <t>EUR 2.9 million</t>
  </si>
  <si>
    <t>EUR 700 million</t>
  </si>
  <si>
    <t>EUR 599999999</t>
  </si>
  <si>
    <t>Energy policy tracker</t>
  </si>
  <si>
    <t>Support for cargo and cruise ship companies. 
The funding is a direct reaction to the C19 crisis. The aim is to relieve the troubles that shipping companies are facing and to maintain the performance capacity in the sector.</t>
  </si>
  <si>
    <t>Innovation support for ship manufacturing industry</t>
  </si>
  <si>
    <t>Support for airports not part of Finavia network</t>
  </si>
  <si>
    <t xml:space="preserve">Support for manufacturing industries and the development of smart electricity grid (conditional support) </t>
  </si>
  <si>
    <t>Funding for energy demonstration projects.
The aim is to support investments and studies related to 1) production and use of renewable energy, 2) energy efficiency, or 3) other measures to promote the transition to a low-carbon energy system.</t>
  </si>
  <si>
    <t>State purchase of new Finnair shares. The aim is to support Finnair during covid-19.</t>
  </si>
  <si>
    <t>https://ec.europa.eu/commission/presscorner/detail/en/IP_20_1032 (31 August 2020)</t>
  </si>
  <si>
    <t>State guarantee on loan to Finnair. The aim is to secure the solvency of Finnair and support it during the exceptional circumstances due to covid-19.</t>
  </si>
  <si>
    <t>https://ec.europa.eu/commission/presscorner/detail/en/MEX_20_904 (31 August 2020)</t>
  </si>
  <si>
    <t>FIN20</t>
  </si>
  <si>
    <t>FIN21</t>
  </si>
  <si>
    <t>FIN22</t>
  </si>
  <si>
    <t>FIN23</t>
  </si>
  <si>
    <t>FIN24</t>
  </si>
  <si>
    <t>FIN25</t>
  </si>
  <si>
    <t>FIN26</t>
  </si>
  <si>
    <t>2 billion Euros</t>
  </si>
  <si>
    <t>https://isif.ie/pandemic-stabilisation-and-recovery-fund</t>
  </si>
  <si>
    <t>https://isif.ie/uploads/publications/PSRF-GUIDE-PUBLISHED.pdf</t>
  </si>
  <si>
    <t xml:space="preserve">Pandemic Stabilisation and Recovery Fund (PSRF) providing support medium and large enterprises in Ireland affected by Covid-19. •Enterprises must be able to demonstrate their business was commercially viable prior to the Covid-19 pandemic, and that they can return to viability and contribute to the Irish economy. All sectors will be considered subject to Irish Strategic Investment Fund (ISIF) Responsible Investment Policies.,ISIF's investment approach will be complementary to other Government policy initiatives via agencies such as SBCI and Enterprise Ireland.Ireland </t>
  </si>
  <si>
    <t>GBR8</t>
  </si>
  <si>
    <t>GBR13</t>
  </si>
  <si>
    <t>GBR32</t>
  </si>
  <si>
    <t>GBR45</t>
  </si>
  <si>
    <t>GBP 20 million</t>
  </si>
  <si>
    <t xml:space="preserve">£20 million in financial year 2020/21 under the On-street Residential Chargepoint Scheme to ensure more local authorities and residents can benefit from the scheme.  </t>
  </si>
  <si>
    <t>3.984 million</t>
  </si>
  <si>
    <t>Developing the first fully zero-emission city centre</t>
  </si>
  <si>
    <t xml:space="preserve">£3m for a clearing house programme to deliver early stage testing, funding and expert advice for new fuels. </t>
  </si>
  <si>
    <t>£3m for R&amp;D into the infrastructure upgrades required at UK airports to move to battery and hydrogen aircrafts.</t>
  </si>
  <si>
    <t>JPN</t>
    <phoneticPr fontId="12"/>
  </si>
  <si>
    <t>3 billion JPY</t>
    <phoneticPr fontId="12"/>
  </si>
  <si>
    <t>Support for the introduction of high-performance ventilation equipment to reduce the risk of large-scale infection</t>
    <phoneticPr fontId="12"/>
  </si>
  <si>
    <t>http://www.env.go.jp/guide/budget/r02/r0204-hos-gaiyo/full.pdf</t>
    <phoneticPr fontId="12"/>
  </si>
  <si>
    <t>The new coronavirus infection has rapidly deteriorated business conditions of restaurants and other establishments where an unspecified large number of people congregate. In response, we support the introduction of high-efficiency equipment, such as high-performance ventilation equipment, which has high ventilation capacity and contributes to reducing the amount of CO2 in buildings, to avoid creating an enclosed space for restaurants and other facilities used by an unspecified large number of people, thereby reducing the risk of the spread of infectious diseases, such as the new coronavirus, as well as reducing emissions from commercial facilities.</t>
    <phoneticPr fontId="12"/>
  </si>
  <si>
    <t>JPN9</t>
  </si>
  <si>
    <t>Promotion of integrated hazards assessment research</t>
    <phoneticPr fontId="12"/>
  </si>
  <si>
    <t>http://www.jamstec.go.jp/tougou/eng/research/theme_d.html</t>
    <phoneticPr fontId="12"/>
  </si>
  <si>
    <t xml:space="preserve"> COVID-19 outbreaks bring various changes in socioeconomic activities all over the world. Since Japan is predicted to see natural disasters more frequently due to climate change, it will be also important to make adaptation plans to natural disasters taking account of these changes. Under the Japan's climate model development program (TOUGOU), Japanese government promotes researches on how natural disasters will change over the next 100 years quantifying the probability of climate change impact on typhoons and flooding etc.These research studies are expected to contribute to better adaptations in Japan after the COVID-19 crisis.</t>
    <phoneticPr fontId="12"/>
  </si>
  <si>
    <t>JPN10</t>
  </si>
  <si>
    <t>unquantified</t>
    <phoneticPr fontId="12"/>
  </si>
  <si>
    <t>Attracting customers to national parks and promoting 'workations' in National Parks and hot springs.</t>
  </si>
  <si>
    <t>https://www5.cao.go.jp/keizai1/keizaitaisaku/2020/20200420_economic_measures_all.pdf</t>
  </si>
  <si>
    <t>"Workations", a portmanteau of "work" and "vacation", are trips that enable both telework and tourism. Since the COVID-19 outbreak, campgrounds have become popular as recreational spaces that allow for social distancing. At the same time, inns in hot spring areas have also become increasingly viable as workation options, leading to a greater momentum for the trend. Japan is planning to further promote workations in National Parks and hot springs through providing infrastructural support (Wi-Fi availability), promoting workation tours. This project aims to maintain and secure employment for businesses involved, increase the number of travelers through attractive tours, and revitalize the local economy by preparing tours and other activities with an eye to the post-concussive phase.</t>
  </si>
  <si>
    <t>JPN11</t>
  </si>
  <si>
    <t>Loans for housing during the next 9 months. Potentially could cause people moving further out of places that are better connected by publict transport and that imply shorter trip to destinations. This as in general population could more easily afford to rent in more central areas but can only afford housing located in outskirts. ther is no information on the eligibility of population, and also no links/ conditionality to more sustainable housing.</t>
  </si>
  <si>
    <t>Aviation support package w/o environmental conditioanlity</t>
  </si>
  <si>
    <t>ZAF9</t>
  </si>
  <si>
    <t>R6.75 billion</t>
  </si>
  <si>
    <t>Improved public transport network infrastructure and services that function optimally and are accessible, safe, convenient, affordable,well managed and maintained</t>
  </si>
  <si>
    <t>This list describes the column headings in the main "Measures" sheet</t>
  </si>
  <si>
    <t>Column letter</t>
  </si>
  <si>
    <t>Column heading</t>
  </si>
  <si>
    <t>Description</t>
  </si>
  <si>
    <t>A</t>
  </si>
  <si>
    <t>Unique identifier per line</t>
  </si>
  <si>
    <t>B</t>
  </si>
  <si>
    <t>3-letter country code</t>
  </si>
  <si>
    <t>C</t>
  </si>
  <si>
    <t>Categorisatioin of policy type</t>
  </si>
  <si>
    <t>D</t>
  </si>
  <si>
    <t>Economy-wide, sectoral, sub-national etc</t>
  </si>
  <si>
    <t>E</t>
  </si>
  <si>
    <t>Which sector(s) covered</t>
  </si>
  <si>
    <t>F</t>
  </si>
  <si>
    <t>Total value of funding announced (if applicable)</t>
  </si>
  <si>
    <t>G</t>
  </si>
  <si>
    <t>Relevant to infrastructure or not</t>
  </si>
  <si>
    <t>H</t>
  </si>
  <si>
    <t>Up to three environmental dimensions potentially affected by the measure (positively or negatively)</t>
  </si>
  <si>
    <t>I</t>
  </si>
  <si>
    <t>J</t>
  </si>
  <si>
    <t>K</t>
  </si>
  <si>
    <t>Description of measure</t>
  </si>
  <si>
    <t>L</t>
  </si>
  <si>
    <t>Source</t>
  </si>
  <si>
    <t>Online source for data</t>
  </si>
  <si>
    <t>M</t>
  </si>
  <si>
    <t>N</t>
  </si>
  <si>
    <t>O</t>
  </si>
  <si>
    <t>Date that the entry was last updated</t>
  </si>
  <si>
    <t>P</t>
  </si>
  <si>
    <t>Currency conversion fields</t>
  </si>
  <si>
    <t>Q</t>
  </si>
  <si>
    <t>Original value (million)</t>
  </si>
  <si>
    <t>R</t>
  </si>
  <si>
    <t>ZAF10</t>
  </si>
  <si>
    <t>Phase out the sale of new petrol and diesel cars by 2030. All new cars and vans to have significant zero emission capability
(e.g. plug-in and full hybrids) from 2030 and be 100% zero emissions from 2035.</t>
  </si>
  <si>
    <t>Up to £170 million for a research and development programme on Advanced Modular Reactors. These reactors could operate at over 800°C and the high-grade heat could unlock efficient production of hydrogen and synthetic fuels</t>
  </si>
  <si>
    <t xml:space="preserve">https://www.gov.pl/web/tarczaantykryzysowa/nowe-terminy </t>
  </si>
  <si>
    <t>https://dziennikustaw.gov.pl/D2020000069501.pdf
https://wyborcza.pl/7,155287,25821533,sa-juz-gotowe-projekty-ustaw-o-pomocy-pracownikom-i-firmom.html</t>
  </si>
  <si>
    <t xml:space="preserve">Consider verification of impact as not related to long term consequences </t>
  </si>
  <si>
    <t>POL11</t>
  </si>
  <si>
    <t>POL2</t>
  </si>
  <si>
    <t>POL3</t>
  </si>
  <si>
    <t>POL4</t>
  </si>
  <si>
    <t>POL5</t>
  </si>
  <si>
    <t>POL6</t>
  </si>
  <si>
    <t>POL7</t>
  </si>
  <si>
    <t>POL8</t>
  </si>
  <si>
    <t>POL9</t>
  </si>
  <si>
    <t>POL10</t>
  </si>
  <si>
    <t>POL12</t>
  </si>
  <si>
    <t>POL13</t>
  </si>
  <si>
    <t>Country submission</t>
  </si>
  <si>
    <t>https://www.rockefellerfoundation.org/report/city-resilience-framework/</t>
  </si>
  <si>
    <t>Early stage of the project - no information published</t>
  </si>
  <si>
    <t>PLN 2.2 million (2 yr)</t>
  </si>
  <si>
    <t>www.ekodotacje.ios.edu.pl</t>
  </si>
  <si>
    <t>PLN 2 million</t>
  </si>
  <si>
    <t>POL14</t>
  </si>
  <si>
    <t>POL15</t>
  </si>
  <si>
    <t>POL16</t>
  </si>
  <si>
    <t>POL17</t>
  </si>
  <si>
    <t>POL19</t>
  </si>
  <si>
    <t>POL20</t>
  </si>
  <si>
    <t>POL21</t>
  </si>
  <si>
    <t>POL22</t>
  </si>
  <si>
    <t>POL25</t>
  </si>
  <si>
    <t>PLN 3.6 million</t>
  </si>
  <si>
    <t xml:space="preserve">Resilient City - a series of workshops and webinars for local governments and city residents.                                                                                                                                                 The main goal of open webinaras is to build  the awareness of  climate change and its consequences for cities. The meetings  lead by experts, enriched with visually attractive material showing good practices on the discussed topics will present how to shape city resilience to climate change. The workshops for local governments will be an overview of contemporary trends in urban action in the context of  pandemic. Participants will use the potential of the ongoing change to build climate resilient cities. The workshops will relate  to open webinars and previously discussed issues as : circular economy, 15 minute city, placemaking, green city, smart city,  sustainable mobility. </t>
  </si>
  <si>
    <t>https://unfccc.int/topics/education-and-outreach/resources/ace-guidelines</t>
  </si>
  <si>
    <t>PLN 0.5 million</t>
  </si>
  <si>
    <t xml:space="preserve">Action for Climate Empowerment methodology in creating resilent cities. Pilot project. The project aims to support local governments in the implementation of the citiy resilience to climate change strategy  by using the methodology defined by the United Nations Framework Convention on Climate Change (UNFCCC) as Action for Climate Empowerment (ACE). This methodology assumes the involvement of  all members of society to engage in climate action, through education, training, public awareness, public participation, public access to information, and international cooperation.The pilot project will follow this assumption, and the developed model will be ready for implementation in all local government units in Poland.
</t>
  </si>
  <si>
    <t>PLN 304 million</t>
  </si>
  <si>
    <t>Aim of Deep Retrofit Accelerator is to initiate the process of modernisation of Polands built stock, by showing that increasing of the energy efficiency by 75% is technically doable. Poland has about 14million buildings which, mainly from heating, emits 1/3 of countrys GHG emissions. In order to cut it to net zero, new technologies, new skills and methodologies must be introduced, together with new educational methods - the DeRA project cover all of the above and aims to scale it up. National Centre for Climate Change will run demonstration of deep retrofit at 50buildings and present its findings on maximal levels of energy efficiency to wider public.</t>
  </si>
  <si>
    <t>PLN 1.5 million</t>
  </si>
  <si>
    <t>The aim of Sires Project - Silesian Renevable Energy Sources Living Lab is to create a living lab dealing with innovative technologies, tools, methodologies in relation to RES production, energy storage and efficient energy use to minimise energy production from coal in Poland and supporting just transition process of specific industries and regions. Managed by Polish Academy of Sciences and National Centre for Climate Change. It aims toward both adaptation and mitigation measures.</t>
  </si>
  <si>
    <t>Support scheme package launched by the NFEP&amp;WM to facilitate investment in energy transition (launched in spring 2020)</t>
  </si>
  <si>
    <t>New Law for Offshore Wind Farm</t>
  </si>
  <si>
    <t>Polish Nuclear Power Programme envisages construction of 6 nuclear power units by 2043. It aims to reinforce the energy security and to contribute to climate protection by replacing ageing fleet of high-emission baseload coal units with dispatchable and scalable zero-emission units. It is envisaged that it will reduce dramatically the emissions of greenhouse gases into the atmosphere from the energy sector. The execution of the programme will bring benefits for the economy:  lack of high costs of purchase
of CO2 emission allowances, lack of high fuel costs.</t>
  </si>
  <si>
    <t>www.nfosigw.gov.pl</t>
  </si>
  <si>
    <t>https://www.gov.pl/web/klimat/ustawa-offshore-przyjeta-przez-senat</t>
  </si>
  <si>
    <t>https://www.gov.pl/web/fundusze-regiony/konkurs-dotacji-w-ramach-partnerskiej-inicjatywy-miast-dla-sieci-pilotazowych-w-latach-2017--2019</t>
  </si>
  <si>
    <t>PLN 1 million</t>
  </si>
  <si>
    <t xml:space="preserve">Support for cities (gathered in Partnership Iniciative for Cities - Pilotage Programme of Ministry of Development Funds and Regional Policy) determined in prioritising support for public transport, investments and initiatives for improving air quality, clean energy and investments based on natural solutions   </t>
  </si>
  <si>
    <t>Regulation of the Council of Ministries on the maximum amount and value of energy from renewable energy sources that can be sold at auctions in 2021 r.</t>
  </si>
  <si>
    <t>https://www.cire.pl/item,209269,1,0,0,0,0,0,rzad-przyjal-rozporzadzenie-w-sprawie-przyszlorocznych-aukcji-oze-.html</t>
  </si>
  <si>
    <t>https://isap.sejm.gov.pl/isap.nsf/DocDetails.xsp?id=WDU20200002363</t>
  </si>
  <si>
    <t>Ministry of Climate and Environment</t>
  </si>
  <si>
    <t>https://www.gov.pl/web/klimat/program-polskiej-energetyki-jadrowej1</t>
  </si>
  <si>
    <t>EUR 1.77 billion</t>
  </si>
  <si>
    <t>Changed from Neg. to Positive</t>
  </si>
  <si>
    <t>PL 2633/2020 aims at the legalization of public land which will allow for better law enforcement of the Forest Code and other environmental protective measures. The proposal clearly forbids legal land tenure of tenants using practices such as slavery-related labor and irregular deforestation. It fosters the use of satellite images to assess the evolution of land use, regular land tenure by traditional population groups - such as quilombolas - and surveillance of land under suspicion of irregular use and deforestation</t>
  </si>
  <si>
    <t>https://www.camara.leg.br/noticias/674316-camara-aprova-texto-base-de-mp-sobre-remarcacao-de-passagens-aereas
http://www.planalto.gov.br/ccivil_03/_ato2019-2022/2020/lei/L14034.htm</t>
  </si>
  <si>
    <t xml:space="preserve">The MP was converted into Law n. 14.034/2020. It mainly regulates air companies’s obligations towards passangers regarding refunds in case of cancelation of flights. It also allows the use of the National Civil Aviation Fund (FNAC) for loans and loan guarantees. </t>
  </si>
  <si>
    <t>Changed from Neg. to Indeterminate</t>
  </si>
  <si>
    <t>https://agenciadenoticias.bndes.gov.br/detalhe/noticia/Fundo-para-eficiencia-energetica-do-BNDES-recebera-aporte-de-R$-30-milhoes-do-Procel/</t>
  </si>
  <si>
    <t>https://www.gov.br/anp/pt-br/canais_atendimento/imprensa/noticias-comunicados/reducao-de-royalties-para-empresas-de-pequeno-e-medio-portes-e-tema-de-workshop-1</t>
  </si>
  <si>
    <t>Changed from Neg. to Mixed</t>
  </si>
  <si>
    <t>https://www.gov.br/casacivil/pt-br/assuntos/noticias/2020/junho/mais-luz-para-a-amazonia-manual-de-operacionalizacao-do-programa-e-aprovado</t>
  </si>
  <si>
    <t xml:space="preserve">https://web.archive.org/web/20200713014452/, http://www.mme.gov.br/web/guest/todas-as-noticias/-/asset_publisher/pdAS9IcdBICN/content/diretrizes-para-desinvestimentos-no-setor-de-refino-brasileiro? </t>
  </si>
  <si>
    <t>https://web.archive.org/web/20200713014452/
http://www.mme.gov.br/web/guest/todas-as-noticias/-/asset_publisher/pdAS9IcdBICN/content/diretrizes-para-desinvestimentos-no-setor-de-refino-brasileiro
http://www.mme.gov.br/web/guest/todas-as-noticias/-/asset_publisher/pdAS9IcdBICN/content/diretrizes-para-desinvestimentos-no-setor-de-refino-brasileiro?inheritRedirect=false&amp;redirect=
http://antigo.mme.gov.br/web/guest/todas-as-noticias/-/asset_publisher/pdAS9IcdBICN/content/cade-e-petrobras-celebram-acordo-para-venda-de-refinarias-de-petrol-1/pop_up?_101_INSTANCE_pdAS9IcdBICN_viewMode=print&amp;_101_INSTANCE_pdAS9IcdBICN_languageId=pt_BR</t>
  </si>
  <si>
    <t xml:space="preserve">EUR 9 500 000 </t>
  </si>
  <si>
    <t>EST9</t>
  </si>
  <si>
    <t>Temporary (01.05.20-30.04.22) reduction of rates of excise duty of liquid fuels and electricity in order to mitigate the impact of the COVID crises</t>
  </si>
  <si>
    <t>https://www.emta.ee/et/ariklient/aktsiisid-vara-hasartmang/kutus-ja-elektrienergia/aktsiisimaarade-ajutine-vahendamine</t>
  </si>
  <si>
    <t>https://www.emta.ee/eng/business-client/excise-duties-assets-gambling/about-excise-duties/rates-excise-duty#liquid-fuels-and-electricity</t>
  </si>
  <si>
    <t>BEL8</t>
  </si>
  <si>
    <t>EUR 191 million</t>
  </si>
  <si>
    <t>EUR 23 millions</t>
  </si>
  <si>
    <t>EUR 203 millions</t>
  </si>
  <si>
    <t>Increase of the investment deduction percentage to 25% for investments made between 12/03/2020 and 31/12/2022</t>
  </si>
  <si>
    <t>Loi-programme du 20/12/2020 
https://finances.belgium.be/fr/loi-programme/augmentation-deduction-investissement</t>
  </si>
  <si>
    <t>BEL9</t>
  </si>
  <si>
    <t>BEL10</t>
  </si>
  <si>
    <t>BEL11</t>
  </si>
  <si>
    <t>BEL12</t>
  </si>
  <si>
    <t>BEL13</t>
  </si>
  <si>
    <t>EUR 40 millions</t>
  </si>
  <si>
    <t>EUR 30 millions</t>
  </si>
  <si>
    <t>EUR 1.95 millions</t>
  </si>
  <si>
    <t>EUR 10 millions</t>
  </si>
  <si>
    <t>EUR 15 millions</t>
  </si>
  <si>
    <t>Digital mapping of material flows in Flanders</t>
  </si>
  <si>
    <t>1.95</t>
  </si>
  <si>
    <t>Asbestos removal policy in Flanders (subsidies for removal &amp; treatment)</t>
  </si>
  <si>
    <t>Development of Flanders as a recycling hub (Investment subsidy)</t>
  </si>
  <si>
    <t>Circular construction in Flanders (Subsidies for R&amp;D, innovation, pilots, demos living labs)</t>
  </si>
  <si>
    <t>Circular manufacturing in Flanders (Subsidies for R&amp;D, innovation, pilots, demos living labs)</t>
  </si>
  <si>
    <t>GRC22</t>
  </si>
  <si>
    <t>GRC23</t>
  </si>
  <si>
    <t>63.5 mil EUR</t>
  </si>
  <si>
    <t>http://www.opengov.gr/minfin/wp-content/uploads/downloads/2020/11/Greece-RRP-EN-1.pdf</t>
  </si>
  <si>
    <t xml:space="preserve">The project is part of the draft National Recovery and Resilience Plan. </t>
  </si>
  <si>
    <t xml:space="preserve">This project is in the context of the overall project of the interconnection of non-connected islands to the mainland's grid, which is part of the National Energy and Climate Plan , as well as part of the draft National Recovery and Resilience Plan. </t>
  </si>
  <si>
    <t>EUR 690 million</t>
  </si>
  <si>
    <t>EUR 150 million</t>
  </si>
  <si>
    <t>Technically not a government subsidy, paid for by companies</t>
  </si>
  <si>
    <t xml:space="preserve">Extension of the ADVENIR programme, which allows the financing of vehicle charging infrastructure in company car parks and apartment buildings using energy savings certificates. </t>
  </si>
  <si>
    <t>EUR 5 bn</t>
  </si>
  <si>
    <t>EUR 7 bn</t>
  </si>
  <si>
    <t>EUR 60 million</t>
  </si>
  <si>
    <t>Develop daily mobility. Includes 200M for bike lanes that is part of 'plan velo".</t>
  </si>
  <si>
    <t>Develop low-carbon hydrogen</t>
  </si>
  <si>
    <t>https://www.gouvernement.fr/sites/default/files/contenu/piece-jointe/2020/09/fiches_intro_thematiques_pia_4.pdf</t>
  </si>
  <si>
    <t>Changed from indeterminate to Positive</t>
  </si>
  <si>
    <t>JPN12</t>
  </si>
  <si>
    <t>JPN13</t>
  </si>
  <si>
    <t>JPN14</t>
  </si>
  <si>
    <t>Assessment Report on Climate Change Impact including infectious disiease and regular review of adaptation planning</t>
    <phoneticPr fontId="11"/>
  </si>
  <si>
    <t>Promoting the Satoyama initiative for the conservation and sustainable use of local natural resources, while also practicing "local production for local consumption" and building communities.</t>
    <phoneticPr fontId="11"/>
  </si>
  <si>
    <t>Promoting ESG finance including "impact finance" for sustainable post COVID-19 world</t>
  </si>
  <si>
    <t>https://www.env.go.jp/en/earth/cc/adaptation.html</t>
    <phoneticPr fontId="11"/>
  </si>
  <si>
    <t>https://satoyama-initiative.org/</t>
  </si>
  <si>
    <r>
      <t xml:space="preserve">Based on the Climate Change Adaptation Act,  Japan publishes Assessment Report on Climate Change Impact, including infectious diseases, approximately every five years. It becomes  basic information for regular reviewing of adaptation planning by national and local governments.  In addition, it provides information on climate change impacts through the information platforms called A-PLAT (domestic) and AP-PLAT (Asia-Pacific) for the purpose of promoting studies on climate change impacts and activities that apply the scientific knowledge. </t>
    </r>
    <r>
      <rPr>
        <sz val="10"/>
        <color rgb="FFFF0000"/>
        <rFont val="Arial"/>
        <family val="2"/>
      </rPr>
      <t>The first report based on the Act was published on December 2020</t>
    </r>
    <r>
      <rPr>
        <sz val="10"/>
        <color theme="1"/>
        <rFont val="Arial"/>
        <family val="2"/>
      </rPr>
      <t>.</t>
    </r>
  </si>
  <si>
    <t>Actively promote “impact finance”, a developed form of ESG finance and the axis for creating the post-COVID-19 society, for the future that contributes to “Sustainability” improvement as well as promoting cooperation with regional financial institutions for the creation of the sustainable and decentralized society in the post-COVID-19 world.</t>
    <phoneticPr fontId="11"/>
  </si>
  <si>
    <t>Aiming toward realizing "societies in harmony with nature" similar to the 2050 Biodiversity Vision of "living in harmony with nature", the Satoyama Initiative promotes the conservation and sustainable use of local natural resources, while also practicing "local production for local consumption" and building communities. Experiences from implementing the Satoyama Initiative are clearly the first potential step toward designing a new society post-COVID-19. The idea of "local production for local consumption" is based on building 'face-to-face relationships' between producers and consumers, and reevaluating relationships with communities in which we live or to which we have close ties. This is done in practice through the Satoyama Initiative.
The practice of "local production for local consumption" will allow people living in the region to rethink their habits and the underlying environment and nurture environmental values. This buildup of value will lead to productive and strong local communities. Furthermore, strong local communities contribute not only to biodiversity conservation, but also various other priorities such as disaster risk reduction. For example, as the climate crisis intensify disasters, it is necessary to build societies that are resilient -- societies that can repair the damage caused and swiftly recover. To do so, strong community ties among residents built over day-to-day life are indispensable, in addition to employing nature-based solutions. To redesign socioeconomic systems through COVID-19 recovery, the three transitions of decarbonization, circular economy, and decentralization are critical. To realize these transitions, independent, productive, and strong communities will clearly have important roles to play.</t>
  </si>
  <si>
    <t>https://www.demarest.com.br/wp-content/uploads/2020/06/Boletim-Energia-Junho-2020-Demarest-Advogados_.pdf</t>
  </si>
  <si>
    <t>Indeterminate to Positive</t>
  </si>
  <si>
    <t xml:space="preserve">https://www.iea.org/reports/sustainable-recovery/a-sustainable-recovery-plan-for-the-energy-sector </t>
  </si>
  <si>
    <t>Negative to Indeterminate</t>
  </si>
  <si>
    <t>Country comments/
Revisions</t>
  </si>
  <si>
    <t>Investment in 6 windmill parks with 76 generators with a total capacity of 319.2MW, enough to supply up to 800,000 residencies in the region.</t>
  </si>
  <si>
    <t>Investments to improve the operation efficiency in general, including modernization of equipment and transmission lines, aiming to reduce the operational of energy in at least 30% in the affected areas</t>
  </si>
  <si>
    <t>Financing for the construction of 12 windmill parks on a total of 370.8 MW sufficient for 840 thousand residences.</t>
  </si>
  <si>
    <t>Financing for the construction of windmill parks on a total of 508 MW and further expansion plans.</t>
  </si>
  <si>
    <t>Mixed to positive</t>
  </si>
  <si>
    <t>eb.archive.org/web/20200701115203/; http://www.mme.gov.br/web/guest/todas-as-noticias/-/asset_publisher/pdAS9IcdBICN/content/73-leilao-de-biodiesel-negocia-1-19-bilhao-de-litros?inheritRedirect=false&amp;redirect=</t>
  </si>
  <si>
    <t>Negative to positive</t>
  </si>
  <si>
    <t>https://web.archive.org/save/, http://www.planalto.gov.br/ccivil_03/_ato2019-2022/2020/Mpv/mpv950.htm; https://www.camara.leg.br/noticias/652787-MEDIDA-PROVISORIA-ISENTA-CONSUMIDOR-DE-BAIXA-RENDA-DE-PAGAR-CONTA-DE-LUZ</t>
  </si>
  <si>
    <t>https://www.in.gov.br/en/web/dou/-/decreto-n-10.387-de-5-de-junho-de-2020-260391759; https://www.tauilchequer.com.br/en/perspectives-events/publications/2020/06/decreto-n-1038720</t>
  </si>
  <si>
    <t>BRA36</t>
  </si>
  <si>
    <t>BRA37</t>
  </si>
  <si>
    <t>BRA38</t>
  </si>
  <si>
    <t>BRA39</t>
  </si>
  <si>
    <t>BRA40</t>
  </si>
  <si>
    <t>BRA41</t>
  </si>
  <si>
    <t>BRA42</t>
  </si>
  <si>
    <t>BRA43</t>
  </si>
  <si>
    <t>Law No. 14.026/2020, also called as Brazil’s New Sanitation Legal Framework. This measure regulates the investment on water treatment and sewage systems, making it possible to enhance investments in clean water and sewage facilities in order to achieve 100% coverage in the country by 2033 (today 50%).</t>
  </si>
  <si>
    <t>Dec. Law n. 10.623/2021, called Adopt a Park Programme to fosters investment by the private sector in public conservation units</t>
  </si>
  <si>
    <t>Improve energy efficiency of old buildings by renovation, as to lower their energy needs, and by the change of the heating system away from oil and gas to renewable sources.</t>
  </si>
  <si>
    <t xml:space="preserve">EUR 260 million </t>
  </si>
  <si>
    <t>Investment in renewable energy generation expansion. Funding for 100 million roofs covered with solar panels (to further enhance progress towards 100% renewable energy generation by 2030)</t>
  </si>
  <si>
    <t xml:space="preserve">Funding for repairs; very vaguely phrased for now, but broadly in support of a circular economy model;This measure supports services and corresponding employment. The aim is to create incentives to have appliances repaired rather than thrown away and to stimulate companies in the repair sector through a reduced VAT rate; only small repairs are concerned; </t>
  </si>
  <si>
    <t>Funding for climate action for municipalities; the 200 million are used to co-finance (50%) local climate action projects, 20% of the investment volume should flow into NbS</t>
  </si>
  <si>
    <t>https://www.bmk.gv.at/service/presse/gewessler/20200731_gemeindepaket.html</t>
  </si>
  <si>
    <t>Projects supported: renovation, energy efficiency measures, climate-friendly local infrastructure, etc…</t>
  </si>
  <si>
    <t>Investment premium/grant of 14% that can be obtained for climate friendly investments by companies; this includes digitalisation, investments in health, investments in nature/ecosystems; energy efficiency, renewable energies. Out of a total sum of 3 bn € of grants,  750 Mio. € are specifically used for climate-friendly green investments.</t>
  </si>
  <si>
    <t>Forest Fund aimed at funding research projects that help enhance climate adaptation of forests; this includes measures to protect and enhance biodviersity, increase the natural forest protected areas, etc…</t>
  </si>
  <si>
    <t>this refers in particular to the programme “Raus aus Öl” – Beyond oil; already in operation for several years, but with significantly higher budget as part of the green recovery</t>
  </si>
  <si>
    <t>Floresta+ Program aims to regulate payments for environmental services and the conservation of native forests.</t>
  </si>
  <si>
    <t>https://www.gov.br/mma/pt-br/noticias/mma-institui-programa-floresta-para-remunerar-quem-protege-a-mata-nativa</t>
  </si>
  <si>
    <t>Approval on the modifications of the law number 12,344/2010 on the national policy for the safety on dams. This measure focusses on more environmental and social protection by prioritization of resources in recovery degraded areas by environmental disasters. It increases business responsibility in order to assure urgency and preventing measures as well as obligations to repair damages. (Law n. 14.066/2020)</t>
  </si>
  <si>
    <t xml:space="preserve">http://www.planalto.gov.br/ccivil_03/_Ato2019-2022/2020/Lei/L14066.htm#art2 
https://www12.senado.leg.br/noticias/materias/2020/10/01/brasil-tem-nova-lei-de-seguranca-de-barragens
</t>
  </si>
  <si>
    <t xml:space="preserve">Approval of the law number 14,119/2021 on payment for environmental services. This measure creates economic incentives and market instruments to mitigate climate change, conserve biodiversity, protect the Environment and increase local water quality. It focuses on supporting landowners to comply with environmental regulations which helps them to adopt sustainable practices. </t>
  </si>
  <si>
    <t>https://www.camara.leg.br/noticias/721368-sancionada-lei-de-pagamento-por-servicos-ambientais/#:~:text=O%20presidente%20Jair%20Bolsonaro%20sancionou,em%20troca%20do%20bem%20preservado.</t>
  </si>
  <si>
    <t>Priority Project in the National Congress about the legal framework for gas, on the Law Project number 4476/2020 known as “Gas Law” aiming to help push forward a green recovery, create new jobs, support energy supply across the country, providing secure, affordable, and lower-carbon energy and products.</t>
  </si>
  <si>
    <t>https://www.euractiv.com/section/energy-environment/news/eu-does-not-exclude-funding-gas-highways-under-green-recovery-plan/</t>
  </si>
  <si>
    <t>The grants and loans provided to EU countries under the bloc’s €750 billion recovery plan will not automatically exclude funding for gas infrastructure or highways, as long as these are part of a coherent national decarbonization strategy with clear milestones, EU officials have said</t>
  </si>
  <si>
    <t>Priority project in the National Congress, on infrastructure debentures to attract financing to projects, discussed in Law Project number 2,646 / 2020. Law Project number 2,646 / 2020 expands the list of infrastructure projects that can be classified as priorities, in addition to including partnership contracts subject to extension or re-bidding. The expansion and modernization of the infrastructure reduces negative externalities to the environment. The measure attracts investments in projects aimed at sustainable development, with tax benefits for application in sustainable projects, with direct impacts on the environment and regional development.</t>
  </si>
  <si>
    <t xml:space="preserve">https://www.gov.br/casacivil/pt-br/assuntos/noticias/2020/junho/debentures-verdes-governo-federal-publica-decreto-que-incentiva-projetos-de-infraestrutura-ambientalmente-sustentaveis
https://congressoemfoco.uol.com.br/opiniao/forum/debentures-de-infraestrutura-e-crescimento-economico/
</t>
  </si>
  <si>
    <t>BRA45</t>
  </si>
  <si>
    <t>BRA46</t>
  </si>
  <si>
    <t>BRA47</t>
  </si>
  <si>
    <t>Priority project in the National Congress, on incentives to cabotage navigation, discussed in Law Project no. 4,199 / 2020. Maritime transport is comparatively more efficient and less costly than the road or rail modal. In addition, it provides greater security for the users, reduces the volume of traffic congestions and accidents (less human and animal victims). Cabotage transport has lower fuel consumption and emission of pollutants as well as it generates less environmental impact</t>
  </si>
  <si>
    <t xml:space="preserve">https://www.gov.br/infraestrutura/pt-br/brdomar
https://www.marinha.mil.br/economia-azul/noticias/br-do-mar-como-e-o-projeto-do-governo-para-aumentar-o-transporte-entre-os-portos
</t>
  </si>
  <si>
    <t>Priority project in the National Congress, on advances for environmental licensing, discussed in Law Project no. 3729/2004. Predictability, legal assurance for investments, management of environmental and social risks and new instruments for environmental assessment</t>
  </si>
  <si>
    <t>Priority project in the National Congress, on the toll-free system, discussed in Complementary Law Project no. 8/2013. Reduces negative externalities to the environment due to the reduction of traffic jams and travel times, with direct impacts on the reduction of pollution and the quality of the urban environment</t>
  </si>
  <si>
    <t>https://www25.senado.leg.br/web/atividade/materias/-/materia/111929</t>
  </si>
  <si>
    <t>Edition of Decree no. 10,531 / 2020, on the Federal Development Strategy for Brazil from 2020 to 2031. Brazil has adopted an institutional long-term plan for economic recovery with specific commitments towards a resilient and low-carbon economy.</t>
  </si>
  <si>
    <t>https://www.gov.br/casacivil/pt-br/assuntos/noticias/2020/outubro/decreto-institui-a-estrategia-federal-de-desenvolvimento-para-o-brasil-ate-2031</t>
  </si>
  <si>
    <t>https://www25.senado.leg.br/web/atividade/materias/-/materia/126049</t>
  </si>
  <si>
    <t>Priority project in the National Congress, on the modernization of the electric sector, discussed in Senate Law Project no. 232/2016. Incentives to develop new sources of clean energy and improve efficiency on the grid.</t>
  </si>
  <si>
    <t>https://www.camara.leg.br/proposicoesWeb/fichadetramitacao?idProposicao=257161#:~:text=PL%203729%2F2004%20Inteiro%20teor&amp;text=Disp%C3%B5e%20sobre%20o%20licenciamento%20ambiental,Federal%2C%20e%20d%C3%A1%20outras%20provid%C3%AAncias.</t>
  </si>
  <si>
    <t>R1.983 billion</t>
  </si>
  <si>
    <t>Create 50,311 new opportunities in environmental programmes and 14,000 new opportunities in community forestry</t>
  </si>
  <si>
    <t xml:space="preserve">Employment Stimulus programme (quoted in Cambridge Econometric, Modelling an inclusive Green Econoomy COVID19 Recovery Programme for SA </t>
  </si>
  <si>
    <t>IMPLEMENTATION PLAN FOR THE SOUTH AFRICAN ECONOMIC RECONSTRUCTION AND RECOVERY PLAN (ERRP)</t>
  </si>
  <si>
    <t>ZAF11</t>
  </si>
  <si>
    <t>Deferral of carbon tax payments (3-month) for filing and first payment of carbon tax liabilities. The filing and payment date will be delayed to 31 October 2020, providing cash flow relief of close to ZAR2 billion.</t>
  </si>
  <si>
    <t>R 2 billion</t>
  </si>
  <si>
    <t>Global Recovery Observatory</t>
  </si>
  <si>
    <t>ZAF12</t>
  </si>
  <si>
    <t>R26 bln</t>
  </si>
  <si>
    <t>Bailout of coal-fired power utility (Eskom) which generates almost all electricity in ZAF (On the top of annual R 23 bln for the next 3 years that had been committed before the pandemic)</t>
  </si>
  <si>
    <t>Delivery of water tanks to areas in the Eastern Cape affected by drought. Additional funds to be committed later.</t>
  </si>
  <si>
    <t>ZAF13</t>
  </si>
  <si>
    <t>ZAF14</t>
  </si>
  <si>
    <t xml:space="preserve">Social housing spending to provide affordable rental housing financed through Social Housing Re gulation Authority </t>
  </si>
  <si>
    <t xml:space="preserve">http://www.treasury.gov.za/comm_media/press/2020/20200423%20Media%20statement%20-%20Further%20tax%20measures%20to%20combat%20COVID-19.pdf ; </t>
  </si>
  <si>
    <t>http://www.treasury.gov.za/documents/national%20budget/2020S/review/FullSBR.pdf</t>
  </si>
  <si>
    <t>http://www.treasury.gov.za/documents/National%20Budget/2020/review/FullBR.pdf</t>
  </si>
  <si>
    <t>https://www.gov.za/speeches/update-drought-interventions-eastern-cape-28-sep-2020-0000</t>
  </si>
  <si>
    <t>ZAF15</t>
  </si>
  <si>
    <t>https://www.environment.gov.za/speech/sotyu_onlinesustainabilitysummit2020</t>
  </si>
  <si>
    <t>Installation of a bespoke solar carport by Ford SA at its assembly plant in Silverton, Tshwane.This 13,5 MW, 31 000 PV panel, solution will be one of the largest solar carports in the world and will create over 5000 new jobs</t>
  </si>
  <si>
    <t>ZAF16</t>
  </si>
  <si>
    <t>Construction of Kangnas Wind Farm (Springbok -Northern Cape) as part of government’s Renewable Energy Independent Power Producer Procurement Programme (REI4P). The project will generate enough clean energy to satisfy the needs of 154 625 average South African households,513 GWh of renewable energy each year, during its 20-year operations period.Kangnas Wind Farm, most recently, provided support to the local healthcare centre in Springbok through the provision of Oxygen machines and other equipment to assist with COVID-19 relief</t>
  </si>
  <si>
    <t>Reduce current timeframes for mining, prospecting, water and environmental licenses by 50%</t>
  </si>
  <si>
    <t>Government of SA, Highlights of the RRP</t>
  </si>
  <si>
    <t>Changed back to neg</t>
  </si>
  <si>
    <t>Changed back to indeterm</t>
  </si>
  <si>
    <t>Changed to mixed</t>
  </si>
  <si>
    <t>changed back to mixed (all biofuels are mixed)</t>
  </si>
  <si>
    <t>chanted to indeterminate</t>
  </si>
  <si>
    <t>Mixed because general infra</t>
  </si>
  <si>
    <t>Mixed because of gas focus</t>
  </si>
  <si>
    <t>Mixed because of increased travel</t>
  </si>
  <si>
    <t>CHN30</t>
  </si>
  <si>
    <t>New coal mine, the Cocoa Coal Mine Project within the northern area of ​​Shaanxi Yuheng mining area approved by NDRC</t>
  </si>
  <si>
    <t>https://www.ndrc.gov.cn/xxgk/zcfb/tz/202103/t20210304_1268929.html</t>
  </si>
  <si>
    <t xml:space="preserve">• On 14 July 2020, Korea’s President Moon Jae-in revealed a plan to commit KRW 160 trillion (USD 133 billion) to a “K-New Deal”, that has new main pillars: the Digital New Deal and Green New Deal. The plan is one of President Moon’s biggest economic initiatives since coming to power in 2017.
• The Korean New Deal will involve a direct investment of KRW 114 trillion from the national treasury by 2025, which with funding from the private sector and local governments will rise to around KRW 160 trillion. Korea commits USD 60.9 billion (KRW 73.4 trillion / EUR 53.4 billion) to Green New Deal by 2025. According to the Ministry of Trade, Industry and Energy, the Green New Deal would create 659,000 jobs.
• Breakdown of the commitment
   1. Green Transition of Infrastructures - Investment of 30.1 trillion won including 12.1 trillion won from the treasury
   2. Low-carbon and decentralized energy supply - Investment of 35.8 trillion won including 24.3 trillion won from the treasury
   3. Innovation in the Green Industry - 7.6 trillion won including 6.3 trillion won from the treasury
• The Green New Deal aims to transform the economy from carbon-dependent to a low-carbon one and prepare for the post-COVID-19 era and is supposed to foster the renewable energy sector. South Korea seeks to increase solar and wind capacity to 42.7 gigawatts by 2025, compared with 12.7 gigawatts in 2019. The plan also promises refurbishment of public rental housing and schools to make them zero-energy, and transformation of urban areas into smart green cities.
• “The Green New Deal is about responding preemptively to the climate crisis, a desperate reality already confronting us. The COVID-19 pandemic has reaffirmed the urgency of responding to climate change,” President Moon said at the Korean New Deal presentation on 14 July.
</t>
  </si>
  <si>
    <t>KRW 2.9 trillion</t>
  </si>
  <si>
    <t>KRW 3 trillion</t>
  </si>
  <si>
    <t>KOR13</t>
  </si>
  <si>
    <t>KRW 40 trillion</t>
  </si>
  <si>
    <t>Key Industry Support Fund - allocated to aviation and shipping</t>
  </si>
  <si>
    <t>http://www.businesskorea.co.kr/news/articleView.html?idxno=45666</t>
  </si>
  <si>
    <t>AUS24</t>
  </si>
  <si>
    <t>HomeBuilder provides eligible owner-occupiers (including first home buyers) with a grant to build a new home or substantially renovate an existing home. HomeBuilder assists the residential construction sector by encouraging the commencement of new home builds and renovations.</t>
  </si>
  <si>
    <t>https://treasury.gov.au/coronavirus/homebuilder</t>
  </si>
  <si>
    <t>https://treasury.gov.au/sites/default/files/2020-12/HomeBuilder_extension_factsheet.pdf</t>
  </si>
  <si>
    <t>AUS25</t>
  </si>
  <si>
    <t>AUD 14.4m</t>
  </si>
  <si>
    <t>Improving Regulation post-COVID-19 including Targeted Interventions for Seafood and Live Animal Exporters</t>
  </si>
  <si>
    <t>https://www.awe.gov.au/sites/default/files/2020-10/budget-2020-21_cultivating-profitable-and-resilient-agricultural-businesses.pdf</t>
  </si>
  <si>
    <t>AUS26</t>
  </si>
  <si>
    <t>AUD 40.6m</t>
  </si>
  <si>
    <t>Protecting and restoring Sydney Harbour Federation Trust properties</t>
  </si>
  <si>
    <t>https://www.awe.gov.au/sites/default/files/2020-10/budget-2020-21_protecting-our-iconic-places.pdf</t>
  </si>
  <si>
    <t>AUS27</t>
  </si>
  <si>
    <t>AUD 3.2m</t>
  </si>
  <si>
    <t>Great Barrier Reef tourism industry activation and reef protection, maintenance and monitoring.</t>
  </si>
  <si>
    <t>AUS28</t>
  </si>
  <si>
    <t>AUD 5.5m</t>
  </si>
  <si>
    <t>Supplementing GBRMPA for waiving environmental management charges</t>
  </si>
  <si>
    <t>AUS29</t>
  </si>
  <si>
    <t>AUD 6m</t>
  </si>
  <si>
    <t>Extending waiver of the GBRMPA Environment Management Charge</t>
  </si>
  <si>
    <t>AUS30</t>
  </si>
  <si>
    <t>AUD 11.2m</t>
  </si>
  <si>
    <t xml:space="preserve">Supplementing our National Parks for waiving park entry fees to Kakadu, Uluru Kata-Tjuta and Booderee, to provide incentives for travellers to visit after restrictions relax </t>
  </si>
  <si>
    <t>AUS31</t>
  </si>
  <si>
    <t>AUD 5m</t>
  </si>
  <si>
    <t>Support critical capital works and capital projects to refurbish and replace external structures at Reef HQ.</t>
  </si>
  <si>
    <t>https://www.infrastructure.gov.au/department/statements/2020_2021/ministerial-statement/agriculture-water-environment.aspx#new</t>
  </si>
  <si>
    <t>AUS32</t>
  </si>
  <si>
    <t>AUD 59.6m</t>
  </si>
  <si>
    <t>National Waste Policy Action Plan implementation</t>
  </si>
  <si>
    <t>https://www.awe.gov.au/sites/default/files/2020-10/budget-2020-21_transforming-waste-recycling.pdf</t>
  </si>
  <si>
    <t>AUS33</t>
  </si>
  <si>
    <t>AUD 190m</t>
  </si>
  <si>
    <t xml:space="preserve">Recycling Modernisation Fund - will support waste recovery and combined with the National Waste Policy Action Plan will create over 10,000 jobs over the next 10 years. </t>
  </si>
  <si>
    <t>AUS34</t>
  </si>
  <si>
    <t>AUD 2.5m</t>
  </si>
  <si>
    <t>Exploring market-based solutions for habitat restoration</t>
  </si>
  <si>
    <t>https://www.awe.gov.au/sites/default/files/2020-10/budget-2020-21_reforming-environmental-laws-regulations_0.pdf</t>
  </si>
  <si>
    <t>AUS35</t>
  </si>
  <si>
    <t>AUD 37.6m</t>
  </si>
  <si>
    <t>Projects that will sustain South Australia Riverland environments</t>
  </si>
  <si>
    <t>https://www.awe.gov.au/sites/default/files/2020-10/budget_2020-21_investing-in-communities-and-building-confidence-in-the-basin-plan.pdf</t>
  </si>
  <si>
    <t>AUS36</t>
  </si>
  <si>
    <t>AUD 24.5m</t>
  </si>
  <si>
    <t>Community driven projects to improve the health of rivers and wetlands</t>
  </si>
  <si>
    <t>AUS37</t>
  </si>
  <si>
    <t>AUD 4.2m</t>
  </si>
  <si>
    <t>First Nations River Ranger Program</t>
  </si>
  <si>
    <t>AUS38</t>
  </si>
  <si>
    <t>AUD 20m</t>
  </si>
  <si>
    <t>Reef builder - aiding the recovery of coastal communities</t>
  </si>
  <si>
    <t>https://www.awe.gov.au/sites/default/files/2020-10/budget-2020-21_supporting-healthy-oceans.pdf</t>
  </si>
  <si>
    <t>AUS39</t>
  </si>
  <si>
    <t>AUD 23m</t>
  </si>
  <si>
    <t>Green jobs - Employment of people with no prior skill in environmental restoration and conservation</t>
  </si>
  <si>
    <t>Green Recovery Measures for Western Australia - Sustainable Recovery 2020 (iisd.org)</t>
  </si>
  <si>
    <t>AUS40</t>
  </si>
  <si>
    <t>Investment directed towards the Clean Energy Future Fund to invest in clean energy technologies</t>
  </si>
  <si>
    <t>AUS41</t>
  </si>
  <si>
    <t>Installation of rooftop solar PV on social housing</t>
  </si>
  <si>
    <t>AUS42</t>
  </si>
  <si>
    <t>AUD 13m</t>
  </si>
  <si>
    <t>Upgrades at Volunteer Emergency Services stations and units across Western Australia (inclusing fire and rescue services and bush fire brigades)</t>
  </si>
  <si>
    <t>AUS43</t>
  </si>
  <si>
    <t xml:space="preserve">Creating jobs in Western Australia across sectors such as renewable energy, agriculture, construction and education. </t>
  </si>
  <si>
    <t>AUS44</t>
  </si>
  <si>
    <t>Carbon Capture Use and Storage Development Fund for piloting carbon capture projects to help cut emissions</t>
  </si>
  <si>
    <t>Investment in new energy technologies | Prime Minister of Australia (pm.gov.au)</t>
  </si>
  <si>
    <t>Technology Co-Investment Fund to support agriculture, manufacturing, industrial and transport sector businesses that adopt technologies that increase energy productivity</t>
  </si>
  <si>
    <t>Clean Recovery: Australia to invest in future energy technology - Sustainable Recovery 2020 (iisd.org)</t>
  </si>
  <si>
    <t>AUD 67m</t>
  </si>
  <si>
    <t>Support for micro-grids in regional and remote communities to deliver affordable and reliable power.</t>
  </si>
  <si>
    <t>AUD 52.2m</t>
  </si>
  <si>
    <t>Investments in home and business energy productivity</t>
  </si>
  <si>
    <t>AUD 70.2m</t>
  </si>
  <si>
    <t>Setting up a hydrogen export hub to take advantage of the advancements in this low emissions/high powered source of energy</t>
  </si>
  <si>
    <t>AUD 74.5m</t>
  </si>
  <si>
    <t>Future Fuels Fund to help businesses and regional communities take advantage of opportunities offered by hydrogen, electric and bio-fuelled vehicles</t>
  </si>
  <si>
    <t>AUD 40.2m</t>
  </si>
  <si>
    <t>Boosting energy and emissions data and cyber-security reporting and supporting the delivery of future Low Emissions Technology Statements under the Technology Investment Roadmap process, as well as developing an offshore clean energy project development framework.</t>
  </si>
  <si>
    <t>AUD 200m</t>
  </si>
  <si>
    <t>Clean Energy Innovation Fund for debt and equity investments in emerging clean energy projects and businesses (jointly administered with Clean Energy Finance Cooproation).</t>
  </si>
  <si>
    <t>https://www.industry.gov.au/sites/default/files/2020-10/2020-21-department-of-industry-science-enery-and-resources-pbs.pdf</t>
  </si>
  <si>
    <t>AUD 2b</t>
  </si>
  <si>
    <t>Funding for projects through the National Water Infrastructure Fund to deliver increased water security, build resilience, deliver jobs and grow agrocultural sector. I.e. National Water Grid.</t>
  </si>
  <si>
    <t>https://minister.infrastructure.gov.au/mccormack/media-release/infrastructure-investment-laying-foundations-australias-economic-recovery</t>
  </si>
  <si>
    <t>AUD 33.5m</t>
  </si>
  <si>
    <t>Sustaining tourism at Australia's iconic World and National Heritage sites. Including improvements to visitor facilities and accomodation.</t>
  </si>
  <si>
    <t>Funding for the Regional Airlines Funding Assistance Program to give direct cash flow assistance to smaller regional air operators to help them continue to provide air connectivity to regional Australia (due to downturn in aviation during Covid-19).</t>
  </si>
  <si>
    <t>https://www.infrastructure.gov.au/department/statements/2020_2021/ministerial-statement/infrastructure-transport-regional-development-communications.aspx#new</t>
  </si>
  <si>
    <t>https://budget.gov.au/2020-21/content/myefo/download/myefo-2020-21.pdf</t>
  </si>
  <si>
    <t xml:space="preserve">Murray Basin Frieght Rail Project to better connect producers in Victoria with key domestic and export markets. </t>
  </si>
  <si>
    <t>changed dimension from biodiversity to climate. Change impact to mixed/No Infrast. relevant? The measure is expected to have an impact of AUD 921 million</t>
  </si>
  <si>
    <t>change to grant?negative?</t>
  </si>
  <si>
    <t>£320 million over the next Financial Year to pay for green improvements such as loft, wall and floor insulation that could save some households hundreds of pounds a year on their energy bills. Vouchers will cover two-thirds of the cost of eligible improvements, up to a maximum government contribution of £5,000</t>
  </si>
  <si>
    <t>https://www.gov.uk/government/publications/the-ten-point-plan-for-a-green-industrial-revolution/title</t>
  </si>
  <si>
    <t>GBP 13.4 billion</t>
  </si>
  <si>
    <t>https://assets.publishing.service.gov.uk/government/uploads/system/uploads/attachment_data/file/963166/Supplementary_Estimates_2020-21_web.pdf</t>
  </si>
  <si>
    <t>Country asked neutral focus</t>
  </si>
  <si>
    <t>Country asked mixed focus</t>
  </si>
  <si>
    <t>Country asked mixed focus: Positive to adaptation, but negative for mitigation, as most building infra (concrete!) is.</t>
  </si>
  <si>
    <t>Phase out the sale of new petrol and diesel cars by 2030. All new cars and vans to have significant zero emission capability.</t>
  </si>
  <si>
    <t>Nuclear regulatory framework and building a Thermal Hydraulics Facility is not a knock-out positive impact on the climate.</t>
  </si>
  <si>
    <t xml:space="preserve">Up to £1 billion to support the electrification of UK vehicles and their supply chains. The first £500m of investment will be made available in this Parliament. </t>
  </si>
  <si>
    <t xml:space="preserve">Ten Point Plan </t>
  </si>
  <si>
    <t>The £80m Green Recovery Challenge fund will award grants to environmental charities and their partners across England to create and retain jobs while restoring nature and tackling climate change.</t>
  </si>
  <si>
    <t>106.12million</t>
  </si>
  <si>
    <t>Country asked for mixed focus: Positive to adaptation, but negative for mitigation, as most building infra (concrete!) is.</t>
  </si>
  <si>
    <t>UK Infrastructure Bank with capitalisation of £12bn. The Policy Design of the UK Infrastructure Bank provides further detail on the mandate and design of the new UK Infrastructure Bank, including the rationale for the Bank and its initial areas of focus. It announces the following: the initial capital available for the Bank; the location of the Bank’s headquarters; a local authority lending rate; next steps in the Bank’s development</t>
  </si>
  <si>
    <t>https://www.gov.uk/government/publications/policy-design-of-the-uk-infrastructure-bank</t>
  </si>
  <si>
    <t>£500 million funding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t>
  </si>
  <si>
    <t>https://www.gov.uk/government/publications/green-homes-grant-local-authority-delivery-scheme-entering-a-bid</t>
  </si>
  <si>
    <t>TBA</t>
  </si>
  <si>
    <t xml:space="preserve">Comprehensive renovations of building across different sectors and fields as education or health care system. Energy efficiency measures will be included in renovation schemes. </t>
  </si>
  <si>
    <t>700 million EUR</t>
  </si>
  <si>
    <t>Comprehensive renovation of public and private buildings including historic buildings</t>
  </si>
  <si>
    <t>150 million EUR</t>
  </si>
  <si>
    <t>Adaptation to Climate Change (including biodiversity protection): adaptation measures, renaturalization of rivers, increasing strictly protected areas</t>
  </si>
  <si>
    <t>300 million EUR</t>
  </si>
  <si>
    <t xml:space="preserve">Decarbonisation of industry sectors: Allocation based on auction criteria of abatement cost per tonne of GHG emissions. The scheme will support broad spectre of businesses, both those included in the EU ETS and outside. 
</t>
  </si>
  <si>
    <t>750 million EUR</t>
  </si>
  <si>
    <t>Efficient transport investments - support of low-emission transport, ecological public and cargo transport and building the infrastructure for alternative fuels</t>
  </si>
  <si>
    <t>220 million EUR</t>
  </si>
  <si>
    <t xml:space="preserve">Renewable energy: Investment into new installed RES capacities, repowering of existing ones, supporting flexibility of the distribution networks and lastly supporting RES in district heating sector. </t>
  </si>
  <si>
    <t>SVK11</t>
  </si>
  <si>
    <t>SVK12</t>
  </si>
  <si>
    <t>SVK13</t>
  </si>
  <si>
    <t>SVK14</t>
  </si>
  <si>
    <t>SVK15</t>
  </si>
  <si>
    <t>SVK16</t>
  </si>
  <si>
    <t>391 mln EUR</t>
  </si>
  <si>
    <t>356 mln EUR</t>
  </si>
  <si>
    <t xml:space="preserve">National Reforestation Program to support climate mitigation, biodiversity and ecosystem restoration. EU funded programme to run for the period 2020-2030. Total estimated budget for the 10-year period: 703,998,00 EUR, of which 309 mil. EUR from the Recovery and Resilience Facility and 391 mil. EUR from the Greek National Strategic Reference Framework, the EU Rural Development Programme etc. </t>
  </si>
  <si>
    <t>Interconnection of the island of Crete to the mainland's power grid. EU Greece co-financing and EIB loan</t>
  </si>
  <si>
    <t>BRA44</t>
  </si>
  <si>
    <t>AUD 95.4m</t>
  </si>
  <si>
    <t>AUS13</t>
  </si>
  <si>
    <t>AUS14</t>
  </si>
  <si>
    <t>AUS15</t>
  </si>
  <si>
    <t>AUS16</t>
  </si>
  <si>
    <t>AUS17</t>
  </si>
  <si>
    <t>AUS18</t>
  </si>
  <si>
    <t>AUS19</t>
  </si>
  <si>
    <t>AUS20</t>
  </si>
  <si>
    <t>AUS21</t>
  </si>
  <si>
    <t>AUS22</t>
  </si>
  <si>
    <t>AUS23</t>
  </si>
  <si>
    <t>Clean transport as a mitigation tool for local governments - support for CTZs</t>
  </si>
  <si>
    <t xml:space="preserve">Poland is facing the challenge of decarbonizing the transport sector. As much as 93% of greenhouse gases coming from the transport sector are generated by road transport.  While the law of 11.01.2018 on electromobility and alternative fuels (the Act of 11.01.2018) introducedbinding targets for the gradual replacement of the public transport fleet with low- and zero-emissionvehicles, there are no top-down obligations or restrictions for private passenger vehicles.  Currently, Poland has one of the highest motorization rates in the European Union (698 vehicles  per 1000 inhabitants, EU average 602). The Clean Transport Zone (CTZ) can and should become a tool to stimulate thedevelopment of zero-emission transport and reduce pollutant emissions.  This is also confirmed by the results of the survey - 64.8% of Poles agree to establishCTZ in the city where they live. The project will be addressed mainly to 38 Polish cities  meeting the statutory criterion of 100,000 inhabitants. The workshops will be addressed to representatives of local government units, which  have expressed interest in gaining knowledge about the creation and functioning of CTZ.  Activities: Conducting practical workshops for representatives of local government units, carried out by  a team of Polish experts as well as foreign partners. Organization of study vistis to Norway. Consultations - exchange of knowledge and joint solutions to sample problems that can  appear at the CTZ stage. Social awareness. Signing letters of intent. Substantive report. Results of the project:  Increased interest of Polish cities in establishing or piloting a fully-fledged CTZ. Acquisition by officials of competences allowing for proper design of zones. Building social acceptance for introducing this type of solution. Establishing bilateral contacts and possible cooperation between Polishand European municipalities. Promotional and educational campaigns that will influence the level of local acceptance for the introduction of the zones. Strategic goal - Equipping Polish city authorities with knowledge and skills  necessary to create a clean transport zone. </t>
  </si>
  <si>
    <t>To increase the accessibility of the green funds and loans, the National Center for Climate Change developed a web page that provides categorised information on suitable financial supporting schemes. This free tool allows all kinds of users (households, entrepreneurs, NGOs, public institutions) to find the most adequate local, national, international programme to finance their pro-climate investments. In future it is planned to support the web page with the information contact point that will advise the investors more precisely on the most suitable subsidy for their plans.</t>
  </si>
  <si>
    <t>Green Funds Search Engine (Wyszukiwarka EkoDotacji)</t>
  </si>
  <si>
    <t xml:space="preserve">Training programme for CRO (Climate Resilience Officer) in Polish cities around the country. National Centre for Climate Change is working on creating a training program for the position of Climate Resilience Officer in the cities across Poland. The program will focus on increasing competences and skills among people that are already working in the Town/City Halls and that are the most adequate for the position of Climate Resilience Officer. The main goal of the training program is to teach CRO how to create and implement Climate Adaptation Plans and strategies in the cities. This program is a crucial project which will boost adaptation practices in Polish cities that are in line with European requirements. </t>
  </si>
  <si>
    <t>AUT 9</t>
  </si>
  <si>
    <t>Climate Mitigation</t>
  </si>
  <si>
    <t>All CCFF lines marked as indeterminate following discussion with UK Treasury</t>
  </si>
  <si>
    <t>GBP 500 million</t>
  </si>
  <si>
    <t>GBP 320 million</t>
  </si>
  <si>
    <t>£150m GBP</t>
  </si>
  <si>
    <t xml:space="preserve">£150 million over FY21/22 for the Home Upgrade Grant scheme to upgrade the worst performing low-income homes not connected to the gas grid. </t>
  </si>
  <si>
    <t>https://www.gov.uk/government/news/government-boosts-energy-efficiency-spending-to-13-billion-with-extra-funding-for-green-homes</t>
  </si>
  <si>
    <t>£27m GBP</t>
  </si>
  <si>
    <t>£27 million for the Aberdeen Energy Transition Zone will help support North East Scotland to play a leading role in meeting our net zero ambitions.</t>
  </si>
  <si>
    <t>£2m GBP</t>
  </si>
  <si>
    <t>£2m for North Sea Transition Deal</t>
  </si>
  <si>
    <t>£5m GBP</t>
  </si>
  <si>
    <t>£5m uplift for Global Underwater Hub</t>
  </si>
  <si>
    <t>https://assets.publishing.service.gov.uk/government/uploads/system/uploads/attachment_data/file/966868/BUDGET_2021_-_web.pdf</t>
  </si>
  <si>
    <t>£300m GBP</t>
  </si>
  <si>
    <t>An additional £300 million for FY 21/22 will be allocated to local authorities through the Green Homes Grant Local Authority Delivery (LAD) scheme, to improve the energy efficiency of homes of low-income households, helping reduce fuel poverty, phasing out high carbon fossil fuel heating, and delivering progress towards the UK’s commitment to net zero by 2050. This is additonal to the £500 million of funding given to the scheme in July 2020</t>
  </si>
  <si>
    <t>GBR59</t>
  </si>
  <si>
    <t>GBR60</t>
  </si>
  <si>
    <t>GBR61</t>
  </si>
  <si>
    <t>GBR62</t>
  </si>
  <si>
    <t>GBR63</t>
  </si>
  <si>
    <t>R10 m</t>
  </si>
  <si>
    <t>R 600 m</t>
  </si>
  <si>
    <t>R 135 m</t>
  </si>
  <si>
    <t>GBP 110 million</t>
  </si>
  <si>
    <t>Additional £60 million over FY21/22 to fund energy efficiency upgrades to Social Housing. The scheme builds upon the £50 million Social Housing Demonstrator project launched last year to create a total of £110m</t>
  </si>
  <si>
    <t xml:space="preserve">Environmental impact category
</t>
  </si>
  <si>
    <t>Multiple or economy-wide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</si>
</sst>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 #,##0_-;_-* &quot;-&quot;_-;_-@_-"/>
    <numFmt numFmtId="165" formatCode="_-* #,##0.00_-;\-* #,##0.00_-;_-* &quot;-&quot;??_-;_-@_-"/>
    <numFmt numFmtId="166" formatCode="_(* #,##0_);_(* \(#,##0\);_(* &quot;-&quot;??_);_(@_)"/>
    <numFmt numFmtId="167" formatCode="0.0000000"/>
    <numFmt numFmtId="168" formatCode="#,##0.0"/>
    <numFmt numFmtId="169" formatCode="#,##0.000"/>
    <numFmt numFmtId="170" formatCode="0.0%"/>
    <numFmt numFmtId="171" formatCode="&quot;£&quot;#,##0;[Red]\-&quot;£&quot;#,##0"/>
  </numFmts>
  <fonts count="28" x14ac:knownFonts="1">
    <font>
      <sz val="10"/>
      <color theme="1"/>
      <name val="Arial"/>
      <family val="2"/>
    </font>
    <font>
      <sz val="10"/>
      <color theme="1"/>
      <name val="Arial"/>
      <family val="2"/>
    </font>
    <font>
      <b/>
      <sz val="10"/>
      <color theme="1"/>
      <name val="Arial"/>
      <family val="2"/>
    </font>
    <font>
      <u/>
      <sz val="10"/>
      <color theme="10"/>
      <name val="Arial"/>
      <family val="2"/>
    </font>
    <font>
      <sz val="8"/>
      <color theme="1"/>
      <name val="Arial"/>
      <family val="2"/>
    </font>
    <font>
      <sz val="10"/>
      <color rgb="FFFF0000"/>
      <name val="Arial"/>
      <family val="2"/>
    </font>
    <font>
      <sz val="9"/>
      <color theme="1"/>
      <name val="Arial"/>
      <family val="2"/>
    </font>
    <font>
      <sz val="9"/>
      <name val="Arial"/>
      <family val="2"/>
    </font>
    <font>
      <sz val="9"/>
      <color rgb="FFFF0000"/>
      <name val="Arial"/>
      <family val="2"/>
    </font>
    <font>
      <u/>
      <sz val="9"/>
      <color theme="10"/>
      <name val="Arial"/>
      <family val="2"/>
    </font>
    <font>
      <i/>
      <sz val="10"/>
      <color rgb="FFFF0000"/>
      <name val="Arial"/>
      <family val="2"/>
    </font>
    <font>
      <sz val="10"/>
      <color rgb="FF70AD47"/>
      <name val="Arial"/>
      <family val="2"/>
    </font>
    <font>
      <sz val="10"/>
      <color rgb="FF202124"/>
      <name val="Arial"/>
      <family val="2"/>
    </font>
    <font>
      <u/>
      <sz val="10"/>
      <name val="Arial"/>
      <family val="2"/>
    </font>
    <font>
      <u/>
      <sz val="9"/>
      <name val="Arial"/>
      <family val="2"/>
    </font>
    <font>
      <sz val="10"/>
      <color theme="10"/>
      <name val="Arial"/>
      <family val="2"/>
    </font>
    <font>
      <sz val="9"/>
      <color indexed="81"/>
      <name val="Tahoma"/>
      <family val="2"/>
    </font>
    <font>
      <sz val="11"/>
      <color theme="1"/>
      <name val="Calibri"/>
      <family val="2"/>
      <charset val="186"/>
      <scheme val="minor"/>
    </font>
    <font>
      <u/>
      <sz val="11"/>
      <color theme="10"/>
      <name val="Calibri"/>
      <family val="2"/>
      <charset val="186"/>
      <scheme val="minor"/>
    </font>
    <font>
      <u/>
      <sz val="9"/>
      <color theme="10"/>
      <name val="Calibri"/>
      <family val="2"/>
      <charset val="186"/>
      <scheme val="minor"/>
    </font>
    <font>
      <sz val="10"/>
      <color indexed="8"/>
      <name val="Arial"/>
      <family val="2"/>
    </font>
    <font>
      <u/>
      <sz val="10"/>
      <color indexed="30"/>
      <name val="Arial"/>
      <family val="2"/>
    </font>
    <font>
      <b/>
      <sz val="9"/>
      <color indexed="81"/>
      <name val="Tahoma"/>
      <family val="2"/>
    </font>
    <font>
      <u/>
      <sz val="8"/>
      <name val="Arial"/>
      <family val="2"/>
    </font>
    <font>
      <sz val="8"/>
      <name val="Arial"/>
      <family val="2"/>
    </font>
    <font>
      <sz val="9"/>
      <color rgb="FF000000"/>
      <name val="Arial"/>
      <family val="2"/>
    </font>
    <font>
      <sz val="9"/>
      <color rgb="FF70AD47"/>
      <name val="Arial"/>
      <family val="2"/>
    </font>
    <font>
      <sz val="10"/>
      <name val="Arial"/>
      <family val="2"/>
    </font>
  </fonts>
  <fills count="6">
    <fill>
      <patternFill patternType="none"/>
    </fill>
    <fill>
      <patternFill patternType="gray125"/>
    </fill>
    <fill>
      <patternFill patternType="solid">
        <fgColor rgb="FFFFFFCC"/>
      </patternFill>
    </fill>
    <fill>
      <patternFill patternType="solid">
        <fgColor theme="0"/>
        <bgColor indexed="64"/>
      </patternFill>
    </fill>
    <fill>
      <patternFill patternType="solid">
        <fgColor theme="7"/>
        <bgColor indexed="64"/>
      </patternFill>
    </fill>
    <fill>
      <patternFill patternType="solid">
        <fgColor rgb="FFF3F3F3"/>
        <bgColor rgb="FFF3F3F3"/>
      </patternFill>
    </fill>
  </fills>
  <borders count="7">
    <border>
      <left/>
      <right/>
      <top/>
      <bottom/>
      <diagonal/>
    </border>
    <border>
      <left/>
      <right/>
      <top style="thin">
        <color indexed="64"/>
      </top>
      <bottom style="medium">
        <color indexed="64"/>
      </bottom>
      <diagonal/>
    </border>
    <border>
      <left/>
      <right/>
      <top/>
      <bottom style="thin">
        <color indexed="64"/>
      </bottom>
      <diagonal/>
    </border>
    <border>
      <left/>
      <right/>
      <top/>
      <bottom style="medium">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s>
  <cellStyleXfs count="20">
    <xf numFmtId="0" fontId="0" fillId="0" borderId="0"/>
    <xf numFmtId="165"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2" borderId="5" applyNumberFormat="0" applyFont="0" applyAlignment="0" applyProtection="0"/>
    <xf numFmtId="164" fontId="1" fillId="0" borderId="0" applyFont="0" applyFill="0" applyBorder="0" applyAlignment="0" applyProtection="0"/>
    <xf numFmtId="0" fontId="17" fillId="0" borderId="0"/>
    <xf numFmtId="0" fontId="18" fillId="0" borderId="0" applyNumberFormat="0" applyFill="0" applyBorder="0" applyAlignment="0" applyProtection="0"/>
    <xf numFmtId="165" fontId="1" fillId="0" borderId="0" applyFont="0" applyFill="0" applyBorder="0" applyAlignment="0" applyProtection="0"/>
    <xf numFmtId="0" fontId="20" fillId="0" borderId="0"/>
    <xf numFmtId="0" fontId="21" fillId="0" borderId="0" applyNumberFormat="0" applyFill="0" applyBorder="0" applyAlignment="0" applyProtection="0"/>
    <xf numFmtId="165" fontId="20" fillId="0" borderId="0" applyFont="0" applyFill="0" applyBorder="0" applyAlignment="0" applyProtection="0"/>
    <xf numFmtId="0" fontId="1" fillId="0" borderId="0"/>
    <xf numFmtId="165" fontId="1" fillId="0" borderId="0" applyFont="0" applyFill="0" applyBorder="0" applyAlignment="0" applyProtection="0"/>
    <xf numFmtId="0" fontId="3" fillId="0" borderId="0" applyNumberFormat="0" applyFill="0" applyBorder="0" applyAlignment="0" applyProtection="0"/>
    <xf numFmtId="9" fontId="1" fillId="0" borderId="0" applyFont="0" applyFill="0" applyBorder="0" applyAlignment="0" applyProtection="0"/>
    <xf numFmtId="0" fontId="1" fillId="2" borderId="5" applyNumberFormat="0" applyFont="0" applyAlignment="0" applyProtection="0"/>
    <xf numFmtId="164" fontId="1"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cellStyleXfs>
  <cellXfs count="219">
    <xf numFmtId="0" fontId="0" fillId="0" borderId="0" xfId="0"/>
    <xf numFmtId="0" fontId="0" fillId="0" borderId="0" xfId="0" applyAlignment="1">
      <alignment horizontal="left" vertical="center"/>
    </xf>
    <xf numFmtId="0" fontId="0" fillId="0" borderId="0" xfId="0" applyAlignment="1">
      <alignment wrapText="1"/>
    </xf>
    <xf numFmtId="0" fontId="0" fillId="0" borderId="0" xfId="0" applyAlignment="1">
      <alignment horizontal="left" vertical="top"/>
    </xf>
    <xf numFmtId="0" fontId="0" fillId="0" borderId="0" xfId="0" applyAlignment="1"/>
    <xf numFmtId="0" fontId="2" fillId="0" borderId="0" xfId="0" applyFont="1" applyAlignment="1">
      <alignment wrapText="1"/>
    </xf>
    <xf numFmtId="0" fontId="2" fillId="0" borderId="0" xfId="0" applyFont="1" applyFill="1" applyBorder="1" applyAlignment="1">
      <alignment wrapText="1"/>
    </xf>
    <xf numFmtId="167" fontId="0" fillId="0" borderId="0" xfId="0" applyNumberFormat="1"/>
    <xf numFmtId="0" fontId="0" fillId="0" borderId="1" xfId="0" applyBorder="1" applyAlignment="1">
      <alignment horizontal="left"/>
    </xf>
    <xf numFmtId="0" fontId="0" fillId="0" borderId="1" xfId="0" applyBorder="1" applyAlignment="1"/>
    <xf numFmtId="0" fontId="0" fillId="0" borderId="0" xfId="0" applyAlignment="1">
      <alignment horizontal="left"/>
    </xf>
    <xf numFmtId="0" fontId="4" fillId="0" borderId="0" xfId="0" applyFont="1" applyAlignment="1">
      <alignment horizontal="left" vertical="center"/>
    </xf>
    <xf numFmtId="0" fontId="6" fillId="0" borderId="0" xfId="0" applyFont="1" applyAlignment="1">
      <alignment horizontal="left" vertical="center"/>
    </xf>
    <xf numFmtId="0" fontId="6" fillId="0" borderId="0" xfId="0" applyFont="1"/>
    <xf numFmtId="0" fontId="6" fillId="0" borderId="0" xfId="0" applyFont="1" applyAlignment="1">
      <alignment horizontal="left"/>
    </xf>
    <xf numFmtId="0" fontId="5" fillId="0" borderId="0" xfId="0" applyFont="1"/>
    <xf numFmtId="3" fontId="0" fillId="0" borderId="0" xfId="0" applyNumberFormat="1"/>
    <xf numFmtId="0" fontId="7" fillId="0" borderId="1" xfId="0" applyFont="1" applyBorder="1" applyAlignment="1">
      <alignment wrapText="1"/>
    </xf>
    <xf numFmtId="3" fontId="7" fillId="0" borderId="1" xfId="0" applyNumberFormat="1" applyFont="1" applyBorder="1" applyAlignment="1">
      <alignment wrapText="1"/>
    </xf>
    <xf numFmtId="3" fontId="7" fillId="0" borderId="0" xfId="0" applyNumberFormat="1" applyFont="1" applyAlignment="1"/>
    <xf numFmtId="0" fontId="7" fillId="0" borderId="0" xfId="0" applyFont="1" applyAlignment="1">
      <alignment horizontal="left"/>
    </xf>
    <xf numFmtId="3" fontId="6" fillId="0" borderId="0" xfId="0" applyNumberFormat="1" applyFont="1"/>
    <xf numFmtId="3" fontId="7" fillId="0" borderId="2" xfId="0" applyNumberFormat="1" applyFont="1" applyBorder="1" applyAlignment="1"/>
    <xf numFmtId="0" fontId="9" fillId="0" borderId="0" xfId="2" applyFont="1" applyAlignment="1">
      <alignment horizontal="left"/>
    </xf>
    <xf numFmtId="166" fontId="6" fillId="0" borderId="0" xfId="1" applyNumberFormat="1" applyFont="1" applyAlignment="1">
      <alignment horizontal="left" vertical="center"/>
    </xf>
    <xf numFmtId="166" fontId="6" fillId="0" borderId="0" xfId="1" applyNumberFormat="1" applyFont="1" applyAlignment="1">
      <alignment horizontal="left"/>
    </xf>
    <xf numFmtId="3" fontId="6" fillId="0" borderId="0" xfId="0" applyNumberFormat="1" applyFont="1" applyAlignment="1">
      <alignment horizontal="left"/>
    </xf>
    <xf numFmtId="166" fontId="6" fillId="0" borderId="0" xfId="0" applyNumberFormat="1" applyFont="1" applyAlignment="1">
      <alignment horizontal="left"/>
    </xf>
    <xf numFmtId="3" fontId="7" fillId="0" borderId="0" xfId="0" applyNumberFormat="1" applyFont="1" applyAlignment="1">
      <alignment horizontal="right"/>
    </xf>
    <xf numFmtId="0" fontId="0" fillId="0" borderId="0" xfId="0" applyFill="1"/>
    <xf numFmtId="2" fontId="0" fillId="0" borderId="0" xfId="0" applyNumberFormat="1" applyBorder="1"/>
    <xf numFmtId="0" fontId="7" fillId="0" borderId="0" xfId="0" applyFont="1" applyFill="1" applyAlignment="1"/>
    <xf numFmtId="3" fontId="7" fillId="0" borderId="0" xfId="0" applyNumberFormat="1" applyFont="1" applyFill="1" applyAlignment="1"/>
    <xf numFmtId="2" fontId="10" fillId="0" borderId="0" xfId="0" applyNumberFormat="1" applyFont="1" applyBorder="1"/>
    <xf numFmtId="0" fontId="7" fillId="0" borderId="2" xfId="0" applyFont="1" applyFill="1" applyBorder="1" applyAlignment="1"/>
    <xf numFmtId="4" fontId="0" fillId="0" borderId="0" xfId="0" applyNumberFormat="1"/>
    <xf numFmtId="0" fontId="6" fillId="0" borderId="0" xfId="0" applyFont="1" applyAlignment="1">
      <alignment horizontal="left" wrapText="1"/>
    </xf>
    <xf numFmtId="3" fontId="7" fillId="0" borderId="1" xfId="0" applyNumberFormat="1" applyFont="1" applyBorder="1" applyAlignment="1"/>
    <xf numFmtId="0" fontId="7" fillId="0" borderId="0" xfId="0" applyFont="1" applyFill="1" applyBorder="1" applyAlignment="1"/>
    <xf numFmtId="0" fontId="7" fillId="0" borderId="0" xfId="0" applyFont="1"/>
    <xf numFmtId="3" fontId="7" fillId="0" borderId="0" xfId="0" applyNumberFormat="1" applyFont="1"/>
    <xf numFmtId="0" fontId="7" fillId="0" borderId="2" xfId="0" applyFont="1" applyBorder="1"/>
    <xf numFmtId="14" fontId="7" fillId="0" borderId="0" xfId="0" applyNumberFormat="1" applyFont="1" applyFill="1" applyAlignment="1"/>
    <xf numFmtId="14" fontId="7" fillId="0" borderId="2" xfId="0" applyNumberFormat="1" applyFont="1" applyFill="1" applyBorder="1" applyAlignment="1"/>
    <xf numFmtId="14" fontId="7" fillId="0" borderId="0" xfId="0" quotePrefix="1" applyNumberFormat="1" applyFont="1" applyFill="1" applyAlignment="1"/>
    <xf numFmtId="14" fontId="7" fillId="0" borderId="0" xfId="0" applyNumberFormat="1" applyFont="1" applyFill="1" applyBorder="1" applyAlignment="1"/>
    <xf numFmtId="0" fontId="7" fillId="0" borderId="4" xfId="0" applyFont="1" applyFill="1" applyBorder="1" applyAlignment="1"/>
    <xf numFmtId="3" fontId="7" fillId="0" borderId="4" xfId="0" applyNumberFormat="1" applyFont="1" applyBorder="1" applyAlignment="1"/>
    <xf numFmtId="3" fontId="7" fillId="0" borderId="0" xfId="0" applyNumberFormat="1" applyFont="1" applyBorder="1" applyAlignment="1"/>
    <xf numFmtId="3" fontId="7" fillId="0" borderId="2" xfId="0" applyNumberFormat="1" applyFont="1" applyFill="1" applyBorder="1" applyAlignment="1"/>
    <xf numFmtId="1" fontId="7" fillId="0" borderId="0" xfId="0" applyNumberFormat="1" applyFont="1" applyFill="1" applyAlignment="1"/>
    <xf numFmtId="0" fontId="6" fillId="0" borderId="0" xfId="0" applyFont="1" applyAlignment="1">
      <alignment horizontal="left" vertical="center" wrapText="1"/>
    </xf>
    <xf numFmtId="0" fontId="9" fillId="0" borderId="0" xfId="2" applyFont="1"/>
    <xf numFmtId="0" fontId="6" fillId="0" borderId="2" xfId="0" applyFont="1" applyBorder="1" applyAlignment="1">
      <alignment horizontal="left" vertical="center"/>
    </xf>
    <xf numFmtId="0" fontId="6" fillId="0" borderId="2" xfId="0" applyFont="1" applyBorder="1" applyAlignment="1">
      <alignment horizontal="left"/>
    </xf>
    <xf numFmtId="0" fontId="6" fillId="0" borderId="2" xfId="0" applyFont="1" applyBorder="1"/>
    <xf numFmtId="166" fontId="6" fillId="0" borderId="2" xfId="0" applyNumberFormat="1" applyFont="1" applyBorder="1" applyAlignment="1">
      <alignment horizontal="left"/>
    </xf>
    <xf numFmtId="0" fontId="9" fillId="0" borderId="2" xfId="2" applyFont="1" applyBorder="1"/>
    <xf numFmtId="0" fontId="6" fillId="0" borderId="2" xfId="0" applyFont="1" applyBorder="1" applyAlignment="1">
      <alignment horizontal="left" vertical="center" wrapText="1"/>
    </xf>
    <xf numFmtId="3" fontId="7" fillId="0" borderId="4" xfId="0" applyNumberFormat="1" applyFont="1" applyFill="1" applyBorder="1" applyAlignment="1"/>
    <xf numFmtId="3" fontId="7" fillId="0" borderId="0" xfId="0" applyNumberFormat="1" applyFont="1" applyFill="1" applyBorder="1" applyAlignment="1"/>
    <xf numFmtId="3" fontId="6" fillId="0" borderId="2" xfId="0" applyNumberFormat="1" applyFont="1" applyBorder="1"/>
    <xf numFmtId="0" fontId="6" fillId="0" borderId="0" xfId="0" applyFont="1" applyBorder="1"/>
    <xf numFmtId="3" fontId="6" fillId="0" borderId="0" xfId="0" applyNumberFormat="1" applyFont="1" applyBorder="1"/>
    <xf numFmtId="0" fontId="3" fillId="0" borderId="0" xfId="2" applyFill="1" applyAlignment="1"/>
    <xf numFmtId="0" fontId="7" fillId="0" borderId="0" xfId="0" applyFont="1" applyFill="1" applyAlignment="1">
      <alignment wrapText="1"/>
    </xf>
    <xf numFmtId="0" fontId="0" fillId="0" borderId="0" xfId="0" applyFill="1" applyAlignment="1">
      <alignment vertical="top" wrapText="1"/>
    </xf>
    <xf numFmtId="0" fontId="0" fillId="0" borderId="0" xfId="0" applyFont="1" applyFill="1" applyAlignment="1">
      <alignment vertical="top" wrapText="1"/>
    </xf>
    <xf numFmtId="0" fontId="12" fillId="0" borderId="0" xfId="0" applyFont="1" applyFill="1" applyAlignment="1">
      <alignment vertical="top" wrapText="1"/>
    </xf>
    <xf numFmtId="0" fontId="7" fillId="0" borderId="1" xfId="0" applyFont="1" applyBorder="1" applyAlignment="1">
      <alignment horizontal="left" wrapText="1"/>
    </xf>
    <xf numFmtId="0" fontId="7" fillId="0" borderId="1" xfId="0" applyFont="1" applyBorder="1" applyAlignment="1">
      <alignment vertical="center" wrapText="1"/>
    </xf>
    <xf numFmtId="0" fontId="7" fillId="0" borderId="1" xfId="0" applyFont="1" applyBorder="1" applyAlignment="1">
      <alignment horizontal="left"/>
    </xf>
    <xf numFmtId="0" fontId="0" fillId="0" borderId="0" xfId="0" applyBorder="1"/>
    <xf numFmtId="0" fontId="3" fillId="0" borderId="0" xfId="2"/>
    <xf numFmtId="14" fontId="0" fillId="0" borderId="0" xfId="0" applyNumberFormat="1"/>
    <xf numFmtId="0" fontId="0" fillId="0" borderId="2" xfId="0" applyBorder="1"/>
    <xf numFmtId="0" fontId="3" fillId="0" borderId="2" xfId="2" applyBorder="1"/>
    <xf numFmtId="14" fontId="0" fillId="0" borderId="2" xfId="0" applyNumberFormat="1" applyBorder="1"/>
    <xf numFmtId="0" fontId="7" fillId="3" borderId="5" xfId="4" applyFont="1" applyFill="1" applyAlignment="1"/>
    <xf numFmtId="0" fontId="3" fillId="3" borderId="0" xfId="2" applyFill="1" applyBorder="1" applyAlignment="1"/>
    <xf numFmtId="0" fontId="7" fillId="0" borderId="0" xfId="0" applyFont="1" applyAlignment="1">
      <alignment horizontal="left" vertical="top"/>
    </xf>
    <xf numFmtId="0" fontId="3" fillId="0" borderId="0" xfId="2" applyAlignment="1"/>
    <xf numFmtId="0" fontId="3" fillId="0" borderId="0" xfId="2" applyAlignment="1">
      <alignment horizontal="left" vertical="top"/>
    </xf>
    <xf numFmtId="0" fontId="7" fillId="0" borderId="0" xfId="0" applyFont="1" applyAlignment="1">
      <alignment horizontal="center"/>
    </xf>
    <xf numFmtId="0" fontId="13" fillId="0" borderId="0" xfId="2" applyFont="1" applyAlignment="1"/>
    <xf numFmtId="0" fontId="6" fillId="0" borderId="0" xfId="0" applyFont="1" applyAlignment="1"/>
    <xf numFmtId="0" fontId="14" fillId="0" borderId="0" xfId="2" applyFont="1" applyAlignment="1">
      <alignment horizontal="left" vertical="top"/>
    </xf>
    <xf numFmtId="0" fontId="7" fillId="0" borderId="0" xfId="0" applyFont="1" applyAlignment="1"/>
    <xf numFmtId="0" fontId="7" fillId="0" borderId="2" xfId="0" applyFont="1" applyBorder="1" applyAlignment="1">
      <alignment horizontal="left" vertical="top"/>
    </xf>
    <xf numFmtId="4" fontId="7" fillId="0" borderId="0" xfId="0" applyNumberFormat="1" applyFont="1" applyBorder="1" applyAlignment="1"/>
    <xf numFmtId="168" fontId="7" fillId="0" borderId="2" xfId="0" applyNumberFormat="1" applyFont="1" applyFill="1" applyBorder="1" applyAlignment="1"/>
    <xf numFmtId="168" fontId="7" fillId="0" borderId="0" xfId="0" applyNumberFormat="1" applyFont="1" applyBorder="1" applyAlignment="1"/>
    <xf numFmtId="164" fontId="7" fillId="0" borderId="0" xfId="5" applyFont="1" applyFill="1" applyBorder="1" applyAlignment="1">
      <alignment horizontal="left" vertical="top"/>
    </xf>
    <xf numFmtId="0" fontId="7" fillId="0" borderId="0" xfId="0" applyFont="1" applyFill="1" applyAlignment="1">
      <alignment horizontal="left" vertical="top"/>
    </xf>
    <xf numFmtId="0" fontId="7" fillId="0" borderId="0" xfId="5" applyNumberFormat="1" applyFont="1" applyAlignment="1">
      <alignment horizontal="left" vertical="top"/>
    </xf>
    <xf numFmtId="0" fontId="7" fillId="0" borderId="0" xfId="0" applyFont="1" applyFill="1" applyBorder="1" applyAlignment="1">
      <alignment horizontal="left" vertical="top"/>
    </xf>
    <xf numFmtId="0" fontId="14" fillId="0" borderId="0" xfId="2" applyFont="1" applyFill="1" applyBorder="1" applyAlignment="1">
      <alignment horizontal="left" vertical="top"/>
    </xf>
    <xf numFmtId="0" fontId="14" fillId="0" borderId="0" xfId="2" applyFont="1" applyBorder="1" applyAlignment="1">
      <alignment horizontal="left" vertical="top"/>
    </xf>
    <xf numFmtId="0" fontId="14" fillId="0" borderId="2" xfId="2" applyFont="1" applyBorder="1" applyAlignment="1">
      <alignment horizontal="left" vertical="top"/>
    </xf>
    <xf numFmtId="0" fontId="7" fillId="0" borderId="0" xfId="0" applyFont="1" applyBorder="1" applyAlignment="1">
      <alignment horizontal="left" vertical="top"/>
    </xf>
    <xf numFmtId="0" fontId="3" fillId="0" borderId="2" xfId="2" applyFill="1" applyBorder="1" applyAlignment="1"/>
    <xf numFmtId="0" fontId="3" fillId="0" borderId="0" xfId="2" applyFill="1" applyBorder="1" applyAlignment="1"/>
    <xf numFmtId="0" fontId="7" fillId="0" borderId="0" xfId="0" applyFont="1" applyBorder="1"/>
    <xf numFmtId="0" fontId="7" fillId="0" borderId="0" xfId="0" applyFont="1" applyFill="1"/>
    <xf numFmtId="169" fontId="7" fillId="0" borderId="0" xfId="0" applyNumberFormat="1" applyFont="1" applyFill="1"/>
    <xf numFmtId="0" fontId="7" fillId="0" borderId="0" xfId="0" applyFont="1" applyBorder="1" applyAlignment="1">
      <alignment horizontal="left" vertical="center" wrapText="1"/>
    </xf>
    <xf numFmtId="0" fontId="0" fillId="0" borderId="0" xfId="0" applyBorder="1" applyAlignment="1">
      <alignment horizontal="left"/>
    </xf>
    <xf numFmtId="0" fontId="2" fillId="0" borderId="0" xfId="0" applyFont="1" applyAlignment="1">
      <alignment horizontal="center"/>
    </xf>
    <xf numFmtId="0" fontId="2" fillId="0" borderId="0" xfId="0" applyFont="1" applyBorder="1" applyAlignment="1">
      <alignment horizontal="left"/>
    </xf>
    <xf numFmtId="0" fontId="0" fillId="0" borderId="0" xfId="0" applyAlignment="1">
      <alignment horizontal="center"/>
    </xf>
    <xf numFmtId="0" fontId="7" fillId="0" borderId="0" xfId="0" applyFont="1" applyBorder="1" applyAlignment="1">
      <alignment horizontal="left" wrapText="1"/>
    </xf>
    <xf numFmtId="0" fontId="7" fillId="0" borderId="0" xfId="0" applyFont="1" applyBorder="1" applyAlignment="1">
      <alignment horizontal="left"/>
    </xf>
    <xf numFmtId="14" fontId="7" fillId="0" borderId="0" xfId="0" applyNumberFormat="1" applyFont="1" applyBorder="1" applyAlignment="1">
      <alignment horizontal="left" wrapText="1"/>
    </xf>
    <xf numFmtId="3" fontId="7" fillId="0" borderId="0" xfId="0" applyNumberFormat="1" applyFont="1" applyBorder="1" applyAlignment="1">
      <alignment horizontal="left" wrapText="1"/>
    </xf>
    <xf numFmtId="4" fontId="7" fillId="0" borderId="0" xfId="0" applyNumberFormat="1" applyFont="1" applyBorder="1" applyAlignment="1">
      <alignment horizontal="left" wrapText="1"/>
    </xf>
    <xf numFmtId="0" fontId="7" fillId="0" borderId="0" xfId="0" applyFont="1" applyFill="1" applyAlignment="1">
      <alignment horizontal="left"/>
    </xf>
    <xf numFmtId="0" fontId="3" fillId="0" borderId="0" xfId="2" applyFill="1" applyAlignment="1">
      <alignment wrapText="1"/>
    </xf>
    <xf numFmtId="0" fontId="3" fillId="0" borderId="2" xfId="2" applyBorder="1" applyAlignment="1">
      <alignment horizontal="left" vertical="top"/>
    </xf>
    <xf numFmtId="0" fontId="7" fillId="0" borderId="2" xfId="0" applyFont="1" applyBorder="1" applyAlignment="1"/>
    <xf numFmtId="0" fontId="7" fillId="0" borderId="2" xfId="0" applyFont="1" applyBorder="1" applyAlignment="1">
      <alignment horizontal="center"/>
    </xf>
    <xf numFmtId="0" fontId="7" fillId="0" borderId="0" xfId="0" applyFont="1" applyFill="1" applyBorder="1" applyAlignment="1">
      <alignment wrapText="1"/>
    </xf>
    <xf numFmtId="0" fontId="7" fillId="3" borderId="0" xfId="0" applyFont="1" applyFill="1" applyBorder="1" applyAlignment="1">
      <alignment horizontal="left" vertical="top"/>
    </xf>
    <xf numFmtId="0" fontId="7" fillId="0" borderId="0" xfId="0" applyFont="1" applyBorder="1" applyAlignment="1">
      <alignment horizontal="left" vertical="top" wrapText="1"/>
    </xf>
    <xf numFmtId="0" fontId="7" fillId="3"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9" fillId="0" borderId="0" xfId="2" applyFont="1" applyFill="1" applyBorder="1" applyAlignment="1"/>
    <xf numFmtId="0" fontId="14" fillId="3" borderId="0" xfId="2" applyFont="1" applyFill="1" applyBorder="1" applyAlignment="1">
      <alignment horizontal="center" vertical="top" wrapText="1"/>
    </xf>
    <xf numFmtId="0" fontId="7" fillId="3" borderId="0" xfId="0" applyFont="1" applyFill="1" applyBorder="1" applyAlignment="1">
      <alignment vertical="top" wrapText="1"/>
    </xf>
    <xf numFmtId="0" fontId="7" fillId="0" borderId="2" xfId="2" applyFont="1" applyFill="1" applyBorder="1" applyAlignment="1">
      <alignment horizontal="left" vertical="top"/>
    </xf>
    <xf numFmtId="0" fontId="7" fillId="0" borderId="2" xfId="0" applyFont="1" applyFill="1" applyBorder="1" applyAlignment="1">
      <alignment horizontal="left" vertical="top" wrapText="1"/>
    </xf>
    <xf numFmtId="0" fontId="9" fillId="0" borderId="0" xfId="2" applyFont="1" applyFill="1" applyAlignment="1"/>
    <xf numFmtId="0" fontId="7" fillId="4" borderId="0" xfId="0" applyFont="1" applyFill="1" applyAlignment="1"/>
    <xf numFmtId="14" fontId="7" fillId="0" borderId="0" xfId="0" applyNumberFormat="1" applyFont="1" applyFill="1" applyAlignment="1">
      <alignment horizontal="left"/>
    </xf>
    <xf numFmtId="168" fontId="7" fillId="0" borderId="0" xfId="0" applyNumberFormat="1" applyFont="1" applyFill="1" applyBorder="1" applyAlignment="1"/>
    <xf numFmtId="0" fontId="9" fillId="0" borderId="0" xfId="2" applyFont="1" applyAlignment="1">
      <alignment vertical="center"/>
    </xf>
    <xf numFmtId="4" fontId="7" fillId="0" borderId="0" xfId="0" applyNumberFormat="1" applyFont="1" applyFill="1" applyAlignment="1"/>
    <xf numFmtId="168" fontId="7" fillId="0" borderId="0" xfId="0" applyNumberFormat="1" applyFont="1" applyFill="1" applyAlignment="1"/>
    <xf numFmtId="0" fontId="9" fillId="0" borderId="0" xfId="2" applyFont="1" applyBorder="1"/>
    <xf numFmtId="0" fontId="19" fillId="0" borderId="2" xfId="7" applyFont="1" applyFill="1" applyBorder="1" applyAlignment="1"/>
    <xf numFmtId="0" fontId="7" fillId="0" borderId="3" xfId="0" applyFont="1" applyFill="1" applyBorder="1" applyAlignment="1">
      <alignment wrapText="1"/>
    </xf>
    <xf numFmtId="0" fontId="7" fillId="0" borderId="3" xfId="0" applyFont="1" applyFill="1" applyBorder="1" applyAlignment="1"/>
    <xf numFmtId="14" fontId="7" fillId="0" borderId="3" xfId="0" applyNumberFormat="1" applyFont="1" applyFill="1" applyBorder="1" applyAlignment="1"/>
    <xf numFmtId="14" fontId="7" fillId="0" borderId="0" xfId="0" quotePrefix="1" applyNumberFormat="1" applyFont="1" applyFill="1" applyAlignment="1">
      <alignment horizontal="left"/>
    </xf>
    <xf numFmtId="0" fontId="7" fillId="0" borderId="2" xfId="0" applyFont="1" applyFill="1" applyBorder="1" applyAlignment="1">
      <alignment wrapText="1"/>
    </xf>
    <xf numFmtId="14" fontId="7" fillId="0" borderId="2" xfId="0" quotePrefix="1" applyNumberFormat="1" applyFont="1" applyFill="1" applyBorder="1" applyAlignment="1">
      <alignment horizontal="left"/>
    </xf>
    <xf numFmtId="0" fontId="7" fillId="0" borderId="0" xfId="0" applyFont="1" applyAlignment="1">
      <alignment horizontal="left" vertical="center"/>
    </xf>
    <xf numFmtId="0" fontId="7" fillId="0" borderId="2" xfId="0" applyFont="1" applyBorder="1" applyAlignment="1">
      <alignment horizontal="left" vertical="center"/>
    </xf>
    <xf numFmtId="3" fontId="7" fillId="0" borderId="0" xfId="0" applyNumberFormat="1" applyFont="1" applyAlignment="1"/>
    <xf numFmtId="3" fontId="7" fillId="0" borderId="2" xfId="0" applyNumberFormat="1" applyFont="1" applyBorder="1" applyAlignment="1"/>
    <xf numFmtId="0" fontId="7" fillId="0" borderId="0" xfId="0" applyFont="1" applyAlignment="1"/>
    <xf numFmtId="3" fontId="7" fillId="0" borderId="0" xfId="0" applyNumberFormat="1" applyFont="1" applyAlignment="1">
      <alignment horizontal="right"/>
    </xf>
    <xf numFmtId="0" fontId="7" fillId="0" borderId="2" xfId="0" applyFont="1" applyBorder="1" applyAlignment="1"/>
    <xf numFmtId="0" fontId="7" fillId="0" borderId="0" xfId="0" applyFont="1" applyFill="1" applyAlignment="1"/>
    <xf numFmtId="0" fontId="7" fillId="0" borderId="2" xfId="0" applyFont="1" applyFill="1" applyBorder="1" applyAlignment="1"/>
    <xf numFmtId="0" fontId="7" fillId="0" borderId="2" xfId="10" applyFont="1" applyFill="1" applyBorder="1" applyAlignment="1"/>
    <xf numFmtId="0" fontId="7" fillId="0" borderId="0" xfId="9" applyFont="1" applyFill="1" applyBorder="1" applyAlignment="1">
      <alignment horizontal="left"/>
    </xf>
    <xf numFmtId="0" fontId="7" fillId="0" borderId="2" xfId="9" applyFont="1" applyFill="1" applyBorder="1" applyAlignment="1">
      <alignment horizontal="left"/>
    </xf>
    <xf numFmtId="0" fontId="7" fillId="0" borderId="0" xfId="10" applyFont="1" applyFill="1" applyBorder="1" applyAlignment="1"/>
    <xf numFmtId="0" fontId="7" fillId="0" borderId="2" xfId="9" applyFont="1" applyFill="1" applyBorder="1" applyAlignment="1"/>
    <xf numFmtId="0" fontId="7" fillId="0" borderId="0" xfId="9" applyFont="1" applyFill="1" applyBorder="1" applyAlignment="1"/>
    <xf numFmtId="0" fontId="3" fillId="0" borderId="0" xfId="2" applyBorder="1"/>
    <xf numFmtId="0" fontId="0" fillId="0" borderId="0" xfId="0" applyBorder="1" applyAlignment="1">
      <alignment wrapText="1"/>
    </xf>
    <xf numFmtId="14" fontId="0" fillId="0" borderId="0" xfId="0" applyNumberFormat="1" applyBorder="1"/>
    <xf numFmtId="0" fontId="7" fillId="0" borderId="0" xfId="0" applyFont="1" applyFill="1" applyBorder="1"/>
    <xf numFmtId="0" fontId="7" fillId="0" borderId="2" xfId="0" applyFont="1" applyFill="1" applyBorder="1" applyAlignment="1">
      <alignment horizontal="left" vertical="top"/>
    </xf>
    <xf numFmtId="0" fontId="15" fillId="0" borderId="0" xfId="2" applyFont="1" applyBorder="1"/>
    <xf numFmtId="0" fontId="7" fillId="0" borderId="0" xfId="2" applyFont="1" applyBorder="1" applyAlignment="1">
      <alignment horizontal="left" vertical="center" wrapText="1"/>
    </xf>
    <xf numFmtId="0" fontId="15" fillId="0" borderId="2" xfId="2" applyFont="1" applyBorder="1" applyAlignment="1">
      <alignment horizontal="left" vertical="center" wrapText="1"/>
    </xf>
    <xf numFmtId="0" fontId="0" fillId="0" borderId="0" xfId="0" applyBorder="1" applyAlignment="1">
      <alignment vertical="top"/>
    </xf>
    <xf numFmtId="0" fontId="7" fillId="0" borderId="0" xfId="0" applyFont="1" applyFill="1" applyAlignment="1">
      <alignment vertical="top" wrapText="1"/>
    </xf>
    <xf numFmtId="0" fontId="3" fillId="0" borderId="0" xfId="2" applyFill="1" applyBorder="1" applyAlignment="1">
      <alignment wrapText="1"/>
    </xf>
    <xf numFmtId="0" fontId="3" fillId="0" borderId="0" xfId="2" applyAlignment="1">
      <alignment horizontal="justify" vertical="center"/>
    </xf>
    <xf numFmtId="0" fontId="3" fillId="0" borderId="0" xfId="2" applyAlignment="1">
      <alignment vertical="center" wrapText="1"/>
    </xf>
    <xf numFmtId="0" fontId="7" fillId="0" borderId="2" xfId="0" applyFont="1" applyFill="1" applyBorder="1" applyAlignment="1">
      <alignment horizontal="left"/>
    </xf>
    <xf numFmtId="0" fontId="7" fillId="0" borderId="0" xfId="0" applyFont="1" applyFill="1" applyBorder="1" applyAlignment="1">
      <alignment horizontal="left"/>
    </xf>
    <xf numFmtId="170" fontId="7" fillId="0" borderId="0" xfId="3" applyNumberFormat="1" applyFont="1" applyFill="1" applyAlignment="1"/>
    <xf numFmtId="0" fontId="7" fillId="0" borderId="0" xfId="0" applyFont="1" applyAlignment="1">
      <alignment horizontal="center" vertical="center"/>
    </xf>
    <xf numFmtId="0" fontId="23" fillId="0" borderId="0" xfId="2" applyFont="1" applyAlignment="1"/>
    <xf numFmtId="0" fontId="24" fillId="0" borderId="0" xfId="0" applyFont="1" applyAlignment="1"/>
    <xf numFmtId="0" fontId="4" fillId="0" borderId="0" xfId="0" applyFont="1"/>
    <xf numFmtId="0" fontId="24" fillId="0" borderId="0" xfId="2" applyFont="1" applyAlignment="1">
      <alignment horizontal="center" vertical="center"/>
    </xf>
    <xf numFmtId="0" fontId="23" fillId="0" borderId="0" xfId="2" applyFont="1" applyAlignment="1">
      <alignment horizontal="center" vertical="center"/>
    </xf>
    <xf numFmtId="0" fontId="24" fillId="0" borderId="0" xfId="0" applyFont="1" applyAlignment="1">
      <alignment horizontal="center" vertical="center"/>
    </xf>
    <xf numFmtId="0" fontId="7" fillId="0" borderId="2" xfId="0" applyFont="1" applyBorder="1" applyAlignment="1">
      <alignment horizontal="left"/>
    </xf>
    <xf numFmtId="0" fontId="7" fillId="0" borderId="2" xfId="0" applyFont="1" applyBorder="1" applyAlignment="1">
      <alignment horizontal="center" vertical="center"/>
    </xf>
    <xf numFmtId="0" fontId="14" fillId="0" borderId="2" xfId="2" applyFont="1" applyBorder="1" applyAlignment="1">
      <alignment horizontal="center" vertical="center"/>
    </xf>
    <xf numFmtId="3" fontId="6" fillId="0" borderId="0" xfId="0" applyNumberFormat="1" applyFont="1" applyAlignment="1">
      <alignment horizontal="right"/>
    </xf>
    <xf numFmtId="3" fontId="7" fillId="0" borderId="0" xfId="0" applyNumberFormat="1" applyFont="1" applyAlignment="1">
      <alignment horizontal="right" vertical="center"/>
    </xf>
    <xf numFmtId="3" fontId="7" fillId="0" borderId="2" xfId="0" applyNumberFormat="1" applyFont="1" applyBorder="1" applyAlignment="1">
      <alignment horizontal="right"/>
    </xf>
    <xf numFmtId="0" fontId="3" fillId="5" borderId="2" xfId="2" applyFont="1" applyFill="1" applyBorder="1" applyAlignment="1"/>
    <xf numFmtId="14" fontId="7" fillId="0" borderId="0" xfId="0" applyNumberFormat="1" applyFont="1" applyFill="1" applyBorder="1" applyAlignment="1">
      <alignment horizontal="left"/>
    </xf>
    <xf numFmtId="14" fontId="7" fillId="0" borderId="2" xfId="0" applyNumberFormat="1" applyFont="1" applyFill="1" applyBorder="1" applyAlignment="1">
      <alignment horizontal="left"/>
    </xf>
    <xf numFmtId="0" fontId="6" fillId="0" borderId="0" xfId="0" applyFont="1" applyBorder="1" applyAlignment="1"/>
    <xf numFmtId="0" fontId="8" fillId="0" borderId="0" xfId="0" applyFont="1" applyBorder="1" applyAlignment="1"/>
    <xf numFmtId="169" fontId="7" fillId="0" borderId="0" xfId="0" applyNumberFormat="1" applyFont="1" applyFill="1" applyBorder="1"/>
    <xf numFmtId="0" fontId="3" fillId="0" borderId="0" xfId="2" applyFill="1" applyBorder="1"/>
    <xf numFmtId="14" fontId="7" fillId="0" borderId="4" xfId="0" applyNumberFormat="1" applyFont="1" applyFill="1" applyBorder="1" applyAlignment="1"/>
    <xf numFmtId="0" fontId="7" fillId="0" borderId="4" xfId="0" applyFont="1" applyFill="1" applyBorder="1"/>
    <xf numFmtId="0" fontId="0" fillId="0" borderId="0" xfId="0" applyFont="1" applyFill="1" applyBorder="1" applyAlignment="1">
      <alignment vertical="top" wrapText="1"/>
    </xf>
    <xf numFmtId="0" fontId="7" fillId="0" borderId="6" xfId="0" applyFont="1" applyFill="1" applyBorder="1" applyAlignment="1"/>
    <xf numFmtId="14" fontId="7" fillId="0" borderId="6" xfId="0" applyNumberFormat="1" applyFont="1" applyFill="1" applyBorder="1" applyAlignment="1"/>
    <xf numFmtId="1" fontId="7" fillId="0" borderId="6" xfId="0" applyNumberFormat="1" applyFont="1" applyFill="1" applyBorder="1" applyAlignment="1"/>
    <xf numFmtId="0" fontId="7" fillId="3" borderId="0" xfId="0" applyFont="1" applyFill="1" applyAlignment="1">
      <alignment horizontal="left"/>
    </xf>
    <xf numFmtId="0" fontId="7" fillId="3" borderId="0" xfId="0" applyFont="1" applyFill="1" applyBorder="1" applyAlignment="1"/>
    <xf numFmtId="0" fontId="7" fillId="3" borderId="2" xfId="0" applyFont="1" applyFill="1" applyBorder="1" applyAlignment="1"/>
    <xf numFmtId="0" fontId="6" fillId="0" borderId="0" xfId="0" applyFont="1" applyFill="1" applyAlignment="1">
      <alignment horizontal="left" vertical="top"/>
    </xf>
    <xf numFmtId="0" fontId="25" fillId="0" borderId="0" xfId="0" applyFont="1" applyFill="1" applyAlignment="1">
      <alignment horizontal="left" vertical="top"/>
    </xf>
    <xf numFmtId="0" fontId="9" fillId="0" borderId="0" xfId="2" applyFont="1" applyFill="1" applyAlignment="1">
      <alignment horizontal="left" vertical="top"/>
    </xf>
    <xf numFmtId="0" fontId="8" fillId="0" borderId="0" xfId="0" applyFont="1" applyFill="1" applyAlignment="1">
      <alignment horizontal="left" vertical="top"/>
    </xf>
    <xf numFmtId="0" fontId="25" fillId="0" borderId="0" xfId="2" applyFont="1" applyFill="1" applyAlignment="1">
      <alignment horizontal="left" vertical="top"/>
    </xf>
    <xf numFmtId="0" fontId="26" fillId="0" borderId="0" xfId="0" applyFont="1" applyFill="1" applyAlignment="1">
      <alignment horizontal="left" vertical="top"/>
    </xf>
    <xf numFmtId="0" fontId="6" fillId="0" borderId="2" xfId="0" applyFont="1" applyFill="1" applyBorder="1" applyAlignment="1">
      <alignment horizontal="left" vertical="top"/>
    </xf>
    <xf numFmtId="0" fontId="25" fillId="0" borderId="2" xfId="0" applyFont="1" applyFill="1" applyBorder="1" applyAlignment="1">
      <alignment horizontal="left" vertical="top"/>
    </xf>
    <xf numFmtId="0" fontId="7" fillId="3" borderId="0" xfId="0" applyFont="1" applyFill="1" applyAlignment="1"/>
    <xf numFmtId="0" fontId="27" fillId="0" borderId="0" xfId="0" applyFont="1" applyFill="1" applyAlignment="1">
      <alignment horizontal="left" vertical="center"/>
    </xf>
    <xf numFmtId="171" fontId="7" fillId="0" borderId="2" xfId="0" applyNumberFormat="1" applyFont="1" applyFill="1" applyBorder="1" applyAlignment="1">
      <alignment horizontal="left" vertical="top"/>
    </xf>
    <xf numFmtId="0" fontId="13" fillId="0" borderId="0" xfId="2" applyFont="1" applyFill="1" applyAlignment="1">
      <alignment vertical="center" wrapText="1"/>
    </xf>
    <xf numFmtId="0" fontId="13" fillId="0" borderId="2" xfId="2" applyFont="1" applyFill="1" applyBorder="1" applyAlignment="1">
      <alignment horizontal="left" vertical="top"/>
    </xf>
    <xf numFmtId="0" fontId="0" fillId="0" borderId="0" xfId="0" applyAlignment="1">
      <alignment vertical="center" wrapText="1"/>
    </xf>
  </cellXfs>
  <cellStyles count="20">
    <cellStyle name="Comma" xfId="1" builtinId="3"/>
    <cellStyle name="Comma [0]" xfId="5" builtinId="6"/>
    <cellStyle name="Comma [0] 2" xfId="17"/>
    <cellStyle name="Comma 2" xfId="8"/>
    <cellStyle name="Comma 3" xfId="13"/>
    <cellStyle name="Comma 4" xfId="11"/>
    <cellStyle name="Comma 5" xfId="18"/>
    <cellStyle name="Comma 6" xfId="19"/>
    <cellStyle name="Hyperlink" xfId="2" builtinId="8"/>
    <cellStyle name="Hyperlink 2" xfId="7"/>
    <cellStyle name="Hyperlink 3" xfId="14"/>
    <cellStyle name="Hyperlink 4" xfId="10"/>
    <cellStyle name="Normal" xfId="0" builtinId="0"/>
    <cellStyle name="Normal 2" xfId="6"/>
    <cellStyle name="Normal 3" xfId="12"/>
    <cellStyle name="Normal 4" xfId="9"/>
    <cellStyle name="Note" xfId="4" builtinId="10"/>
    <cellStyle name="Note 2" xfId="16"/>
    <cellStyle name="Percent" xfId="3" builtinId="5"/>
    <cellStyle name="Percent 2" xfId="15"/>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externalLink" Target="externalLinks/externalLink6.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styles" Target="styles.xml"/><Relationship Id="rId22" Type="http://schemas.openxmlformats.org/officeDocument/2006/relationships/customXml" Target="../customXml/item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OECD_ENV_COVID-recovery-database_v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g_A\AppData\Local\Microsoft\Windows\INetCache\Content.Outlook\I9HRGMKC\(Japan%20)template%20for%20changes-additions-deletions-mitigatio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ortal.oecd.org/eshare/env/pc/Deliverables/GreenRecoveryTaskForce/Database/Country%20Replies%20March%202021/Copy%20of%20Australia_Feb2021-MES%20Additionv2%20202102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jan.drab\Desktop\master%20sheet_OECD_ENV_COVID-recovery-database_Jan202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ortal.oecd.org@SSL\DavWWWRoot\eshare\env\pc\Deliverables\GreenRecoveryTaskForce\Database\OECD_ENV_COVID-recovery-database_v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Prag_A\AppData\Local\Microsoft\Windows\INetCache\Content.Outlook\I9HRGMKC\UNITED_KINGDOM_template%20for%20changes-additions-deletions_April2021_.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G:\AJ\Workstreams\EAU\International\OECD\EPOC\OECD_ENV_COVID-recovery-database_FULL-FOR-EPOC_Jan2021%20(2021-02-2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ler329fs\m182845$\AJ\Workstreams\EAU\International\OECD\EPOC\OECD_ENV_COVID-recovery-database_FULL-FOR-EPOC_Jan2021%20-%20final%20chec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pivots"/>
      <sheetName val="by sector - ticks"/>
      <sheetName val="by type of measure - ticks"/>
      <sheetName val="by sector and type - ticks"/>
      <sheetName val="by env focus - ticks"/>
      <sheetName val="regulatory changes"/>
      <sheetName val="Sheet1"/>
      <sheetName val="by sector - number"/>
      <sheetName val="by type of measure - number"/>
      <sheetName val="by sector &amp; type - num heatmap"/>
      <sheetName val="by env focus - number"/>
      <sheetName val="funding - by sector"/>
      <sheetName val="funding - by type of measure"/>
      <sheetName val="funding -by sector and type"/>
      <sheetName val="Funding - by sector &amp; measure"/>
      <sheetName val="funding - by env focus"/>
      <sheetName val="Exchange rates to USD"/>
      <sheetName val="selection 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
          <cell r="L2" t="str">
            <v>AUD</v>
          </cell>
          <cell r="M2">
            <v>1.4385069608688354</v>
          </cell>
          <cell r="N2">
            <v>1.4143850803375244</v>
          </cell>
        </row>
        <row r="3">
          <cell r="L3" t="str">
            <v>EUR</v>
          </cell>
          <cell r="M3">
            <v>0.89327597618103027</v>
          </cell>
          <cell r="N3">
            <v>0.90689051151275635</v>
          </cell>
        </row>
        <row r="4">
          <cell r="L4" t="str">
            <v>EUR</v>
          </cell>
          <cell r="M4">
            <v>0.89327597618103027</v>
          </cell>
          <cell r="N4">
            <v>0.90689051151275635</v>
          </cell>
        </row>
        <row r="5">
          <cell r="L5" t="str">
            <v>CAD</v>
          </cell>
          <cell r="M5">
            <v>1.3268539905548096</v>
          </cell>
          <cell r="N5">
            <v>1.3098176717758179</v>
          </cell>
        </row>
        <row r="6">
          <cell r="L6" t="str">
            <v>CHF</v>
          </cell>
          <cell r="M6">
            <v>0.99384099245071411</v>
          </cell>
          <cell r="N6">
            <v>1.0495491027832031</v>
          </cell>
        </row>
        <row r="7">
          <cell r="L7" t="str">
            <v>CLP</v>
          </cell>
          <cell r="M7">
            <v>702.89739990234375</v>
          </cell>
          <cell r="N7">
            <v>622.55877685546875</v>
          </cell>
        </row>
        <row r="8">
          <cell r="L8" t="str">
            <v>COP</v>
          </cell>
          <cell r="M8">
            <v>3280.83154296875</v>
          </cell>
          <cell r="N8">
            <v>2880.344482421875</v>
          </cell>
        </row>
        <row r="9">
          <cell r="L9" t="str">
            <v>CZK</v>
          </cell>
          <cell r="M9">
            <v>22.932249069213867</v>
          </cell>
          <cell r="N9">
            <v>22.510705947875977</v>
          </cell>
        </row>
        <row r="10">
          <cell r="L10" t="str">
            <v>EUR</v>
          </cell>
          <cell r="M10">
            <v>0.89327597618103027</v>
          </cell>
          <cell r="N10">
            <v>0.90689051151275635</v>
          </cell>
        </row>
        <row r="11">
          <cell r="L11" t="str">
            <v>DKK</v>
          </cell>
          <cell r="M11">
            <v>6.6694469451904297</v>
          </cell>
          <cell r="N11">
            <v>6.777684211730957</v>
          </cell>
        </row>
        <row r="12">
          <cell r="L12" t="str">
            <v>EUR</v>
          </cell>
          <cell r="M12">
            <v>0.89327597618103027</v>
          </cell>
          <cell r="N12">
            <v>0.90689051151275635</v>
          </cell>
        </row>
        <row r="13">
          <cell r="L13" t="str">
            <v>EUR</v>
          </cell>
          <cell r="M13">
            <v>0.89327597618103027</v>
          </cell>
          <cell r="N13">
            <v>0.90689051151275635</v>
          </cell>
        </row>
        <row r="14">
          <cell r="L14" t="str">
            <v>EUR</v>
          </cell>
          <cell r="M14">
            <v>0.89327597618103027</v>
          </cell>
          <cell r="N14">
            <v>0.90689051151275635</v>
          </cell>
        </row>
        <row r="15">
          <cell r="L15" t="str">
            <v>EUR</v>
          </cell>
          <cell r="M15">
            <v>0.89327597618103027</v>
          </cell>
          <cell r="N15">
            <v>0.90689051151275635</v>
          </cell>
        </row>
        <row r="16">
          <cell r="L16" t="str">
            <v>GBP</v>
          </cell>
          <cell r="M16">
            <v>0.78344500064849854</v>
          </cell>
          <cell r="N16">
            <v>0.78487849235534668</v>
          </cell>
        </row>
        <row r="17">
          <cell r="L17" t="str">
            <v>EUR</v>
          </cell>
          <cell r="M17">
            <v>0.89327597618103027</v>
          </cell>
          <cell r="N17">
            <v>0.90689051151275635</v>
          </cell>
        </row>
        <row r="18">
          <cell r="L18" t="str">
            <v>HUF</v>
          </cell>
          <cell r="M18">
            <v>290.66000366210938</v>
          </cell>
          <cell r="N18">
            <v>272.60690307617188</v>
          </cell>
        </row>
        <row r="19">
          <cell r="L19" t="str">
            <v>EUR</v>
          </cell>
          <cell r="M19">
            <v>0.89327597618103027</v>
          </cell>
          <cell r="N19">
            <v>0.90689051151275635</v>
          </cell>
        </row>
        <row r="20">
          <cell r="L20" t="str">
            <v>ISK</v>
          </cell>
          <cell r="M20">
            <v>122.60677337646484</v>
          </cell>
          <cell r="N20">
            <v>110.01357269287109</v>
          </cell>
        </row>
        <row r="21">
          <cell r="L21" t="str">
            <v>ILS</v>
          </cell>
          <cell r="M21">
            <v>3.5645270347595215</v>
          </cell>
          <cell r="N21">
            <v>3.6714019775390625</v>
          </cell>
        </row>
        <row r="22">
          <cell r="L22" t="str">
            <v>EUR</v>
          </cell>
          <cell r="M22">
            <v>0.89327597618103027</v>
          </cell>
          <cell r="N22">
            <v>0.90689051151275635</v>
          </cell>
        </row>
        <row r="23">
          <cell r="L23" t="str">
            <v>JPY</v>
          </cell>
          <cell r="M23">
            <v>109.00966644287109</v>
          </cell>
          <cell r="N23">
            <v>111.22071075439453</v>
          </cell>
        </row>
        <row r="24">
          <cell r="L24" t="str">
            <v>KRW</v>
          </cell>
          <cell r="M24">
            <v>1165.4989013671875</v>
          </cell>
          <cell r="N24">
            <v>1146.260009765625</v>
          </cell>
        </row>
        <row r="25">
          <cell r="L25" t="str">
            <v>EUR</v>
          </cell>
          <cell r="M25">
            <v>0.89327597618103027</v>
          </cell>
          <cell r="N25">
            <v>0.90689051151275635</v>
          </cell>
        </row>
        <row r="26">
          <cell r="L26" t="str">
            <v>EUR</v>
          </cell>
          <cell r="M26">
            <v>0.89327597618103027</v>
          </cell>
          <cell r="N26">
            <v>0.90689051151275635</v>
          </cell>
        </row>
        <row r="27">
          <cell r="L27" t="str">
            <v>EUR</v>
          </cell>
          <cell r="M27">
            <v>0.89327597618103027</v>
          </cell>
          <cell r="N27">
            <v>0.90689051151275635</v>
          </cell>
        </row>
        <row r="28">
          <cell r="L28" t="str">
            <v>MXN</v>
          </cell>
          <cell r="M28">
            <v>19.263633728027344</v>
          </cell>
          <cell r="N28">
            <v>17.222244262695313</v>
          </cell>
        </row>
        <row r="29">
          <cell r="L29" t="str">
            <v>EUR</v>
          </cell>
          <cell r="M29">
            <v>0.89327597618103027</v>
          </cell>
          <cell r="N29">
            <v>0.90689051151275635</v>
          </cell>
        </row>
        <row r="30">
          <cell r="L30" t="str">
            <v>NOK</v>
          </cell>
          <cell r="M30">
            <v>8.8000001907348633</v>
          </cell>
          <cell r="N30">
            <v>8.1564216613769531</v>
          </cell>
        </row>
        <row r="31">
          <cell r="L31" t="str">
            <v>NZD</v>
          </cell>
          <cell r="M31">
            <v>1.5178749561309814</v>
          </cell>
          <cell r="N31">
            <v>1.4867726564407349</v>
          </cell>
        </row>
        <row r="32">
          <cell r="L32" t="str">
            <v>PLN</v>
          </cell>
          <cell r="M32">
            <v>3.8393750190734863</v>
          </cell>
          <cell r="N32">
            <v>3.7561793327331543</v>
          </cell>
        </row>
        <row r="33">
          <cell r="L33" t="str">
            <v>EUR</v>
          </cell>
          <cell r="M33">
            <v>0.89327597618103027</v>
          </cell>
          <cell r="N33">
            <v>0.90689051151275635</v>
          </cell>
        </row>
        <row r="34">
          <cell r="L34" t="str">
            <v>EUR</v>
          </cell>
          <cell r="M34">
            <v>0.89327597618103027</v>
          </cell>
          <cell r="N34">
            <v>0.90689051151275635</v>
          </cell>
        </row>
        <row r="35">
          <cell r="L35" t="str">
            <v>EUR</v>
          </cell>
          <cell r="M35">
            <v>0.89327597618103027</v>
          </cell>
          <cell r="N35">
            <v>0.90689051151275635</v>
          </cell>
        </row>
        <row r="36">
          <cell r="L36" t="str">
            <v>SEK</v>
          </cell>
          <cell r="M36">
            <v>9.4583492279052734</v>
          </cell>
          <cell r="N36">
            <v>9.6610403060913086</v>
          </cell>
        </row>
        <row r="37">
          <cell r="L37" t="str">
            <v>TRY</v>
          </cell>
          <cell r="M37">
            <v>5.6738190650939941</v>
          </cell>
          <cell r="N37">
            <v>4.5730061531066895</v>
          </cell>
        </row>
        <row r="38">
          <cell r="L38" t="str">
            <v>USD</v>
          </cell>
          <cell r="M38">
            <v>1</v>
          </cell>
          <cell r="N38">
            <v>1</v>
          </cell>
        </row>
        <row r="39">
          <cell r="L39" t="str">
            <v>CRC</v>
          </cell>
          <cell r="M39">
            <v>587.29461669921875</v>
          </cell>
          <cell r="N39">
            <v>587.29461669921875</v>
          </cell>
        </row>
        <row r="40">
          <cell r="L40" t="str">
            <v>BRL</v>
          </cell>
          <cell r="M40">
            <v>3.9273419380187988</v>
          </cell>
          <cell r="N40">
            <v>2.9899821281433105</v>
          </cell>
        </row>
        <row r="41">
          <cell r="L41" t="str">
            <v>CNY</v>
          </cell>
          <cell r="M41">
            <v>6.9083847999572754</v>
          </cell>
          <cell r="N41">
            <v>6.8985075950622559</v>
          </cell>
        </row>
        <row r="42">
          <cell r="L42" t="str">
            <v>INR</v>
          </cell>
          <cell r="M42">
            <v>70.419967651367188</v>
          </cell>
          <cell r="N42">
            <v>66.860771179199219</v>
          </cell>
        </row>
        <row r="43">
          <cell r="L43" t="str">
            <v>IDR</v>
          </cell>
          <cell r="M43">
            <v>14147.6708984375</v>
          </cell>
          <cell r="N43">
            <v>13659.6005859375</v>
          </cell>
        </row>
        <row r="44">
          <cell r="L44" t="str">
            <v>RUB</v>
          </cell>
          <cell r="M44">
            <v>64.737655639648438</v>
          </cell>
          <cell r="N44">
            <v>57.603736877441406</v>
          </cell>
        </row>
        <row r="45">
          <cell r="L45" t="str">
            <v>ZAR</v>
          </cell>
          <cell r="M45">
            <v>14.448427200317383</v>
          </cell>
          <cell r="N45">
            <v>12.610870361328125</v>
          </cell>
        </row>
        <row r="46">
          <cell r="L46" t="str">
            <v>ARS</v>
          </cell>
          <cell r="M46">
            <v>48.147891998291016</v>
          </cell>
          <cell r="N46">
            <v>32.531078338623047</v>
          </cell>
        </row>
        <row r="47">
          <cell r="M47"/>
          <cell r="N47"/>
        </row>
        <row r="48">
          <cell r="M48"/>
          <cell r="N48"/>
        </row>
        <row r="49">
          <cell r="M49"/>
          <cell r="N49"/>
        </row>
        <row r="50">
          <cell r="M50"/>
          <cell r="N50"/>
        </row>
        <row r="51">
          <cell r="M51"/>
          <cell r="N51"/>
        </row>
        <row r="52">
          <cell r="M52"/>
          <cell r="N52"/>
        </row>
        <row r="53">
          <cell r="M53"/>
          <cell r="N53"/>
        </row>
        <row r="54">
          <cell r="M54"/>
          <cell r="N54"/>
        </row>
        <row r="55">
          <cell r="M55"/>
          <cell r="N55"/>
        </row>
        <row r="56">
          <cell r="M56"/>
          <cell r="N56"/>
        </row>
        <row r="57">
          <cell r="M57"/>
          <cell r="N57"/>
        </row>
        <row r="58">
          <cell r="M58"/>
          <cell r="N58"/>
        </row>
        <row r="59">
          <cell r="M59"/>
          <cell r="N59"/>
        </row>
        <row r="60">
          <cell r="M60"/>
          <cell r="N60"/>
        </row>
        <row r="61">
          <cell r="M61"/>
          <cell r="N61"/>
        </row>
        <row r="62">
          <cell r="M62"/>
          <cell r="N62"/>
        </row>
        <row r="63">
          <cell r="M63"/>
          <cell r="N63"/>
        </row>
        <row r="64">
          <cell r="M64"/>
          <cell r="N64"/>
        </row>
        <row r="65">
          <cell r="M65"/>
          <cell r="N65"/>
        </row>
        <row r="66">
          <cell r="M66"/>
          <cell r="N66"/>
        </row>
        <row r="67">
          <cell r="M67"/>
          <cell r="N67"/>
        </row>
        <row r="68">
          <cell r="M68"/>
          <cell r="N68"/>
        </row>
        <row r="69">
          <cell r="M69"/>
          <cell r="N69"/>
        </row>
        <row r="70">
          <cell r="M70"/>
          <cell r="N70"/>
        </row>
        <row r="71">
          <cell r="M71"/>
          <cell r="N71"/>
        </row>
        <row r="72">
          <cell r="M72"/>
          <cell r="N72"/>
        </row>
        <row r="73">
          <cell r="M73"/>
          <cell r="N73"/>
        </row>
        <row r="74">
          <cell r="M74"/>
          <cell r="N74"/>
        </row>
        <row r="75">
          <cell r="M75"/>
          <cell r="N75"/>
        </row>
        <row r="76">
          <cell r="M76"/>
          <cell r="N76"/>
        </row>
        <row r="77">
          <cell r="M77"/>
          <cell r="N77"/>
        </row>
        <row r="78">
          <cell r="M78"/>
          <cell r="N78"/>
        </row>
        <row r="79">
          <cell r="M79"/>
          <cell r="N79"/>
        </row>
        <row r="80">
          <cell r="M80"/>
          <cell r="N80"/>
        </row>
        <row r="81">
          <cell r="M81"/>
          <cell r="N81"/>
        </row>
        <row r="82">
          <cell r="M82"/>
          <cell r="N82"/>
        </row>
        <row r="83">
          <cell r="M83"/>
          <cell r="N83"/>
        </row>
        <row r="84">
          <cell r="M84"/>
          <cell r="N84"/>
        </row>
        <row r="85">
          <cell r="M85"/>
          <cell r="N85"/>
        </row>
        <row r="86">
          <cell r="M86"/>
          <cell r="N86"/>
        </row>
        <row r="87">
          <cell r="M87"/>
          <cell r="N87"/>
        </row>
        <row r="88">
          <cell r="M88"/>
          <cell r="N88"/>
        </row>
        <row r="89">
          <cell r="M89"/>
          <cell r="N89"/>
        </row>
        <row r="90">
          <cell r="M90"/>
          <cell r="N90"/>
        </row>
        <row r="91">
          <cell r="M91"/>
          <cell r="N91"/>
        </row>
        <row r="92">
          <cell r="M92"/>
          <cell r="N92"/>
        </row>
        <row r="93">
          <cell r="M93"/>
          <cell r="N93"/>
        </row>
        <row r="94">
          <cell r="M94"/>
          <cell r="N94"/>
        </row>
        <row r="95">
          <cell r="M95"/>
          <cell r="N95"/>
        </row>
        <row r="96">
          <cell r="M96"/>
          <cell r="N96"/>
        </row>
        <row r="97">
          <cell r="M97"/>
          <cell r="N97"/>
        </row>
        <row r="98">
          <cell r="M98"/>
          <cell r="N98"/>
        </row>
        <row r="99">
          <cell r="M99"/>
          <cell r="N99"/>
        </row>
        <row r="100">
          <cell r="M100"/>
          <cell r="N100"/>
        </row>
        <row r="101">
          <cell r="M101"/>
          <cell r="N101"/>
        </row>
        <row r="102">
          <cell r="M102"/>
          <cell r="N102"/>
        </row>
        <row r="103">
          <cell r="M103"/>
          <cell r="N103"/>
        </row>
        <row r="104">
          <cell r="M104"/>
          <cell r="N104"/>
        </row>
        <row r="105">
          <cell r="M105"/>
          <cell r="N105"/>
        </row>
        <row r="106">
          <cell r="M106"/>
          <cell r="N106"/>
        </row>
        <row r="107">
          <cell r="M107"/>
          <cell r="N107"/>
        </row>
        <row r="108">
          <cell r="M108"/>
          <cell r="N108"/>
        </row>
        <row r="109">
          <cell r="M109"/>
          <cell r="N109"/>
        </row>
        <row r="110">
          <cell r="M110"/>
          <cell r="N110"/>
        </row>
        <row r="111">
          <cell r="M111"/>
          <cell r="N111"/>
        </row>
        <row r="112">
          <cell r="M112"/>
          <cell r="N112"/>
        </row>
        <row r="113">
          <cell r="M113"/>
          <cell r="N113"/>
        </row>
        <row r="114">
          <cell r="M114"/>
          <cell r="N114"/>
        </row>
        <row r="115">
          <cell r="M115"/>
          <cell r="N115"/>
        </row>
        <row r="116">
          <cell r="M116"/>
          <cell r="N116"/>
        </row>
        <row r="117">
          <cell r="M117"/>
          <cell r="N117"/>
        </row>
        <row r="118">
          <cell r="M118"/>
          <cell r="N118"/>
        </row>
        <row r="119">
          <cell r="M119"/>
          <cell r="N119"/>
        </row>
        <row r="120">
          <cell r="M120"/>
          <cell r="N120"/>
        </row>
        <row r="121">
          <cell r="M121"/>
          <cell r="N121"/>
        </row>
        <row r="122">
          <cell r="M122"/>
          <cell r="N122"/>
        </row>
        <row r="123">
          <cell r="M123"/>
          <cell r="N123"/>
        </row>
        <row r="124">
          <cell r="M124"/>
          <cell r="N124"/>
        </row>
        <row r="125">
          <cell r="M125"/>
          <cell r="N125"/>
        </row>
        <row r="126">
          <cell r="M126"/>
          <cell r="N126"/>
        </row>
        <row r="127">
          <cell r="M127"/>
          <cell r="N127"/>
        </row>
        <row r="128">
          <cell r="M128"/>
          <cell r="N128"/>
        </row>
        <row r="129">
          <cell r="M129"/>
          <cell r="N129"/>
        </row>
        <row r="130">
          <cell r="M130"/>
          <cell r="N130"/>
        </row>
        <row r="131">
          <cell r="M131"/>
          <cell r="N131"/>
        </row>
        <row r="132">
          <cell r="M132"/>
          <cell r="N132"/>
        </row>
        <row r="133">
          <cell r="M133"/>
          <cell r="N133"/>
        </row>
        <row r="134">
          <cell r="M134"/>
          <cell r="N134"/>
        </row>
        <row r="135">
          <cell r="M135"/>
          <cell r="N135"/>
        </row>
        <row r="136">
          <cell r="M136"/>
          <cell r="N136"/>
        </row>
        <row r="137">
          <cell r="M137"/>
          <cell r="N137"/>
        </row>
        <row r="138">
          <cell r="M138"/>
          <cell r="N138"/>
        </row>
        <row r="139">
          <cell r="M139"/>
          <cell r="N139"/>
        </row>
        <row r="140">
          <cell r="M140"/>
          <cell r="N140"/>
        </row>
        <row r="141">
          <cell r="M141"/>
          <cell r="N141"/>
        </row>
        <row r="142">
          <cell r="M142"/>
          <cell r="N142"/>
        </row>
        <row r="143">
          <cell r="M143"/>
          <cell r="N143"/>
        </row>
        <row r="144">
          <cell r="M144"/>
          <cell r="N144"/>
        </row>
        <row r="145">
          <cell r="M145"/>
          <cell r="N145"/>
        </row>
        <row r="146">
          <cell r="M146"/>
          <cell r="N146"/>
        </row>
        <row r="147">
          <cell r="M147"/>
          <cell r="N147"/>
        </row>
        <row r="148">
          <cell r="M148"/>
          <cell r="N148"/>
        </row>
        <row r="149">
          <cell r="M149"/>
          <cell r="N149"/>
        </row>
        <row r="150">
          <cell r="M150"/>
          <cell r="N150"/>
        </row>
        <row r="151">
          <cell r="M151"/>
          <cell r="N151"/>
        </row>
        <row r="152">
          <cell r="M152"/>
          <cell r="N152"/>
        </row>
        <row r="153">
          <cell r="M153"/>
          <cell r="N153"/>
        </row>
        <row r="154">
          <cell r="M154"/>
          <cell r="N154"/>
        </row>
        <row r="155">
          <cell r="M155"/>
          <cell r="N155"/>
        </row>
        <row r="156">
          <cell r="M156"/>
          <cell r="N156"/>
        </row>
        <row r="157">
          <cell r="M157"/>
          <cell r="N157"/>
        </row>
        <row r="158">
          <cell r="M158"/>
          <cell r="N158"/>
        </row>
        <row r="159">
          <cell r="M159"/>
          <cell r="N159"/>
        </row>
        <row r="160">
          <cell r="M160"/>
          <cell r="N160"/>
        </row>
        <row r="161">
          <cell r="M161"/>
          <cell r="N161"/>
        </row>
        <row r="162">
          <cell r="M162"/>
          <cell r="N162"/>
        </row>
        <row r="163">
          <cell r="M163"/>
          <cell r="N163"/>
        </row>
        <row r="164">
          <cell r="M164"/>
          <cell r="N164"/>
        </row>
        <row r="165">
          <cell r="M165"/>
          <cell r="N165"/>
        </row>
        <row r="166">
          <cell r="M166"/>
          <cell r="N166"/>
        </row>
        <row r="167">
          <cell r="M167"/>
          <cell r="N167"/>
        </row>
        <row r="168">
          <cell r="M168"/>
          <cell r="N168"/>
        </row>
        <row r="169">
          <cell r="M169"/>
          <cell r="N169"/>
        </row>
        <row r="170">
          <cell r="M170"/>
          <cell r="N170"/>
        </row>
        <row r="171">
          <cell r="M171"/>
          <cell r="N171"/>
        </row>
        <row r="172">
          <cell r="M172"/>
          <cell r="N172"/>
        </row>
        <row r="173">
          <cell r="M173"/>
          <cell r="N173"/>
        </row>
        <row r="174">
          <cell r="M174"/>
          <cell r="N174"/>
        </row>
        <row r="175">
          <cell r="M175"/>
          <cell r="N175"/>
        </row>
        <row r="176">
          <cell r="M176"/>
          <cell r="N176"/>
        </row>
        <row r="177">
          <cell r="M177"/>
          <cell r="N177"/>
        </row>
        <row r="178">
          <cell r="M178"/>
          <cell r="N178"/>
        </row>
        <row r="179">
          <cell r="M179"/>
          <cell r="N179"/>
        </row>
        <row r="180">
          <cell r="M180"/>
          <cell r="N180"/>
        </row>
        <row r="181">
          <cell r="M181"/>
          <cell r="N181"/>
        </row>
        <row r="182">
          <cell r="M182"/>
          <cell r="N182"/>
        </row>
        <row r="183">
          <cell r="M183"/>
          <cell r="N183"/>
        </row>
        <row r="184">
          <cell r="M184"/>
          <cell r="N184"/>
        </row>
        <row r="185">
          <cell r="M185"/>
          <cell r="N185"/>
        </row>
        <row r="186">
          <cell r="M186"/>
          <cell r="N186"/>
        </row>
        <row r="187">
          <cell r="M187"/>
          <cell r="N187"/>
        </row>
        <row r="188">
          <cell r="M188"/>
          <cell r="N188"/>
        </row>
        <row r="189">
          <cell r="M189"/>
          <cell r="N189"/>
        </row>
        <row r="190">
          <cell r="M190"/>
          <cell r="N190"/>
        </row>
        <row r="191">
          <cell r="M191"/>
          <cell r="N191"/>
        </row>
        <row r="192">
          <cell r="M192"/>
          <cell r="N192"/>
        </row>
        <row r="193">
          <cell r="M193"/>
          <cell r="N193"/>
        </row>
        <row r="194">
          <cell r="M194"/>
          <cell r="N194"/>
        </row>
        <row r="195">
          <cell r="M195"/>
          <cell r="N195"/>
        </row>
        <row r="196">
          <cell r="M196"/>
          <cell r="N196"/>
        </row>
        <row r="197">
          <cell r="M197"/>
          <cell r="N197"/>
        </row>
        <row r="198">
          <cell r="M198"/>
          <cell r="N198"/>
        </row>
        <row r="199">
          <cell r="M199"/>
          <cell r="N199"/>
        </row>
        <row r="200">
          <cell r="M200"/>
          <cell r="N200"/>
        </row>
        <row r="201">
          <cell r="M201"/>
          <cell r="N201"/>
        </row>
        <row r="202">
          <cell r="M202"/>
          <cell r="N202"/>
        </row>
        <row r="203">
          <cell r="M203"/>
          <cell r="N203"/>
        </row>
        <row r="204">
          <cell r="M204"/>
          <cell r="N204"/>
        </row>
        <row r="205">
          <cell r="M205"/>
          <cell r="N205"/>
        </row>
        <row r="206">
          <cell r="M206"/>
          <cell r="N206"/>
        </row>
        <row r="207">
          <cell r="M207"/>
          <cell r="N207"/>
        </row>
        <row r="208">
          <cell r="M208"/>
          <cell r="N208"/>
        </row>
        <row r="209">
          <cell r="M209"/>
          <cell r="N209"/>
        </row>
        <row r="210">
          <cell r="M210"/>
          <cell r="N210"/>
        </row>
        <row r="211">
          <cell r="M211"/>
          <cell r="N211"/>
        </row>
        <row r="212">
          <cell r="M212"/>
          <cell r="N212"/>
        </row>
        <row r="213">
          <cell r="M213"/>
          <cell r="N213"/>
        </row>
        <row r="214">
          <cell r="M214"/>
          <cell r="N214"/>
        </row>
        <row r="215">
          <cell r="M215"/>
          <cell r="N215"/>
        </row>
        <row r="216">
          <cell r="M216"/>
          <cell r="N216"/>
        </row>
        <row r="217">
          <cell r="M217"/>
          <cell r="N217"/>
        </row>
        <row r="218">
          <cell r="M218"/>
          <cell r="N218"/>
        </row>
        <row r="219">
          <cell r="M219"/>
          <cell r="N219"/>
        </row>
        <row r="220">
          <cell r="M220"/>
          <cell r="N220"/>
        </row>
        <row r="221">
          <cell r="M221"/>
          <cell r="N221"/>
        </row>
        <row r="222">
          <cell r="M222"/>
          <cell r="N222"/>
        </row>
        <row r="223">
          <cell r="M223"/>
          <cell r="N223"/>
        </row>
        <row r="224">
          <cell r="M224"/>
          <cell r="N224"/>
        </row>
        <row r="225">
          <cell r="M225"/>
          <cell r="N225"/>
        </row>
      </sheetData>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lists"/>
      <sheetName val="Measures"/>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asures"/>
      <sheetName val="selection lists"/>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list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Summary"/>
      <sheetName val="pivots"/>
      <sheetName val="by sector - ticks"/>
      <sheetName val="by type of measure - ticks"/>
      <sheetName val="by sector and type - ticks"/>
      <sheetName val="by env focus - ticks"/>
      <sheetName val="regulatory changes"/>
      <sheetName val="Sheet1"/>
      <sheetName val="by sector - number"/>
      <sheetName val="by type of measure - number"/>
      <sheetName val="by sector &amp; type - num heatmap"/>
      <sheetName val="by env focus - number"/>
      <sheetName val="funding - by sector"/>
      <sheetName val="funding - by type of measure"/>
      <sheetName val="funding -by sector and type"/>
      <sheetName val="Funding - by sector &amp; measure"/>
      <sheetName val="funding - by env focus"/>
      <sheetName val="Exchange rates to USD"/>
      <sheetName val="selection 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asures"/>
      <sheetName val="selection lists"/>
    </sheetNames>
    <sheetDataSet>
      <sheetData sheetId="0"/>
      <sheetData sheetId="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of columns"/>
      <sheetName val="Measures"/>
      <sheetName val="Exchange rates to USD"/>
      <sheetName val="selection lists"/>
    </sheetNames>
    <sheetDataSet>
      <sheetData sheetId="0"/>
      <sheetData sheetId="1"/>
      <sheetData sheetId="2"/>
      <sheetData sheetId="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tion list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www.bundesfinanzministerium.de/Content/DE/Standardartikel/Themen/Schlaglichter/Konjunkturpaket/2020-06-03-eckpunktepapier.pdf?__blob=publicationFile" TargetMode="External"/><Relationship Id="rId117" Type="http://schemas.openxmlformats.org/officeDocument/2006/relationships/vmlDrawing" Target="../drawings/vmlDrawing1.vml"/><Relationship Id="rId21" Type="http://schemas.openxmlformats.org/officeDocument/2006/relationships/hyperlink" Target="https://www.renewableenergymagazine.com/wind/new-american-wind-power-total-capacity-over-20200817" TargetMode="External"/><Relationship Id="rId42" Type="http://schemas.openxmlformats.org/officeDocument/2006/relationships/hyperlink" Target="https://www5.cao.go.jp/keizai1/keizaitaisaku/2020-2/20201208_economic_measures.pdf" TargetMode="External"/><Relationship Id="rId47" Type="http://schemas.openxmlformats.org/officeDocument/2006/relationships/hyperlink" Target="https://www.env.go.jp/guide/budget/r02/r02-hos_03-gaiyo/001.pd" TargetMode="External"/><Relationship Id="rId63" Type="http://schemas.openxmlformats.org/officeDocument/2006/relationships/hyperlink" Target="https://isif.ie/pandemic-stabilisation-and-recovery-fund" TargetMode="External"/><Relationship Id="rId68" Type="http://schemas.openxmlformats.org/officeDocument/2006/relationships/hyperlink" Target="http://www.jamstec.go.jp/tougou/eng/research/theme_d.html" TargetMode="External"/><Relationship Id="rId84" Type="http://schemas.openxmlformats.org/officeDocument/2006/relationships/hyperlink" Target="https://www.ecologique-solidaire.gouv.fr/plan-velo-des-mesures-concretes-faciliter-lusage-du-velo" TargetMode="External"/><Relationship Id="rId89" Type="http://schemas.openxmlformats.org/officeDocument/2006/relationships/hyperlink" Target="http://www.mme.gov.br/web/guest/todas-as-noticias/-/asset_publisher/pdAS9IcdBICN/content/73-leilao-de-biodiesel-negocia-1-19-bilhao-de-litros?inheritRedirect=false&amp;redirect=" TargetMode="External"/><Relationship Id="rId112" Type="http://schemas.openxmlformats.org/officeDocument/2006/relationships/hyperlink" Target="https://assets.publishing.service.gov.uk/government/uploads/system/uploads/attachment_data/file/966868/BUDGET_2021_-_web.pdf" TargetMode="External"/><Relationship Id="rId16" Type="http://schemas.openxmlformats.org/officeDocument/2006/relationships/hyperlink" Target="https://www.vivideconomics.com/wp-content/uploads/2020/07/GreenStimulusIndex14July.pdf" TargetMode="External"/><Relationship Id="rId107" Type="http://schemas.openxmlformats.org/officeDocument/2006/relationships/hyperlink" Target="https://www.awe.gov.au/sites/default/files/2020-10/budget-2020-21_protecting-our-iconic-places.pdf" TargetMode="External"/><Relationship Id="rId11" Type="http://schemas.openxmlformats.org/officeDocument/2006/relationships/hyperlink" Target="https://joebiden.com/BeyondHS/" TargetMode="External"/><Relationship Id="rId24" Type="http://schemas.openxmlformats.org/officeDocument/2006/relationships/hyperlink" Target="https://www.legis.state.pa.us/cfdocs/billInfo/billInfo.cfm?sYear=2019&amp;sInd=0&amp;body=H&amp;type=B&amp;bn=732" TargetMode="External"/><Relationship Id="rId32" Type="http://schemas.openxmlformats.org/officeDocument/2006/relationships/hyperlink" Target="https://www.bundesfinanzministerium.de/Content/DE/Standardartikel/Themen/Schlaglichter/Konjunkturpaket/2020-06-03-eckpunktepapier.pdf?__blob=publicationFile" TargetMode="External"/><Relationship Id="rId37" Type="http://schemas.openxmlformats.org/officeDocument/2006/relationships/hyperlink" Target="https://de.reuters.com/article/us-germany-autos/germany-to-up-financial-aid-for-cars-sector-government-sources-idUSKBN27X1S7" TargetMode="External"/><Relationship Id="rId40" Type="http://schemas.openxmlformats.org/officeDocument/2006/relationships/hyperlink" Target="https://treasury.govt.nz/system/files/2020-05/b20-sum-initiatives-crrf.pdf" TargetMode="External"/><Relationship Id="rId45" Type="http://schemas.openxmlformats.org/officeDocument/2006/relationships/hyperlink" Target="https://www.env.go.jp/saigai/novel_coronavirus_2020.html" TargetMode="External"/><Relationship Id="rId53" Type="http://schemas.openxmlformats.org/officeDocument/2006/relationships/hyperlink" Target="https://www.palyazat.gov.hu/vekop-127-20-divat-s-dizjnipari-mikro-kis-s-kzpvllalkozsok-modern-zleti-s-termelsi-kihvsokhoz-val-alkalmazkodst-segt-fejlesztsek-tmogatsa-1" TargetMode="External"/><Relationship Id="rId58" Type="http://schemas.openxmlformats.org/officeDocument/2006/relationships/hyperlink" Target="https://ym.fi/en/wood-building" TargetMode="External"/><Relationship Id="rId66" Type="http://schemas.openxmlformats.org/officeDocument/2006/relationships/hyperlink" Target="https://isif.ie/uploads/publications/PSRF-GUIDE-PUBLISHED.pdf" TargetMode="External"/><Relationship Id="rId74" Type="http://schemas.openxmlformats.org/officeDocument/2006/relationships/hyperlink" Target="http://www.nfosigw.gov.pl/" TargetMode="External"/><Relationship Id="rId79" Type="http://schemas.openxmlformats.org/officeDocument/2006/relationships/hyperlink" Target="https://www.gov.br/casacivil/pt-br/assuntos/noticias/2020/junho/mais-luz-para-a-amazonia-manual-de-operacionalizacao-do-programa-e-aprovado" TargetMode="External"/><Relationship Id="rId87" Type="http://schemas.openxmlformats.org/officeDocument/2006/relationships/hyperlink" Target="https://www.demarest.com.br/wp-content/uploads/2020/06/Boletim-Energia-Junho-2020-Demarest-Advogados_.pdf" TargetMode="External"/><Relationship Id="rId102" Type="http://schemas.openxmlformats.org/officeDocument/2006/relationships/hyperlink" Target="https://pmg.org.za/committee-meeting/30523/" TargetMode="External"/><Relationship Id="rId110" Type="http://schemas.openxmlformats.org/officeDocument/2006/relationships/hyperlink" Target="https://www.gov.uk/government/publications/policy-design-of-the-uk-infrastructure-bank" TargetMode="External"/><Relationship Id="rId115" Type="http://schemas.openxmlformats.org/officeDocument/2006/relationships/hyperlink" Target="https://www.gov.uk/government/publications/green-homes-grant-local-authority-delivery-scheme-entering-a-bid" TargetMode="External"/><Relationship Id="rId5" Type="http://schemas.openxmlformats.org/officeDocument/2006/relationships/hyperlink" Target="https://www.reuters.com/article/us-usa-interior-renewables/trump-admin-slaps-solar-wind-operators-with-retroactive-rent-bills-idUSKBN22U0FW" TargetMode="External"/><Relationship Id="rId61" Type="http://schemas.openxmlformats.org/officeDocument/2006/relationships/hyperlink" Target="https://www.businessfinland.fi/kampanjasivut/veturiyrityksista-vipuvartta" TargetMode="External"/><Relationship Id="rId82" Type="http://schemas.openxmlformats.org/officeDocument/2006/relationships/hyperlink" Target="https://news.err.ee/1135630/government-to-fund-purchase-of-electric-buses-and-charging-posts" TargetMode="External"/><Relationship Id="rId90" Type="http://schemas.openxmlformats.org/officeDocument/2006/relationships/hyperlink" Target="https://www.bmk.gv.at/service/presse/gewessler/20200731_gemeindepaket.html" TargetMode="External"/><Relationship Id="rId95" Type="http://schemas.openxmlformats.org/officeDocument/2006/relationships/hyperlink" Target="https://www25.senado.leg.br/web/atividade/materias/-/materia/111929" TargetMode="External"/><Relationship Id="rId19" Type="http://schemas.openxmlformats.org/officeDocument/2006/relationships/hyperlink" Target="https://www.epa.gov/sites/production/files/2020-06/documents/covid19addendumontermination.pdf" TargetMode="External"/><Relationship Id="rId14" Type="http://schemas.openxmlformats.org/officeDocument/2006/relationships/hyperlink" Target="https://www.governor.ny.gov/news/governor-cuomo-announces-nation-leading-initiatives-expand-electric-vehicle-use-combat-climate" TargetMode="External"/><Relationship Id="rId22" Type="http://schemas.openxmlformats.org/officeDocument/2006/relationships/hyperlink" Target="https://www.onegreenplanet.org/environment/21-states-sue-trump-administration-for-rollback-of-nepa/" TargetMode="External"/><Relationship Id="rId27" Type="http://schemas.openxmlformats.org/officeDocument/2006/relationships/hyperlink" Target="https://www.bloomberg.com/news/articles/2020-06-05/germany-s-recovery-fund-gets-green-hue-with-its-focus-on-climate" TargetMode="External"/><Relationship Id="rId30" Type="http://schemas.openxmlformats.org/officeDocument/2006/relationships/hyperlink" Target="https://www.bundesfinanzministerium.de/Content/DE/Standardartikel/Themen/Schlaglichter/Konjunkturpaket/2020-06-03-eckpunktepapier.pdf?__blob=publicationFile" TargetMode="External"/><Relationship Id="rId35" Type="http://schemas.openxmlformats.org/officeDocument/2006/relationships/hyperlink" Target="https://www.bundesfinanzministerium.de/Content/DE/Standardartikel/Themen/Schlaglichter/Konjunkturpaket/2020-06-03-eckpunktepapier.pdf?__blob=publicationFile" TargetMode="External"/><Relationship Id="rId43" Type="http://schemas.openxmlformats.org/officeDocument/2006/relationships/hyperlink" Target="https://english.kyodonews.net/news/2020/12/8a909b0c27bb-urgent-japan-to-compile-73-tril-yen-new-stimulus-package.html" TargetMode="External"/><Relationship Id="rId48" Type="http://schemas.openxmlformats.org/officeDocument/2006/relationships/hyperlink" Target="https://www.meti.go.jp/english/press/2020/1225_001.html" TargetMode="External"/><Relationship Id="rId56" Type="http://schemas.openxmlformats.org/officeDocument/2006/relationships/hyperlink" Target="https://www.err.ee/1135503/riik-hakkab-toetama-elektribusside-ostu-ja-laadimistaristu-ehitamist" TargetMode="External"/><Relationship Id="rId64" Type="http://schemas.openxmlformats.org/officeDocument/2006/relationships/hyperlink" Target="https://ec.europa.eu/commission/presscorner/detail/en/MEX_20_904%20(31%20August%202020)" TargetMode="External"/><Relationship Id="rId69" Type="http://schemas.openxmlformats.org/officeDocument/2006/relationships/hyperlink" Target="https://www5.cao.go.jp/keizai1/keizaitaisaku/2020/20200420_economic_measures_all.pdf" TargetMode="External"/><Relationship Id="rId77" Type="http://schemas.openxmlformats.org/officeDocument/2006/relationships/hyperlink" Target="https://agenciadenoticias.bndes.gov.br/detalhe/noticia/Fundo-para-eficiencia-energetica-do-BNDES-recebera-aporte-de-R$-30-milhoes-do-Procel/" TargetMode="External"/><Relationship Id="rId100" Type="http://schemas.openxmlformats.org/officeDocument/2006/relationships/hyperlink" Target="https://www.environment.gov.za/speech/sotyu_onlinesustainabilitysummit2020" TargetMode="External"/><Relationship Id="rId105" Type="http://schemas.openxmlformats.org/officeDocument/2006/relationships/hyperlink" Target="https://treasury.gov.au/sites/default/files/2020-12/HomeBuilder_extension_factsheet.pdf" TargetMode="External"/><Relationship Id="rId113" Type="http://schemas.openxmlformats.org/officeDocument/2006/relationships/hyperlink" Target="https://assets.publishing.service.gov.uk/government/uploads/system/uploads/attachment_data/file/966868/BUDGET_2021_-_web.pdf" TargetMode="External"/><Relationship Id="rId118" Type="http://schemas.openxmlformats.org/officeDocument/2006/relationships/comments" Target="../comments1.xml"/><Relationship Id="rId8" Type="http://schemas.openxmlformats.org/officeDocument/2006/relationships/hyperlink" Target="https://www.energy.gov/articles/doe-announces-intent-provide-122m-establish-coal-products-innovation-centers" TargetMode="External"/><Relationship Id="rId51" Type="http://schemas.openxmlformats.org/officeDocument/2006/relationships/hyperlink" Target="https://magyarkozlony.hu/hivatalos-lapok/tMkTed9rU4L8GJ85RJmk5fe3ba8f5a9e6/dokumentumok/859e519d6c6249e6fb9f896bca0f5a928ddcb983/letoltes" TargetMode="External"/><Relationship Id="rId72" Type="http://schemas.openxmlformats.org/officeDocument/2006/relationships/hyperlink" Target="https://www.rockefellerfoundation.org/report/city-resilience-framework/" TargetMode="External"/><Relationship Id="rId80" Type="http://schemas.openxmlformats.org/officeDocument/2006/relationships/hyperlink" Target="https://www.emta.ee/et/ariklient/aktsiisid-vara-hasartmang/kutus-ja-elektrienergia/aktsiisimaarade-ajutine-vahendamine" TargetMode="External"/><Relationship Id="rId85" Type="http://schemas.openxmlformats.org/officeDocument/2006/relationships/hyperlink" Target="https://www.gouvernement.fr/sites/default/files/contenu/piece-jointe/2020/09/fiches_intro_thematiques_pia_4.pdf" TargetMode="External"/><Relationship Id="rId93" Type="http://schemas.openxmlformats.org/officeDocument/2006/relationships/hyperlink" Target="https://www.camara.leg.br/noticias/721368-sancionada-lei-de-pagamento-por-servicos-ambientais/" TargetMode="External"/><Relationship Id="rId98" Type="http://schemas.openxmlformats.org/officeDocument/2006/relationships/hyperlink" Target="https://www.camara.leg.br/proposicoesWeb/fichadetramitacao?idProposicao=257161" TargetMode="External"/><Relationship Id="rId3" Type="http://schemas.openxmlformats.org/officeDocument/2006/relationships/hyperlink" Target="https://www.nytimes.com/2020/06/01/climate/trump-clean-water-pipelines.html?smid=tw-share" TargetMode="External"/><Relationship Id="rId12" Type="http://schemas.openxmlformats.org/officeDocument/2006/relationships/hyperlink" Target="https://www.congress.gov/bill/116th-congress/senate-bill/3779" TargetMode="External"/><Relationship Id="rId17" Type="http://schemas.openxmlformats.org/officeDocument/2006/relationships/hyperlink" Target="https://www.ft.com/content/4d3d88c8-7eb6-4d06-bec0-c0ca8d91a045" TargetMode="External"/><Relationship Id="rId25" Type="http://schemas.openxmlformats.org/officeDocument/2006/relationships/hyperlink" Target="https://oilprice.com/Energy/Crude-Oil/The-Cowboy-State-Looks-To-Stimulate-Oil-Drilling-With-Tax-Cuts.html" TargetMode="External"/><Relationship Id="rId33" Type="http://schemas.openxmlformats.org/officeDocument/2006/relationships/hyperlink" Target="https://www.bloomberg.com/news/articles/2020-06-05/germany-s-recovery-fund-gets-green-hue-with-its-focus-on-climate" TargetMode="External"/><Relationship Id="rId38" Type="http://schemas.openxmlformats.org/officeDocument/2006/relationships/hyperlink" Target="https://de.reuters.com/article/us-germany-autos/germany-to-up-financial-aid-for-cars-sector-government-sources-idUSKBN27X1S7" TargetMode="External"/><Relationship Id="rId46" Type="http://schemas.openxmlformats.org/officeDocument/2006/relationships/hyperlink" Target="https://eodashboard.org/" TargetMode="External"/><Relationship Id="rId59" Type="http://schemas.openxmlformats.org/officeDocument/2006/relationships/hyperlink" Target="https://www.vvy.fi/ajankohtaista/uutiset/ymparistoministerion-avustushaku/" TargetMode="External"/><Relationship Id="rId67" Type="http://schemas.openxmlformats.org/officeDocument/2006/relationships/hyperlink" Target="http://www.env.go.jp/guide/budget/r02/r0204-hos-gaiyo/full.pdf" TargetMode="External"/><Relationship Id="rId103" Type="http://schemas.openxmlformats.org/officeDocument/2006/relationships/hyperlink" Target="https://www.tralac.org/documents/news/3777-sustainable-infrastructure-development-symposium-south-africa-sidssa-23-june-2020/file.html" TargetMode="External"/><Relationship Id="rId108" Type="http://schemas.openxmlformats.org/officeDocument/2006/relationships/hyperlink" Target="https://www.gov.uk/government/publications/the-ten-point-plan-for-a-green-industrial-revolution/title" TargetMode="External"/><Relationship Id="rId116" Type="http://schemas.openxmlformats.org/officeDocument/2006/relationships/printerSettings" Target="../printerSettings/printerSettings2.bin"/><Relationship Id="rId20" Type="http://schemas.openxmlformats.org/officeDocument/2006/relationships/hyperlink" Target="https://www.cpapracticeadvisor.com/tax-compliance/news/21151392/what-does-irs-treasury-carbon-capture-tax-credit-guidance-mean-for-future-energy-production" TargetMode="External"/><Relationship Id="rId41" Type="http://schemas.openxmlformats.org/officeDocument/2006/relationships/hyperlink" Target="https://www.swissinfo.ch/eng/sign-off-session_swiss-parliament-extends-coronavirus-relief-package/45737938" TargetMode="External"/><Relationship Id="rId54" Type="http://schemas.openxmlformats.org/officeDocument/2006/relationships/hyperlink" Target="https://www.palyazat.gov.hu/ginop-128-20-a-mikro-kis-s-kzpvllalkozsok-modern-zleti-s-termelsi-kihvsokhoz-val-alkalmazkodst-segt-fejlesztsek-tmogatsa-1" TargetMode="External"/><Relationship Id="rId62" Type="http://schemas.openxmlformats.org/officeDocument/2006/relationships/hyperlink" Target="https://www.gov.uk/government/news/735-million-to-boost-green-economic-recovery-in-automotive-sector" TargetMode="External"/><Relationship Id="rId70" Type="http://schemas.openxmlformats.org/officeDocument/2006/relationships/hyperlink" Target="https://www.gov.pl/web/tarczaantykryzysowa/nowe-terminy" TargetMode="External"/><Relationship Id="rId75" Type="http://schemas.openxmlformats.org/officeDocument/2006/relationships/hyperlink" Target="https://www.gov.pl/web/klimat/ustawa-offshore-przyjeta-przez-senat" TargetMode="External"/><Relationship Id="rId83" Type="http://schemas.openxmlformats.org/officeDocument/2006/relationships/hyperlink" Target="https://www.economie.gouv.fr/files/files/directions_services/plan-de-relance/annexe-fiche-mesures.pdf" TargetMode="External"/><Relationship Id="rId88" Type="http://schemas.openxmlformats.org/officeDocument/2006/relationships/hyperlink" Target="https://www.iea.org/reports/sustainable-recovery/a-sustainable-recovery-plan-for-the-energy-sector" TargetMode="External"/><Relationship Id="rId91" Type="http://schemas.openxmlformats.org/officeDocument/2006/relationships/hyperlink" Target="https://www.gov.br/mma/pt-br/noticias/mma-institui-programa-floresta-para-remunerar-quem-protege-a-mata-nativa" TargetMode="External"/><Relationship Id="rId96" Type="http://schemas.openxmlformats.org/officeDocument/2006/relationships/hyperlink" Target="https://www.gov.br/casacivil/pt-br/assuntos/noticias/2020/outubro/decreto-institui-a-estrategia-federal-de-desenvolvimento-para-o-brasil-ate-2031" TargetMode="External"/><Relationship Id="rId111" Type="http://schemas.openxmlformats.org/officeDocument/2006/relationships/hyperlink" Target="https://www.gov.uk/government/news/government-boosts-energy-efficiency-spending-to-13-billion-with-extra-funding-for-green-homes" TargetMode="External"/><Relationship Id="rId1" Type="http://schemas.openxmlformats.org/officeDocument/2006/relationships/hyperlink" Target="https://www.epa.gov/sites/production/files/2020-06/documents/covid19addendumontermination.pdf" TargetMode="External"/><Relationship Id="rId6" Type="http://schemas.openxmlformats.org/officeDocument/2006/relationships/hyperlink" Target="https://www.dol.gov/newsroom/releases/eta/eta20200310" TargetMode="External"/><Relationship Id="rId15" Type="http://schemas.openxmlformats.org/officeDocument/2006/relationships/hyperlink" Target="https://www.congress.gov/bill/116th-congress/senate-bill/3779" TargetMode="External"/><Relationship Id="rId23" Type="http://schemas.openxmlformats.org/officeDocument/2006/relationships/hyperlink" Target="https://eplanning.blm.gov/public_projects/102555/200241580/20024135/250030339/Coastal%20Plain%20Record%20of%20Decision.pdf" TargetMode="External"/><Relationship Id="rId28" Type="http://schemas.openxmlformats.org/officeDocument/2006/relationships/hyperlink" Target="https://www.bloomberg.com/news/articles/2020-06-05/germany-s-recovery-fund-gets-green-hue-with-its-focus-on-climate" TargetMode="External"/><Relationship Id="rId36" Type="http://schemas.openxmlformats.org/officeDocument/2006/relationships/hyperlink" Target="https://de.reuters.com/article/us-germany-autos/germany-to-up-financial-aid-for-cars-sector-government-sources-idUSKBN27X1S9" TargetMode="External"/><Relationship Id="rId49" Type="http://schemas.openxmlformats.org/officeDocument/2006/relationships/hyperlink" Target="https://www.env.go.jp/saigai/novel_coronavirus_2020.html" TargetMode="External"/><Relationship Id="rId57" Type="http://schemas.openxmlformats.org/officeDocument/2006/relationships/hyperlink" Target="https://mmm.fi/en/forests/biodiversity-and-protection/metso-programme" TargetMode="External"/><Relationship Id="rId106" Type="http://schemas.openxmlformats.org/officeDocument/2006/relationships/hyperlink" Target="https://www.awe.gov.au/sites/default/files/2020-10/budget-2020-21_cultivating-profitable-and-resilient-agricultural-businesses.pdf" TargetMode="External"/><Relationship Id="rId114" Type="http://schemas.openxmlformats.org/officeDocument/2006/relationships/hyperlink" Target="https://assets.publishing.service.gov.uk/government/uploads/system/uploads/attachment_data/file/966868/BUDGET_2021_-_web.pdf" TargetMode="External"/><Relationship Id="rId10" Type="http://schemas.openxmlformats.org/officeDocument/2006/relationships/hyperlink" Target="https://www.energy.ca.gov/news/2020-05/geothermal-lithium-recovery-projects-get-boost-california-energy-commission" TargetMode="External"/><Relationship Id="rId31" Type="http://schemas.openxmlformats.org/officeDocument/2006/relationships/hyperlink" Target="https://www.bundesfinanzministerium.de/Content/DE/Standardartikel/Themen/Schlaglichter/Konjunkturpaket/2020-06-03-eckpunktepapier.pdf?__blob=publicationFile" TargetMode="External"/><Relationship Id="rId44" Type="http://schemas.openxmlformats.org/officeDocument/2006/relationships/hyperlink" Target="https://asia.nikkei.com/Business/Transportation/Virus-hit-Korean-Air-and-Asiana-offered-2bn-bailout%20Accessed%207%20July%202020" TargetMode="External"/><Relationship Id="rId52" Type="http://schemas.openxmlformats.org/officeDocument/2006/relationships/hyperlink" Target="https://www.palyazat.gov.hu/vekop-126-20-a-mikro-kis-s-kzpvllalkozsok-modern-zleti-s-termelsi-kihvsokhoz-val-alkalmazkodst-segt-fejlesztsek-tmogatsa-1" TargetMode="External"/><Relationship Id="rId60" Type="http://schemas.openxmlformats.org/officeDocument/2006/relationships/hyperlink" Target="https://ym.fi/documents/1410903/33891761/kestava_elvytys_loppuraportti-2110.pdf/c8edf006-334f-ecd9-5364-9d55720823fe/kestava_elvytys_loppuraportti-2110.pdf?t=1603343569943" TargetMode="External"/><Relationship Id="rId65" Type="http://schemas.openxmlformats.org/officeDocument/2006/relationships/hyperlink" Target="https://ec.europa.eu/commission/presscorner/detail/en/IP_20_1032%20(31%20August%202020)" TargetMode="External"/><Relationship Id="rId73" Type="http://schemas.openxmlformats.org/officeDocument/2006/relationships/hyperlink" Target="http://www.ekodotacje.ios.edu.pl/" TargetMode="External"/><Relationship Id="rId78" Type="http://schemas.openxmlformats.org/officeDocument/2006/relationships/hyperlink" Target="https://www.gov.br/anp/pt-br/canais_atendimento/imprensa/noticias-comunicados/reducao-de-royalties-para-empresas-de-pequeno-e-medio-portes-e-tema-de-workshop-1" TargetMode="External"/><Relationship Id="rId81" Type="http://schemas.openxmlformats.org/officeDocument/2006/relationships/hyperlink" Target="https://www.emta.ee/eng/business-client/excise-duties-assets-gambling/about-excise-duties/rates-excise-duty" TargetMode="External"/><Relationship Id="rId86" Type="http://schemas.openxmlformats.org/officeDocument/2006/relationships/hyperlink" Target="https://www.env.go.jp/en/earth/cc/adaptation.html" TargetMode="External"/><Relationship Id="rId94" Type="http://schemas.openxmlformats.org/officeDocument/2006/relationships/hyperlink" Target="https://www.euractiv.com/section/energy-environment/news/eu-does-not-exclude-funding-gas-highways-under-green-recovery-plan/" TargetMode="External"/><Relationship Id="rId99" Type="http://schemas.openxmlformats.org/officeDocument/2006/relationships/hyperlink" Target="http://www.treasury.gov.za/comm_media/press/2020/20200423%20Media%20statement%20-%20Further%20tax%20measures%20to%20combat%20COVID-19.pdf%20;" TargetMode="External"/><Relationship Id="rId101" Type="http://schemas.openxmlformats.org/officeDocument/2006/relationships/hyperlink" Target="https://www.environment.gov.za/speech/sotyu_onlinesustainabilitysummit2020" TargetMode="External"/><Relationship Id="rId4" Type="http://schemas.openxmlformats.org/officeDocument/2006/relationships/hyperlink" Target="https://www.whitehouse.gov/presidential-actions/executive-order-regulatory-relief-support-economic-recovery/" TargetMode="External"/><Relationship Id="rId9" Type="http://schemas.openxmlformats.org/officeDocument/2006/relationships/hyperlink" Target="https://www.reuters.com/article/us-usa-energy-carboncapture/u-s-treasury-unveils-rules-for-carbon-capture-tax-credits-idUSKBN2352S6" TargetMode="External"/><Relationship Id="rId13" Type="http://schemas.openxmlformats.org/officeDocument/2006/relationships/hyperlink" Target="https://news.bloombergtax.com/daily-tax-report/u-s-treasury-extends-deadlines-for-renewable-energy-projects" TargetMode="External"/><Relationship Id="rId18" Type="http://schemas.openxmlformats.org/officeDocument/2006/relationships/hyperlink" Target="https://www.bloomberg.com/news/articles/2020-04-15/u-s-weighs-paying-drillers-to-leave-oil-in-the-ground-amid-glut?sref=HeRxKWIM" TargetMode="External"/><Relationship Id="rId39" Type="http://schemas.openxmlformats.org/officeDocument/2006/relationships/hyperlink" Target="https://de.reuters.com/article/us-germany-autos/germany-to-up-financial-aid-for-cars-sector-government-sources-idUSKBN27X1S7" TargetMode="External"/><Relationship Id="rId109" Type="http://schemas.openxmlformats.org/officeDocument/2006/relationships/hyperlink" Target="https://assets.publishing.service.gov.uk/government/uploads/system/uploads/attachment_data/file/963166/Supplementary_Estimates_2020-21_web.pdf" TargetMode="External"/><Relationship Id="rId34" Type="http://schemas.openxmlformats.org/officeDocument/2006/relationships/hyperlink" Target="https://www.bundesfinanzministerium.de/Content/DE/Standardartikel/Themen/Schlaglichter/Konjunkturpaket/2020-06-03-eckpunktepapier.pdf?__blob=publicationFile" TargetMode="External"/><Relationship Id="rId50" Type="http://schemas.openxmlformats.org/officeDocument/2006/relationships/hyperlink" Target="https://ceenergynews.com/transport/hungarian-government-to-launch-green-bus-program/" TargetMode="External"/><Relationship Id="rId55" Type="http://schemas.openxmlformats.org/officeDocument/2006/relationships/hyperlink" Target="https://www.palyazat.gov.hu/ginop-1214-20-divat-s-dizjnipari-mikro-kis-s-kzpvllalkozsok-modern-zleti-s-termelsi-kihvsokhoz-val-alkalmazkodst-segt-fejlesztsek-tmogatsa-1" TargetMode="External"/><Relationship Id="rId76" Type="http://schemas.openxmlformats.org/officeDocument/2006/relationships/hyperlink" Target="https://www.gov.pl/web/fundusze-regiony/konkurs-dotacji-w-ramach-partnerskiej-inicjatywy-miast-dla-sieci-pilotazowych-w-latach-2017--2019" TargetMode="External"/><Relationship Id="rId97" Type="http://schemas.openxmlformats.org/officeDocument/2006/relationships/hyperlink" Target="https://www25.senado.leg.br/web/atividade/materias/-/materia/126049" TargetMode="External"/><Relationship Id="rId104" Type="http://schemas.openxmlformats.org/officeDocument/2006/relationships/hyperlink" Target="https://www.ndrc.gov.cn/xxgk/zcfb/tz/202103/t20210304_1268929.html" TargetMode="External"/><Relationship Id="rId7" Type="http://schemas.openxmlformats.org/officeDocument/2006/relationships/hyperlink" Target="https://www.irs.gov/newsroom/treasury-irs-provide-safe-harbor-for-taxpayers-that-develop-renewable-energy-projects" TargetMode="External"/><Relationship Id="rId71" Type="http://schemas.openxmlformats.org/officeDocument/2006/relationships/hyperlink" Target="https://dziennikustaw.gov.pl/D2020000069501.pdfhttps:/wyborcza.pl/7,155287,25821533,sa-juz-gotowe-projekty-ustaw-o-pomocy-pracownikom-i-firmom.html" TargetMode="External"/><Relationship Id="rId92" Type="http://schemas.openxmlformats.org/officeDocument/2006/relationships/hyperlink" Target="https://antigo.mma.gov.br/agenda-ambiental-urbana/res%C3%ADduos-s%C3%B3lidos.html" TargetMode="External"/><Relationship Id="rId2" Type="http://schemas.openxmlformats.org/officeDocument/2006/relationships/hyperlink" Target="https://www.federalregister.gov/documents/2020/06/09/2020-12584/accelerating-the-nations-economic-recovery-from-the-covid-19-emergency-by-expediting-infrastructure" TargetMode="External"/><Relationship Id="rId29" Type="http://schemas.openxmlformats.org/officeDocument/2006/relationships/hyperlink" Target="https://www.bundesfinanzministerium.de/Content/DE/Standardartikel/Themen/Schlaglichter/Konjunkturpaket/2020-06-03-eckpunktepapier.pdf?__blob=publicationFil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1"/>
  <sheetViews>
    <sheetView workbookViewId="0">
      <selection activeCell="B17" sqref="B17"/>
    </sheetView>
  </sheetViews>
  <sheetFormatPr defaultRowHeight="12.5" x14ac:dyDescent="0.25"/>
  <cols>
    <col min="1" max="1" width="12.36328125" style="109" bestFit="1" customWidth="1"/>
    <col min="2" max="2" width="16.08984375" style="106" bestFit="1" customWidth="1"/>
    <col min="3" max="3" width="37.90625" style="2" customWidth="1"/>
  </cols>
  <sheetData>
    <row r="1" spans="1:3" x14ac:dyDescent="0.25">
      <c r="A1" s="10" t="s">
        <v>2759</v>
      </c>
    </row>
    <row r="2" spans="1:3" x14ac:dyDescent="0.25">
      <c r="A2" s="10"/>
    </row>
    <row r="3" spans="1:3" ht="13" x14ac:dyDescent="0.3">
      <c r="A3" s="107" t="s">
        <v>2760</v>
      </c>
      <c r="B3" s="108" t="s">
        <v>2761</v>
      </c>
      <c r="C3" s="5" t="s">
        <v>2762</v>
      </c>
    </row>
    <row r="4" spans="1:3" x14ac:dyDescent="0.25">
      <c r="A4" s="109" t="s">
        <v>2763</v>
      </c>
      <c r="B4" s="110" t="s">
        <v>0</v>
      </c>
      <c r="C4" s="2" t="s">
        <v>2764</v>
      </c>
    </row>
    <row r="5" spans="1:3" x14ac:dyDescent="0.25">
      <c r="A5" s="109" t="s">
        <v>2765</v>
      </c>
      <c r="B5" s="105" t="s">
        <v>620</v>
      </c>
      <c r="C5" s="2" t="s">
        <v>2766</v>
      </c>
    </row>
    <row r="6" spans="1:3" x14ac:dyDescent="0.25">
      <c r="A6" s="109" t="s">
        <v>2767</v>
      </c>
      <c r="B6" s="111" t="s">
        <v>1</v>
      </c>
      <c r="C6" s="2" t="s">
        <v>2768</v>
      </c>
    </row>
    <row r="7" spans="1:3" x14ac:dyDescent="0.25">
      <c r="A7" s="109" t="s">
        <v>2769</v>
      </c>
      <c r="B7" s="110" t="s">
        <v>3</v>
      </c>
      <c r="C7" s="2" t="s">
        <v>2770</v>
      </c>
    </row>
    <row r="8" spans="1:3" x14ac:dyDescent="0.25">
      <c r="A8" s="109" t="s">
        <v>2771</v>
      </c>
      <c r="B8" s="110" t="s">
        <v>4</v>
      </c>
      <c r="C8" s="2" t="s">
        <v>2772</v>
      </c>
    </row>
    <row r="9" spans="1:3" ht="25" x14ac:dyDescent="0.25">
      <c r="A9" s="109" t="s">
        <v>2773</v>
      </c>
      <c r="B9" s="110" t="s">
        <v>5</v>
      </c>
      <c r="C9" s="2" t="s">
        <v>2774</v>
      </c>
    </row>
    <row r="10" spans="1:3" ht="23" x14ac:dyDescent="0.25">
      <c r="A10" s="109" t="s">
        <v>2775</v>
      </c>
      <c r="B10" s="110" t="s">
        <v>6</v>
      </c>
      <c r="C10" s="2" t="s">
        <v>2776</v>
      </c>
    </row>
    <row r="11" spans="1:3" ht="23" x14ac:dyDescent="0.25">
      <c r="A11" s="109" t="s">
        <v>2777</v>
      </c>
      <c r="B11" s="110" t="s">
        <v>2515</v>
      </c>
      <c r="C11" s="218" t="s">
        <v>2778</v>
      </c>
    </row>
    <row r="12" spans="1:3" ht="23" x14ac:dyDescent="0.25">
      <c r="A12" s="109" t="s">
        <v>2779</v>
      </c>
      <c r="B12" s="110" t="s">
        <v>2516</v>
      </c>
      <c r="C12" s="218"/>
    </row>
    <row r="13" spans="1:3" ht="23" x14ac:dyDescent="0.25">
      <c r="A13" s="109" t="s">
        <v>2780</v>
      </c>
      <c r="B13" s="110" t="s">
        <v>2517</v>
      </c>
      <c r="C13" s="218"/>
    </row>
    <row r="14" spans="1:3" x14ac:dyDescent="0.25">
      <c r="A14" s="109" t="s">
        <v>2781</v>
      </c>
      <c r="B14" s="111" t="s">
        <v>8</v>
      </c>
      <c r="C14" s="2" t="s">
        <v>2782</v>
      </c>
    </row>
    <row r="15" spans="1:3" x14ac:dyDescent="0.25">
      <c r="A15" s="109" t="s">
        <v>2783</v>
      </c>
      <c r="B15" s="110" t="s">
        <v>2784</v>
      </c>
      <c r="C15" s="218" t="s">
        <v>2785</v>
      </c>
    </row>
    <row r="16" spans="1:3" x14ac:dyDescent="0.25">
      <c r="A16" s="109" t="s">
        <v>2786</v>
      </c>
      <c r="B16" s="110" t="s">
        <v>9</v>
      </c>
      <c r="C16" s="218"/>
    </row>
    <row r="17" spans="1:3" x14ac:dyDescent="0.25">
      <c r="A17" s="109" t="s">
        <v>2787</v>
      </c>
      <c r="B17" s="110" t="s">
        <v>667</v>
      </c>
    </row>
    <row r="18" spans="1:3" x14ac:dyDescent="0.25">
      <c r="A18" s="109" t="s">
        <v>2788</v>
      </c>
      <c r="B18" s="112" t="s">
        <v>873</v>
      </c>
      <c r="C18" s="2" t="s">
        <v>2789</v>
      </c>
    </row>
    <row r="19" spans="1:3" x14ac:dyDescent="0.25">
      <c r="A19" s="109" t="s">
        <v>2790</v>
      </c>
      <c r="B19" s="110" t="s">
        <v>668</v>
      </c>
      <c r="C19" s="218" t="s">
        <v>2791</v>
      </c>
    </row>
    <row r="20" spans="1:3" ht="23" x14ac:dyDescent="0.25">
      <c r="A20" s="109" t="s">
        <v>2792</v>
      </c>
      <c r="B20" s="113" t="s">
        <v>2793</v>
      </c>
      <c r="C20" s="218"/>
    </row>
    <row r="21" spans="1:3" ht="23" x14ac:dyDescent="0.25">
      <c r="A21" s="109" t="s">
        <v>2794</v>
      </c>
      <c r="B21" s="114" t="s">
        <v>2398</v>
      </c>
      <c r="C21" s="218"/>
    </row>
  </sheetData>
  <mergeCells count="3">
    <mergeCell ref="C11:C13"/>
    <mergeCell ref="C15:C16"/>
    <mergeCell ref="C19:C2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878"/>
  <sheetViews>
    <sheetView tabSelected="1" zoomScale="60" zoomScaleNormal="60" workbookViewId="0">
      <pane xSplit="2" ySplit="1" topLeftCell="C2" activePane="bottomRight" state="frozen"/>
      <selection pane="topRight" activeCell="C1" sqref="C1"/>
      <selection pane="bottomLeft" activeCell="A2" sqref="A2"/>
      <selection pane="bottomRight" activeCell="E236" sqref="E236"/>
    </sheetView>
  </sheetViews>
  <sheetFormatPr defaultColWidth="8.90625" defaultRowHeight="11.5" x14ac:dyDescent="0.25"/>
  <cols>
    <col min="1" max="1" width="7.1796875" style="31" customWidth="1"/>
    <col min="2" max="2" width="5.54296875" style="31" customWidth="1"/>
    <col min="3" max="3" width="20.453125" style="31" customWidth="1"/>
    <col min="4" max="4" width="8.90625" style="31" customWidth="1"/>
    <col min="5" max="5" width="13.90625" style="31" customWidth="1"/>
    <col min="6" max="6" width="13.36328125" style="31" customWidth="1"/>
    <col min="7" max="9" width="12.54296875" style="31" customWidth="1"/>
    <col min="10" max="10" width="72.453125" style="31" customWidth="1"/>
    <col min="11" max="11" width="34.36328125" style="31" customWidth="1"/>
    <col min="12" max="12" width="12.1796875" style="31" customWidth="1"/>
    <col min="13" max="13" width="25.90625" style="31" customWidth="1"/>
    <col min="14" max="14" width="5.54296875" style="31" customWidth="1"/>
    <col min="15" max="15" width="10.54296875" style="42" customWidth="1"/>
    <col min="16" max="16" width="13.81640625" style="31" customWidth="1"/>
    <col min="17" max="17" width="16.6328125" style="32" bestFit="1" customWidth="1"/>
    <col min="18" max="18" width="19.453125" style="32" customWidth="1"/>
    <col min="19" max="20" width="15" style="31" hidden="1" customWidth="1"/>
    <col min="21" max="22" width="0" style="31" hidden="1" customWidth="1"/>
    <col min="23" max="16384" width="8.90625" style="31"/>
  </cols>
  <sheetData>
    <row r="1" spans="1:23" ht="31" customHeight="1" thickBot="1" x14ac:dyDescent="0.3">
      <c r="A1" s="69" t="s">
        <v>0</v>
      </c>
      <c r="B1" s="70" t="s">
        <v>620</v>
      </c>
      <c r="C1" s="71" t="s">
        <v>1</v>
      </c>
      <c r="D1" s="69" t="s">
        <v>3</v>
      </c>
      <c r="E1" s="69" t="s">
        <v>4</v>
      </c>
      <c r="F1" s="69" t="s">
        <v>5</v>
      </c>
      <c r="G1" s="17" t="s">
        <v>2515</v>
      </c>
      <c r="H1" s="17" t="s">
        <v>2516</v>
      </c>
      <c r="I1" s="17" t="s">
        <v>2517</v>
      </c>
      <c r="J1" s="71" t="s">
        <v>8</v>
      </c>
      <c r="K1" s="17" t="s">
        <v>2518</v>
      </c>
      <c r="L1" s="17" t="s">
        <v>9</v>
      </c>
      <c r="M1" s="139" t="s">
        <v>3199</v>
      </c>
      <c r="N1" s="140" t="s">
        <v>667</v>
      </c>
      <c r="O1" s="141" t="s">
        <v>873</v>
      </c>
      <c r="P1" s="17" t="s">
        <v>2489</v>
      </c>
      <c r="Q1" s="18" t="s">
        <v>2489</v>
      </c>
      <c r="R1" s="37" t="s">
        <v>2398</v>
      </c>
      <c r="S1" s="65" t="s">
        <v>2921</v>
      </c>
    </row>
    <row r="2" spans="1:23" ht="13.25" customHeight="1" x14ac:dyDescent="0.25">
      <c r="A2" s="31" t="s">
        <v>704</v>
      </c>
      <c r="B2" s="31" t="s">
        <v>623</v>
      </c>
      <c r="C2" s="31" t="s">
        <v>22</v>
      </c>
      <c r="D2" s="31" t="s">
        <v>13</v>
      </c>
      <c r="E2" s="31" t="s">
        <v>172</v>
      </c>
      <c r="F2" s="31" t="s">
        <v>705</v>
      </c>
      <c r="G2" s="152" t="s">
        <v>3173</v>
      </c>
      <c r="J2" s="31" t="s">
        <v>706</v>
      </c>
      <c r="K2" s="31" t="s">
        <v>707</v>
      </c>
      <c r="M2" s="31" t="s">
        <v>101</v>
      </c>
      <c r="P2" s="31" t="s">
        <v>2231</v>
      </c>
      <c r="Q2" s="32">
        <v>100</v>
      </c>
      <c r="R2" s="19">
        <f>IFERROR(Q2/VLOOKUP(P2,'Exchange rates to USD'!$L$2:$N$225,3,FALSE),"")</f>
        <v>70.702103260405096</v>
      </c>
      <c r="V2" s="152"/>
      <c r="W2" s="152"/>
    </row>
    <row r="3" spans="1:23" ht="13.25" customHeight="1" x14ac:dyDescent="0.25">
      <c r="A3" s="31" t="s">
        <v>708</v>
      </c>
      <c r="B3" s="31" t="s">
        <v>623</v>
      </c>
      <c r="C3" s="31" t="s">
        <v>22</v>
      </c>
      <c r="D3" s="31" t="s">
        <v>13</v>
      </c>
      <c r="E3" s="31" t="s">
        <v>172</v>
      </c>
      <c r="F3" s="31" t="s">
        <v>709</v>
      </c>
      <c r="G3" s="152" t="s">
        <v>3173</v>
      </c>
      <c r="J3" s="31" t="s">
        <v>710</v>
      </c>
      <c r="K3" s="31" t="s">
        <v>707</v>
      </c>
      <c r="M3" s="31" t="s">
        <v>737</v>
      </c>
      <c r="P3" s="31" t="s">
        <v>2231</v>
      </c>
      <c r="Q3" s="32">
        <v>198</v>
      </c>
      <c r="R3" s="19">
        <f>IFERROR(Q3/VLOOKUP(P3,'Exchange rates to USD'!$L$2:$N$225,3,FALSE),"")</f>
        <v>139.99016445560207</v>
      </c>
      <c r="U3" s="152"/>
      <c r="V3" s="152"/>
      <c r="W3" s="152"/>
    </row>
    <row r="4" spans="1:23" ht="13.25" customHeight="1" x14ac:dyDescent="0.25">
      <c r="A4" s="31" t="s">
        <v>711</v>
      </c>
      <c r="B4" s="31" t="s">
        <v>623</v>
      </c>
      <c r="C4" s="31" t="s">
        <v>22</v>
      </c>
      <c r="D4" s="31" t="s">
        <v>13</v>
      </c>
      <c r="E4" s="31" t="s">
        <v>172</v>
      </c>
      <c r="F4" s="31" t="s">
        <v>712</v>
      </c>
      <c r="G4" s="152" t="s">
        <v>3173</v>
      </c>
      <c r="J4" s="31" t="s">
        <v>713</v>
      </c>
      <c r="K4" s="31" t="s">
        <v>707</v>
      </c>
      <c r="M4" s="31" t="s">
        <v>101</v>
      </c>
      <c r="P4" s="31" t="s">
        <v>2231</v>
      </c>
      <c r="Q4" s="32">
        <v>110</v>
      </c>
      <c r="R4" s="19">
        <f>IFERROR(Q4/VLOOKUP(P4,'Exchange rates to USD'!$L$2:$N$225,3,FALSE),"")</f>
        <v>77.772313586445605</v>
      </c>
      <c r="U4" s="152"/>
      <c r="V4" s="152"/>
      <c r="W4" s="152"/>
    </row>
    <row r="5" spans="1:23" ht="13.25" customHeight="1" x14ac:dyDescent="0.25">
      <c r="A5" s="31" t="s">
        <v>714</v>
      </c>
      <c r="B5" s="31" t="s">
        <v>623</v>
      </c>
      <c r="C5" s="31" t="s">
        <v>2531</v>
      </c>
      <c r="D5" s="31" t="s">
        <v>13</v>
      </c>
      <c r="E5" s="31" t="s">
        <v>3200</v>
      </c>
      <c r="G5" s="31" t="s">
        <v>41</v>
      </c>
      <c r="J5" s="31" t="s">
        <v>715</v>
      </c>
      <c r="K5" s="31" t="s">
        <v>707</v>
      </c>
      <c r="M5" s="31" t="s">
        <v>737</v>
      </c>
      <c r="R5" s="19" t="str">
        <f>IFERROR(Q5/VLOOKUP(P5,'Exchange rates to USD'!$L$2:$N$225,3,FALSE),"")</f>
        <v/>
      </c>
      <c r="U5" s="152"/>
      <c r="V5" s="152"/>
      <c r="W5" s="152"/>
    </row>
    <row r="6" spans="1:23" ht="13.25" customHeight="1" x14ac:dyDescent="0.25">
      <c r="A6" s="31" t="s">
        <v>716</v>
      </c>
      <c r="B6" s="31" t="s">
        <v>623</v>
      </c>
      <c r="C6" s="31" t="s">
        <v>2531</v>
      </c>
      <c r="D6" s="31" t="s">
        <v>23</v>
      </c>
      <c r="E6" s="31" t="s">
        <v>3200</v>
      </c>
      <c r="F6" s="31" t="s">
        <v>717</v>
      </c>
      <c r="G6" s="31" t="s">
        <v>41</v>
      </c>
      <c r="J6" s="31" t="s">
        <v>718</v>
      </c>
      <c r="K6" s="31" t="s">
        <v>707</v>
      </c>
      <c r="M6" s="31" t="s">
        <v>737</v>
      </c>
      <c r="P6" s="31" t="s">
        <v>2231</v>
      </c>
      <c r="Q6" s="32">
        <v>12</v>
      </c>
      <c r="R6" s="19">
        <f>IFERROR(Q6/VLOOKUP(P6,'Exchange rates to USD'!$L$2:$N$225,3,FALSE),"")</f>
        <v>8.4842523912486101</v>
      </c>
      <c r="U6" s="152"/>
      <c r="V6" s="152"/>
      <c r="W6" s="152"/>
    </row>
    <row r="7" spans="1:23" ht="13.25" customHeight="1" x14ac:dyDescent="0.25">
      <c r="A7" s="31" t="s">
        <v>719</v>
      </c>
      <c r="B7" s="31" t="s">
        <v>623</v>
      </c>
      <c r="C7" s="31" t="s">
        <v>2531</v>
      </c>
      <c r="D7" s="31" t="s">
        <v>13</v>
      </c>
      <c r="E7" s="31" t="s">
        <v>3200</v>
      </c>
      <c r="F7" s="31" t="s">
        <v>720</v>
      </c>
      <c r="G7" s="31" t="s">
        <v>41</v>
      </c>
      <c r="J7" s="31" t="s">
        <v>721</v>
      </c>
      <c r="K7" s="31" t="s">
        <v>707</v>
      </c>
      <c r="M7" s="31" t="s">
        <v>101</v>
      </c>
      <c r="P7" s="31" t="s">
        <v>2231</v>
      </c>
      <c r="Q7" s="32">
        <v>8.1</v>
      </c>
      <c r="R7" s="19">
        <f>IFERROR(Q7/VLOOKUP(P7,'Exchange rates to USD'!$L$2:$N$225,3,FALSE),"")</f>
        <v>5.7268703640928118</v>
      </c>
      <c r="U7" s="152"/>
      <c r="V7" s="152"/>
      <c r="W7" s="152"/>
    </row>
    <row r="8" spans="1:23" ht="13.25" customHeight="1" x14ac:dyDescent="0.25">
      <c r="A8" s="31" t="s">
        <v>722</v>
      </c>
      <c r="B8" s="31" t="s">
        <v>623</v>
      </c>
      <c r="C8" s="31" t="s">
        <v>22</v>
      </c>
      <c r="D8" s="31" t="s">
        <v>13</v>
      </c>
      <c r="E8" s="31" t="s">
        <v>3200</v>
      </c>
      <c r="F8" s="31" t="s">
        <v>723</v>
      </c>
      <c r="G8" s="31" t="s">
        <v>41</v>
      </c>
      <c r="J8" s="31" t="s">
        <v>724</v>
      </c>
      <c r="K8" s="31" t="s">
        <v>707</v>
      </c>
      <c r="M8" s="31" t="s">
        <v>737</v>
      </c>
      <c r="P8" s="31" t="s">
        <v>2231</v>
      </c>
      <c r="Q8" s="32">
        <v>4</v>
      </c>
      <c r="R8" s="19">
        <f>IFERROR(Q8/VLOOKUP(P8,'Exchange rates to USD'!$L$2:$N$225,3,FALSE),"")</f>
        <v>2.8280841304162037</v>
      </c>
      <c r="U8" s="152"/>
      <c r="V8" s="152"/>
      <c r="W8" s="152"/>
    </row>
    <row r="9" spans="1:23" ht="13.25" customHeight="1" x14ac:dyDescent="0.25">
      <c r="A9" s="31" t="s">
        <v>725</v>
      </c>
      <c r="B9" s="31" t="s">
        <v>623</v>
      </c>
      <c r="C9" s="31" t="s">
        <v>22</v>
      </c>
      <c r="D9" s="31" t="s">
        <v>13</v>
      </c>
      <c r="E9" s="31" t="s">
        <v>98</v>
      </c>
      <c r="F9" s="31" t="s">
        <v>726</v>
      </c>
      <c r="G9" s="31" t="s">
        <v>41</v>
      </c>
      <c r="J9" s="31" t="s">
        <v>727</v>
      </c>
      <c r="K9" s="31" t="s">
        <v>707</v>
      </c>
      <c r="M9" s="31" t="s">
        <v>113</v>
      </c>
      <c r="P9" s="31" t="s">
        <v>2231</v>
      </c>
      <c r="Q9" s="32">
        <v>10</v>
      </c>
      <c r="R9" s="19">
        <f>IFERROR(Q9/VLOOKUP(P9,'Exchange rates to USD'!$L$2:$N$225,3,FALSE),"")</f>
        <v>7.0702103260405087</v>
      </c>
      <c r="U9" s="152"/>
      <c r="V9" s="152"/>
      <c r="W9" s="152"/>
    </row>
    <row r="10" spans="1:23" ht="13.25" customHeight="1" x14ac:dyDescent="0.25">
      <c r="A10" s="31" t="s">
        <v>728</v>
      </c>
      <c r="B10" s="31" t="s">
        <v>623</v>
      </c>
      <c r="C10" s="31" t="s">
        <v>2531</v>
      </c>
      <c r="D10" s="31" t="s">
        <v>13</v>
      </c>
      <c r="E10" s="31" t="s">
        <v>14</v>
      </c>
      <c r="G10" s="31" t="s">
        <v>111</v>
      </c>
      <c r="H10" s="31" t="s">
        <v>670</v>
      </c>
      <c r="J10" s="31" t="s">
        <v>729</v>
      </c>
      <c r="K10" s="31" t="s">
        <v>707</v>
      </c>
      <c r="M10" s="31" t="s">
        <v>113</v>
      </c>
      <c r="R10" s="19" t="str">
        <f>IFERROR(Q10/VLOOKUP(P10,'Exchange rates to USD'!$L$2:$N$225,3,FALSE),"")</f>
        <v/>
      </c>
      <c r="U10" s="152"/>
      <c r="V10" s="152"/>
      <c r="W10" s="152"/>
    </row>
    <row r="11" spans="1:23" ht="13.25" customHeight="1" x14ac:dyDescent="0.25">
      <c r="A11" s="31" t="s">
        <v>730</v>
      </c>
      <c r="B11" s="31" t="s">
        <v>623</v>
      </c>
      <c r="C11" s="31" t="s">
        <v>22</v>
      </c>
      <c r="D11" s="31" t="s">
        <v>13</v>
      </c>
      <c r="E11" s="31" t="s">
        <v>172</v>
      </c>
      <c r="F11" s="31" t="s">
        <v>731</v>
      </c>
      <c r="G11" s="152" t="s">
        <v>3173</v>
      </c>
      <c r="J11" s="31" t="s">
        <v>732</v>
      </c>
      <c r="K11" s="31" t="s">
        <v>733</v>
      </c>
      <c r="M11" s="31" t="s">
        <v>101</v>
      </c>
      <c r="P11" s="31" t="s">
        <v>2231</v>
      </c>
      <c r="Q11" s="32">
        <v>715</v>
      </c>
      <c r="R11" s="19">
        <f>IFERROR(Q11/VLOOKUP(P11,'Exchange rates to USD'!$L$2:$N$225,3,FALSE),"")</f>
        <v>505.52003831189637</v>
      </c>
      <c r="U11" s="152"/>
      <c r="V11" s="152"/>
      <c r="W11" s="152"/>
    </row>
    <row r="12" spans="1:23" ht="13.25" customHeight="1" x14ac:dyDescent="0.25">
      <c r="A12" s="31" t="s">
        <v>734</v>
      </c>
      <c r="B12" s="31" t="s">
        <v>623</v>
      </c>
      <c r="C12" s="31" t="s">
        <v>22</v>
      </c>
      <c r="D12" s="31" t="s">
        <v>23</v>
      </c>
      <c r="E12" s="31" t="s">
        <v>3200</v>
      </c>
      <c r="F12" s="31" t="s">
        <v>735</v>
      </c>
      <c r="G12" s="31" t="s">
        <v>44</v>
      </c>
      <c r="J12" s="31" t="s">
        <v>736</v>
      </c>
      <c r="K12" s="31" t="s">
        <v>733</v>
      </c>
      <c r="M12" s="31" t="s">
        <v>737</v>
      </c>
      <c r="P12" s="31" t="s">
        <v>2231</v>
      </c>
      <c r="Q12" s="32">
        <v>1000</v>
      </c>
      <c r="R12" s="19">
        <f>IFERROR(Q12/VLOOKUP(P12,'Exchange rates to USD'!$L$2:$N$225,3,FALSE),"")</f>
        <v>707.0210326040509</v>
      </c>
      <c r="U12" s="152"/>
      <c r="V12" s="152"/>
      <c r="W12" s="152"/>
    </row>
    <row r="13" spans="1:23" ht="13.25" customHeight="1" x14ac:dyDescent="0.25">
      <c r="A13" s="31" t="s">
        <v>776</v>
      </c>
      <c r="B13" s="31" t="s">
        <v>623</v>
      </c>
      <c r="C13" s="31" t="s">
        <v>22</v>
      </c>
      <c r="D13" s="31" t="s">
        <v>39</v>
      </c>
      <c r="E13" s="31" t="s">
        <v>3200</v>
      </c>
      <c r="F13" s="31" t="s">
        <v>777</v>
      </c>
      <c r="G13" s="31" t="s">
        <v>3173</v>
      </c>
      <c r="H13" s="31" t="s">
        <v>25</v>
      </c>
      <c r="I13" s="31" t="s">
        <v>44</v>
      </c>
      <c r="J13" s="31" t="s">
        <v>778</v>
      </c>
      <c r="K13" s="31" t="s">
        <v>779</v>
      </c>
      <c r="M13" s="31" t="s">
        <v>871</v>
      </c>
      <c r="P13" s="31" t="s">
        <v>2231</v>
      </c>
      <c r="Q13" s="32">
        <v>51800</v>
      </c>
      <c r="R13" s="19">
        <f>IFERROR(Q13/VLOOKUP(P13,'Exchange rates to USD'!$L$2:$N$225,3,FALSE),"")</f>
        <v>36623.689488889839</v>
      </c>
      <c r="U13" s="152"/>
      <c r="V13" s="152"/>
      <c r="W13" s="152"/>
    </row>
    <row r="14" spans="1:23" s="38" customFormat="1" ht="13.25" customHeight="1" x14ac:dyDescent="0.25">
      <c r="A14" s="152" t="s">
        <v>3156</v>
      </c>
      <c r="B14" s="152" t="s">
        <v>623</v>
      </c>
      <c r="C14" s="145" t="s">
        <v>22</v>
      </c>
      <c r="D14" s="145" t="s">
        <v>872</v>
      </c>
      <c r="E14" s="145" t="s">
        <v>161</v>
      </c>
      <c r="F14" s="202"/>
      <c r="G14" s="213" t="s">
        <v>41</v>
      </c>
      <c r="H14" s="149"/>
      <c r="I14" s="149"/>
      <c r="J14" s="145" t="s">
        <v>3020</v>
      </c>
      <c r="K14" s="177" t="s">
        <v>3021</v>
      </c>
      <c r="L14" s="81" t="s">
        <v>3022</v>
      </c>
      <c r="M14" s="149" t="s">
        <v>737</v>
      </c>
      <c r="O14" s="45">
        <v>44260</v>
      </c>
      <c r="Q14" s="60"/>
      <c r="R14" s="48"/>
      <c r="S14" s="38" t="s">
        <v>3112</v>
      </c>
      <c r="U14" s="152"/>
      <c r="V14" s="152"/>
      <c r="W14" s="152"/>
    </row>
    <row r="15" spans="1:23" s="152" customFormat="1" ht="13.25" customHeight="1" x14ac:dyDescent="0.25">
      <c r="A15" s="152" t="s">
        <v>3157</v>
      </c>
      <c r="B15" s="152" t="s">
        <v>623</v>
      </c>
      <c r="C15" s="13" t="s">
        <v>30</v>
      </c>
      <c r="D15" s="13" t="s">
        <v>872</v>
      </c>
      <c r="E15" s="13" t="s">
        <v>88</v>
      </c>
      <c r="F15" s="13" t="s">
        <v>3024</v>
      </c>
      <c r="G15" s="13" t="s">
        <v>44</v>
      </c>
      <c r="H15" s="13"/>
      <c r="I15" s="13"/>
      <c r="J15" s="145" t="s">
        <v>3025</v>
      </c>
      <c r="K15" s="73" t="s">
        <v>3026</v>
      </c>
      <c r="L15" s="179"/>
      <c r="M15" s="13" t="s">
        <v>737</v>
      </c>
      <c r="N15" s="38"/>
      <c r="O15" s="45">
        <v>44294</v>
      </c>
      <c r="P15" s="38" t="s">
        <v>2231</v>
      </c>
      <c r="Q15" s="186">
        <v>14.4</v>
      </c>
      <c r="R15" s="48">
        <f>IFERROR(Q15/VLOOKUP(P15,'Exchange rates to USD'!$L$2:$N$225,3,FALSE),"")</f>
        <v>10.181102869498334</v>
      </c>
    </row>
    <row r="16" spans="1:23" s="152" customFormat="1" ht="13.25" customHeight="1" x14ac:dyDescent="0.25">
      <c r="A16" s="152" t="s">
        <v>3158</v>
      </c>
      <c r="B16" s="152" t="s">
        <v>623</v>
      </c>
      <c r="C16" s="13" t="s">
        <v>44</v>
      </c>
      <c r="D16" s="13" t="s">
        <v>872</v>
      </c>
      <c r="E16" s="13" t="s">
        <v>161</v>
      </c>
      <c r="F16" s="39" t="s">
        <v>3028</v>
      </c>
      <c r="G16" s="13" t="s">
        <v>41</v>
      </c>
      <c r="H16" s="13"/>
      <c r="I16" s="13"/>
      <c r="J16" s="145" t="s">
        <v>3029</v>
      </c>
      <c r="K16" s="179" t="s">
        <v>3030</v>
      </c>
      <c r="L16" s="179"/>
      <c r="M16" s="13" t="s">
        <v>737</v>
      </c>
      <c r="N16" s="38"/>
      <c r="O16" s="45">
        <v>44294</v>
      </c>
      <c r="P16" s="38" t="s">
        <v>2231</v>
      </c>
      <c r="Q16" s="186">
        <v>40.6</v>
      </c>
      <c r="R16" s="48">
        <f>IFERROR(Q16/VLOOKUP(P16,'Exchange rates to USD'!$L$2:$N$225,3,FALSE),"")</f>
        <v>28.705053923724467</v>
      </c>
    </row>
    <row r="17" spans="1:18" s="152" customFormat="1" ht="13.25" customHeight="1" x14ac:dyDescent="0.25">
      <c r="A17" s="152" t="s">
        <v>3159</v>
      </c>
      <c r="B17" s="152" t="s">
        <v>623</v>
      </c>
      <c r="C17" s="13" t="s">
        <v>22</v>
      </c>
      <c r="D17" s="13" t="s">
        <v>872</v>
      </c>
      <c r="E17" s="13" t="s">
        <v>3200</v>
      </c>
      <c r="F17" s="39" t="s">
        <v>3032</v>
      </c>
      <c r="G17" s="13" t="s">
        <v>41</v>
      </c>
      <c r="H17" s="13" t="s">
        <v>670</v>
      </c>
      <c r="I17" s="13"/>
      <c r="J17" s="145" t="s">
        <v>3033</v>
      </c>
      <c r="K17" s="179" t="s">
        <v>3030</v>
      </c>
      <c r="L17" s="179"/>
      <c r="M17" s="13" t="s">
        <v>737</v>
      </c>
      <c r="N17" s="38"/>
      <c r="O17" s="45">
        <v>44294</v>
      </c>
      <c r="P17" s="38" t="s">
        <v>2231</v>
      </c>
      <c r="Q17" s="186">
        <v>3.2</v>
      </c>
      <c r="R17" s="48">
        <f>IFERROR(Q17/VLOOKUP(P17,'Exchange rates to USD'!$L$2:$N$225,3,FALSE),"")</f>
        <v>2.2624673043329628</v>
      </c>
    </row>
    <row r="18" spans="1:18" s="152" customFormat="1" ht="13.25" customHeight="1" x14ac:dyDescent="0.25">
      <c r="A18" s="152" t="s">
        <v>3160</v>
      </c>
      <c r="B18" s="152" t="s">
        <v>623</v>
      </c>
      <c r="C18" s="13" t="s">
        <v>22</v>
      </c>
      <c r="D18" s="13" t="s">
        <v>872</v>
      </c>
      <c r="E18" s="13" t="s">
        <v>3200</v>
      </c>
      <c r="F18" s="39" t="s">
        <v>3035</v>
      </c>
      <c r="G18" s="13" t="s">
        <v>44</v>
      </c>
      <c r="H18" s="13" t="s">
        <v>41</v>
      </c>
      <c r="I18" s="13"/>
      <c r="J18" s="145" t="s">
        <v>3036</v>
      </c>
      <c r="K18" s="73" t="s">
        <v>3030</v>
      </c>
      <c r="L18" s="179"/>
      <c r="M18" s="13" t="s">
        <v>737</v>
      </c>
      <c r="N18" s="38"/>
      <c r="O18" s="45">
        <v>44294</v>
      </c>
      <c r="P18" s="38" t="s">
        <v>2231</v>
      </c>
      <c r="Q18" s="186">
        <v>5.5</v>
      </c>
      <c r="R18" s="48">
        <f>IFERROR(Q18/VLOOKUP(P18,'Exchange rates to USD'!$L$2:$N$225,3,FALSE),"")</f>
        <v>3.8886156793222799</v>
      </c>
    </row>
    <row r="19" spans="1:18" s="152" customFormat="1" ht="13.25" customHeight="1" x14ac:dyDescent="0.25">
      <c r="A19" s="152" t="s">
        <v>3161</v>
      </c>
      <c r="B19" s="152" t="s">
        <v>623</v>
      </c>
      <c r="C19" s="13" t="s">
        <v>12</v>
      </c>
      <c r="D19" s="13" t="s">
        <v>872</v>
      </c>
      <c r="E19" s="13" t="s">
        <v>3200</v>
      </c>
      <c r="F19" s="39" t="s">
        <v>3038</v>
      </c>
      <c r="G19" s="13" t="s">
        <v>44</v>
      </c>
      <c r="H19" s="13" t="s">
        <v>41</v>
      </c>
      <c r="I19" s="13"/>
      <c r="J19" s="145" t="s">
        <v>3039</v>
      </c>
      <c r="K19" s="179" t="s">
        <v>3030</v>
      </c>
      <c r="L19" s="179"/>
      <c r="M19" s="13" t="s">
        <v>737</v>
      </c>
      <c r="N19" s="38"/>
      <c r="O19" s="45">
        <v>44294</v>
      </c>
      <c r="P19" s="38" t="s">
        <v>2231</v>
      </c>
      <c r="Q19" s="186">
        <v>6</v>
      </c>
      <c r="R19" s="48">
        <f>IFERROR(Q19/VLOOKUP(P19,'Exchange rates to USD'!$L$2:$N$225,3,FALSE),"")</f>
        <v>4.242126195624305</v>
      </c>
    </row>
    <row r="20" spans="1:18" s="152" customFormat="1" ht="13.25" customHeight="1" x14ac:dyDescent="0.25">
      <c r="A20" s="152" t="s">
        <v>3162</v>
      </c>
      <c r="B20" s="152" t="s">
        <v>623</v>
      </c>
      <c r="C20" s="13" t="s">
        <v>22</v>
      </c>
      <c r="D20" s="13" t="s">
        <v>872</v>
      </c>
      <c r="E20" s="13" t="s">
        <v>3200</v>
      </c>
      <c r="F20" s="39" t="s">
        <v>3041</v>
      </c>
      <c r="G20" s="13" t="s">
        <v>44</v>
      </c>
      <c r="H20" s="13" t="s">
        <v>41</v>
      </c>
      <c r="I20" s="13"/>
      <c r="J20" s="145" t="s">
        <v>3042</v>
      </c>
      <c r="K20" s="179" t="s">
        <v>3030</v>
      </c>
      <c r="L20" s="179"/>
      <c r="M20" s="13" t="s">
        <v>737</v>
      </c>
      <c r="N20" s="38"/>
      <c r="O20" s="45">
        <v>44294</v>
      </c>
      <c r="P20" s="38" t="s">
        <v>2231</v>
      </c>
      <c r="Q20" s="186">
        <v>11.2</v>
      </c>
      <c r="R20" s="48">
        <f>IFERROR(Q20/VLOOKUP(P20,'Exchange rates to USD'!$L$2:$N$225,3,FALSE),"")</f>
        <v>7.9186355651653697</v>
      </c>
    </row>
    <row r="21" spans="1:18" s="152" customFormat="1" ht="13.25" customHeight="1" x14ac:dyDescent="0.25">
      <c r="A21" s="152" t="s">
        <v>3163</v>
      </c>
      <c r="B21" s="152" t="s">
        <v>623</v>
      </c>
      <c r="C21" s="13" t="s">
        <v>22</v>
      </c>
      <c r="D21" s="13" t="s">
        <v>872</v>
      </c>
      <c r="E21" s="13" t="s">
        <v>3200</v>
      </c>
      <c r="F21" s="13" t="s">
        <v>3044</v>
      </c>
      <c r="G21" s="13" t="s">
        <v>44</v>
      </c>
      <c r="H21" s="13"/>
      <c r="I21" s="13"/>
      <c r="J21" s="145" t="s">
        <v>3045</v>
      </c>
      <c r="K21" s="179" t="s">
        <v>3046</v>
      </c>
      <c r="L21" s="179"/>
      <c r="M21" s="13" t="s">
        <v>113</v>
      </c>
      <c r="N21" s="38"/>
      <c r="O21" s="45">
        <v>44294</v>
      </c>
      <c r="P21" s="38" t="s">
        <v>2231</v>
      </c>
      <c r="Q21" s="186">
        <v>5</v>
      </c>
      <c r="R21" s="48">
        <f>IFERROR(Q21/VLOOKUP(P21,'Exchange rates to USD'!$L$2:$N$225,3,FALSE),"")</f>
        <v>3.5351051630202543</v>
      </c>
    </row>
    <row r="22" spans="1:18" s="152" customFormat="1" ht="13.25" customHeight="1" x14ac:dyDescent="0.25">
      <c r="A22" s="152" t="s">
        <v>3164</v>
      </c>
      <c r="B22" s="152" t="s">
        <v>623</v>
      </c>
      <c r="C22" s="13" t="s">
        <v>44</v>
      </c>
      <c r="D22" s="13" t="s">
        <v>872</v>
      </c>
      <c r="E22" s="13" t="s">
        <v>619</v>
      </c>
      <c r="F22" s="13" t="s">
        <v>3048</v>
      </c>
      <c r="G22" s="13" t="s">
        <v>111</v>
      </c>
      <c r="H22" s="13"/>
      <c r="I22" s="13"/>
      <c r="J22" s="145" t="s">
        <v>3049</v>
      </c>
      <c r="K22" s="179" t="s">
        <v>3050</v>
      </c>
      <c r="L22" s="179"/>
      <c r="M22" s="13" t="s">
        <v>113</v>
      </c>
      <c r="N22" s="38"/>
      <c r="O22" s="45">
        <v>44294</v>
      </c>
      <c r="P22" s="38" t="s">
        <v>2231</v>
      </c>
      <c r="Q22" s="186">
        <v>59.6</v>
      </c>
      <c r="R22" s="48">
        <f>IFERROR(Q22/VLOOKUP(P22,'Exchange rates to USD'!$L$2:$N$225,3,FALSE),"")</f>
        <v>42.138453543201436</v>
      </c>
    </row>
    <row r="23" spans="1:18" s="152" customFormat="1" ht="13.25" customHeight="1" x14ac:dyDescent="0.25">
      <c r="A23" s="152" t="s">
        <v>3165</v>
      </c>
      <c r="B23" s="152" t="s">
        <v>623</v>
      </c>
      <c r="C23" s="13" t="s">
        <v>44</v>
      </c>
      <c r="D23" s="13" t="s">
        <v>872</v>
      </c>
      <c r="E23" s="13" t="s">
        <v>619</v>
      </c>
      <c r="F23" s="13" t="s">
        <v>3052</v>
      </c>
      <c r="G23" s="13" t="s">
        <v>111</v>
      </c>
      <c r="H23" s="13"/>
      <c r="I23" s="13"/>
      <c r="J23" s="145" t="s">
        <v>3053</v>
      </c>
      <c r="K23" s="179" t="s">
        <v>3050</v>
      </c>
      <c r="L23" s="179"/>
      <c r="M23" s="13" t="s">
        <v>113</v>
      </c>
      <c r="N23" s="38"/>
      <c r="O23" s="45">
        <v>44294</v>
      </c>
      <c r="P23" s="38" t="s">
        <v>2231</v>
      </c>
      <c r="Q23" s="186">
        <v>190</v>
      </c>
      <c r="R23" s="48">
        <f>IFERROR(Q23/VLOOKUP(P23,'Exchange rates to USD'!$L$2:$N$225,3,FALSE),"")</f>
        <v>134.33399619476967</v>
      </c>
    </row>
    <row r="24" spans="1:18" s="152" customFormat="1" ht="13.25" customHeight="1" x14ac:dyDescent="0.25">
      <c r="A24" s="152" t="s">
        <v>3166</v>
      </c>
      <c r="B24" s="152" t="s">
        <v>623</v>
      </c>
      <c r="C24" s="13" t="s">
        <v>44</v>
      </c>
      <c r="D24" s="13" t="s">
        <v>872</v>
      </c>
      <c r="E24" s="13" t="s">
        <v>3200</v>
      </c>
      <c r="F24" s="13" t="s">
        <v>3055</v>
      </c>
      <c r="G24" s="13" t="s">
        <v>41</v>
      </c>
      <c r="H24" s="13" t="s">
        <v>809</v>
      </c>
      <c r="I24" s="13"/>
      <c r="J24" s="145" t="s">
        <v>3056</v>
      </c>
      <c r="K24" s="179" t="s">
        <v>3057</v>
      </c>
      <c r="L24" s="179"/>
      <c r="M24" s="13" t="s">
        <v>113</v>
      </c>
      <c r="N24" s="38"/>
      <c r="O24" s="45">
        <v>44294</v>
      </c>
      <c r="P24" s="38" t="s">
        <v>2231</v>
      </c>
      <c r="Q24" s="186">
        <v>2.5</v>
      </c>
      <c r="R24" s="48">
        <f>IFERROR(Q24/VLOOKUP(P24,'Exchange rates to USD'!$L$2:$N$225,3,FALSE),"")</f>
        <v>1.7675525815101272</v>
      </c>
    </row>
    <row r="25" spans="1:18" s="152" customFormat="1" ht="13.25" customHeight="1" x14ac:dyDescent="0.25">
      <c r="A25" s="152" t="s">
        <v>3019</v>
      </c>
      <c r="B25" s="152" t="s">
        <v>623</v>
      </c>
      <c r="C25" s="13" t="s">
        <v>22</v>
      </c>
      <c r="D25" s="13" t="s">
        <v>39</v>
      </c>
      <c r="E25" s="13" t="s">
        <v>3200</v>
      </c>
      <c r="F25" s="13" t="s">
        <v>3059</v>
      </c>
      <c r="G25" s="13" t="s">
        <v>41</v>
      </c>
      <c r="H25" s="13" t="s">
        <v>670</v>
      </c>
      <c r="I25" s="13"/>
      <c r="J25" s="145" t="s">
        <v>3060</v>
      </c>
      <c r="K25" s="179" t="s">
        <v>3061</v>
      </c>
      <c r="L25" s="179"/>
      <c r="M25" s="13" t="s">
        <v>113</v>
      </c>
      <c r="N25" s="38"/>
      <c r="O25" s="45">
        <v>44294</v>
      </c>
      <c r="P25" s="38" t="s">
        <v>2231</v>
      </c>
      <c r="Q25" s="186">
        <v>37.6</v>
      </c>
      <c r="R25" s="48">
        <f>IFERROR(Q25/VLOOKUP(P25,'Exchange rates to USD'!$L$2:$N$225,3,FALSE),"")</f>
        <v>26.583990825912316</v>
      </c>
    </row>
    <row r="26" spans="1:18" s="152" customFormat="1" ht="13.25" customHeight="1" x14ac:dyDescent="0.25">
      <c r="A26" s="152" t="s">
        <v>3023</v>
      </c>
      <c r="B26" s="152" t="s">
        <v>623</v>
      </c>
      <c r="C26" s="13" t="s">
        <v>22</v>
      </c>
      <c r="D26" s="13" t="s">
        <v>39</v>
      </c>
      <c r="E26" s="13" t="s">
        <v>3200</v>
      </c>
      <c r="F26" s="13" t="s">
        <v>3063</v>
      </c>
      <c r="G26" s="13" t="s">
        <v>41</v>
      </c>
      <c r="H26" s="13" t="s">
        <v>670</v>
      </c>
      <c r="I26" s="13"/>
      <c r="J26" s="145" t="s">
        <v>3064</v>
      </c>
      <c r="K26" s="179" t="s">
        <v>3061</v>
      </c>
      <c r="L26" s="179"/>
      <c r="M26" s="13" t="s">
        <v>113</v>
      </c>
      <c r="N26" s="38"/>
      <c r="O26" s="45">
        <v>44294</v>
      </c>
      <c r="P26" s="38" t="s">
        <v>2231</v>
      </c>
      <c r="Q26" s="186">
        <v>24.5</v>
      </c>
      <c r="R26" s="48">
        <f>IFERROR(Q26/VLOOKUP(P26,'Exchange rates to USD'!$L$2:$N$225,3,FALSE),"")</f>
        <v>17.322015298799247</v>
      </c>
    </row>
    <row r="27" spans="1:18" s="152" customFormat="1" ht="13.25" customHeight="1" x14ac:dyDescent="0.25">
      <c r="A27" s="152" t="s">
        <v>3027</v>
      </c>
      <c r="B27" s="152" t="s">
        <v>623</v>
      </c>
      <c r="C27" s="13" t="s">
        <v>44</v>
      </c>
      <c r="D27" s="13" t="s">
        <v>39</v>
      </c>
      <c r="E27" s="13" t="s">
        <v>3200</v>
      </c>
      <c r="F27" s="13" t="s">
        <v>3066</v>
      </c>
      <c r="G27" s="13" t="s">
        <v>41</v>
      </c>
      <c r="H27" s="13"/>
      <c r="I27" s="13"/>
      <c r="J27" s="145" t="s">
        <v>3067</v>
      </c>
      <c r="K27" s="179" t="s">
        <v>3061</v>
      </c>
      <c r="L27" s="179"/>
      <c r="M27" s="13" t="s">
        <v>113</v>
      </c>
      <c r="N27" s="38"/>
      <c r="O27" s="45">
        <v>44294</v>
      </c>
      <c r="P27" s="38" t="s">
        <v>2231</v>
      </c>
      <c r="Q27" s="186">
        <v>4.2</v>
      </c>
      <c r="R27" s="48">
        <f>IFERROR(Q27/VLOOKUP(P27,'Exchange rates to USD'!$L$2:$N$225,3,FALSE),"")</f>
        <v>2.969488336937014</v>
      </c>
    </row>
    <row r="28" spans="1:18" s="152" customFormat="1" ht="13.25" customHeight="1" x14ac:dyDescent="0.25">
      <c r="A28" s="152" t="s">
        <v>3031</v>
      </c>
      <c r="B28" s="152" t="s">
        <v>623</v>
      </c>
      <c r="C28" s="13" t="s">
        <v>44</v>
      </c>
      <c r="D28" s="13" t="s">
        <v>39</v>
      </c>
      <c r="E28" s="13" t="s">
        <v>3200</v>
      </c>
      <c r="F28" s="13" t="s">
        <v>3069</v>
      </c>
      <c r="G28" s="13" t="s">
        <v>41</v>
      </c>
      <c r="H28" s="13" t="s">
        <v>670</v>
      </c>
      <c r="I28" s="13"/>
      <c r="J28" s="145" t="s">
        <v>3070</v>
      </c>
      <c r="K28" s="179" t="s">
        <v>3071</v>
      </c>
      <c r="L28" s="179"/>
      <c r="M28" s="13" t="s">
        <v>113</v>
      </c>
      <c r="N28" s="38"/>
      <c r="O28" s="45">
        <v>44294</v>
      </c>
      <c r="P28" s="38" t="s">
        <v>2231</v>
      </c>
      <c r="Q28" s="186">
        <v>20</v>
      </c>
      <c r="R28" s="48">
        <f>IFERROR(Q28/VLOOKUP(P28,'Exchange rates to USD'!$L$2:$N$225,3,FALSE),"")</f>
        <v>14.140420652081017</v>
      </c>
    </row>
    <row r="29" spans="1:18" s="152" customFormat="1" ht="13.25" customHeight="1" x14ac:dyDescent="0.25">
      <c r="A29" s="152" t="s">
        <v>3034</v>
      </c>
      <c r="B29" s="152" t="s">
        <v>623</v>
      </c>
      <c r="C29" s="145" t="s">
        <v>84</v>
      </c>
      <c r="D29" s="145" t="s">
        <v>39</v>
      </c>
      <c r="E29" s="145" t="s">
        <v>3200</v>
      </c>
      <c r="F29" s="145" t="s">
        <v>3073</v>
      </c>
      <c r="G29" s="145" t="s">
        <v>41</v>
      </c>
      <c r="H29" s="145" t="s">
        <v>809</v>
      </c>
      <c r="I29" s="176"/>
      <c r="J29" s="145" t="s">
        <v>3074</v>
      </c>
      <c r="K29" s="180" t="s">
        <v>3075</v>
      </c>
      <c r="L29" s="178"/>
      <c r="M29" s="13" t="s">
        <v>113</v>
      </c>
      <c r="N29" s="38"/>
      <c r="O29" s="45">
        <v>44294</v>
      </c>
      <c r="P29" s="38" t="s">
        <v>2231</v>
      </c>
      <c r="Q29" s="187">
        <v>23</v>
      </c>
      <c r="R29" s="48">
        <f>IFERROR(Q29/VLOOKUP(P29,'Exchange rates to USD'!$L$2:$N$225,3,FALSE),"")</f>
        <v>16.26148374989317</v>
      </c>
    </row>
    <row r="30" spans="1:18" s="152" customFormat="1" ht="13.25" customHeight="1" x14ac:dyDescent="0.25">
      <c r="A30" s="152" t="s">
        <v>3037</v>
      </c>
      <c r="B30" s="152" t="s">
        <v>623</v>
      </c>
      <c r="C30" s="145" t="s">
        <v>22</v>
      </c>
      <c r="D30" s="145" t="s">
        <v>872</v>
      </c>
      <c r="E30" s="145" t="s">
        <v>14</v>
      </c>
      <c r="F30" s="145" t="s">
        <v>726</v>
      </c>
      <c r="G30" s="149" t="s">
        <v>3173</v>
      </c>
      <c r="H30" s="149" t="s">
        <v>25</v>
      </c>
      <c r="I30" s="149"/>
      <c r="J30" s="145" t="s">
        <v>3077</v>
      </c>
      <c r="K30" s="177" t="s">
        <v>3075</v>
      </c>
      <c r="L30" s="178"/>
      <c r="M30" s="13" t="s">
        <v>113</v>
      </c>
      <c r="N30" s="38"/>
      <c r="O30" s="45">
        <v>44294</v>
      </c>
      <c r="P30" s="38" t="s">
        <v>2231</v>
      </c>
      <c r="Q30" s="187">
        <v>10</v>
      </c>
      <c r="R30" s="48">
        <f>IFERROR(Q30/VLOOKUP(P30,'Exchange rates to USD'!$L$2:$N$225,3,FALSE),"")</f>
        <v>7.0702103260405087</v>
      </c>
    </row>
    <row r="31" spans="1:18" s="152" customFormat="1" ht="13.25" customHeight="1" x14ac:dyDescent="0.25">
      <c r="A31" s="152" t="s">
        <v>3040</v>
      </c>
      <c r="B31" s="152" t="s">
        <v>623</v>
      </c>
      <c r="C31" s="145" t="s">
        <v>44</v>
      </c>
      <c r="D31" s="145" t="s">
        <v>39</v>
      </c>
      <c r="E31" s="145" t="s">
        <v>14</v>
      </c>
      <c r="F31" s="145" t="s">
        <v>3038</v>
      </c>
      <c r="G31" s="149" t="s">
        <v>3173</v>
      </c>
      <c r="H31" s="149" t="s">
        <v>25</v>
      </c>
      <c r="I31" s="149"/>
      <c r="J31" s="145" t="s">
        <v>3079</v>
      </c>
      <c r="K31" s="178" t="s">
        <v>3075</v>
      </c>
      <c r="L31" s="178"/>
      <c r="M31" s="13" t="s">
        <v>113</v>
      </c>
      <c r="N31" s="38"/>
      <c r="O31" s="45">
        <v>44294</v>
      </c>
      <c r="P31" s="38" t="s">
        <v>2231</v>
      </c>
      <c r="Q31" s="187">
        <v>6</v>
      </c>
      <c r="R31" s="48">
        <f>IFERROR(Q31/VLOOKUP(P31,'Exchange rates to USD'!$L$2:$N$225,3,FALSE),"")</f>
        <v>4.242126195624305</v>
      </c>
    </row>
    <row r="32" spans="1:18" s="152" customFormat="1" ht="13.25" customHeight="1" x14ac:dyDescent="0.25">
      <c r="A32" s="152" t="s">
        <v>3043</v>
      </c>
      <c r="B32" s="152" t="s">
        <v>623</v>
      </c>
      <c r="C32" s="145" t="s">
        <v>44</v>
      </c>
      <c r="D32" s="145" t="s">
        <v>39</v>
      </c>
      <c r="E32" s="145" t="s">
        <v>161</v>
      </c>
      <c r="F32" s="145" t="s">
        <v>3081</v>
      </c>
      <c r="G32" s="20" t="s">
        <v>44</v>
      </c>
      <c r="H32" s="149" t="s">
        <v>41</v>
      </c>
      <c r="I32" s="149"/>
      <c r="J32" s="145" t="s">
        <v>3082</v>
      </c>
      <c r="K32" s="177" t="s">
        <v>3075</v>
      </c>
      <c r="L32" s="178"/>
      <c r="M32" s="149" t="s">
        <v>113</v>
      </c>
      <c r="N32" s="38"/>
      <c r="O32" s="45">
        <v>44294</v>
      </c>
      <c r="P32" s="38" t="s">
        <v>2231</v>
      </c>
      <c r="Q32" s="187">
        <v>13</v>
      </c>
      <c r="R32" s="48">
        <f>IFERROR(Q32/VLOOKUP(P32,'Exchange rates to USD'!$L$2:$N$225,3,FALSE),"")</f>
        <v>9.1912734238526621</v>
      </c>
    </row>
    <row r="33" spans="1:23" s="152" customFormat="1" ht="13.25" customHeight="1" x14ac:dyDescent="0.25">
      <c r="A33" s="152" t="s">
        <v>3047</v>
      </c>
      <c r="B33" s="152" t="s">
        <v>623</v>
      </c>
      <c r="C33" s="145" t="s">
        <v>84</v>
      </c>
      <c r="D33" s="145" t="s">
        <v>39</v>
      </c>
      <c r="E33" s="145" t="s">
        <v>3200</v>
      </c>
      <c r="F33" s="145" t="s">
        <v>3035</v>
      </c>
      <c r="G33" s="145" t="s">
        <v>44</v>
      </c>
      <c r="H33" s="176" t="s">
        <v>3173</v>
      </c>
      <c r="I33" s="176"/>
      <c r="J33" s="145" t="s">
        <v>3084</v>
      </c>
      <c r="K33" s="177" t="s">
        <v>3075</v>
      </c>
      <c r="L33" s="178"/>
      <c r="M33" s="149" t="s">
        <v>113</v>
      </c>
      <c r="N33" s="38"/>
      <c r="O33" s="45">
        <v>44294</v>
      </c>
      <c r="P33" s="38" t="s">
        <v>2231</v>
      </c>
      <c r="Q33" s="187">
        <v>5.5</v>
      </c>
      <c r="R33" s="48">
        <f>IFERROR(Q33/VLOOKUP(P33,'Exchange rates to USD'!$L$2:$N$225,3,FALSE),"")</f>
        <v>3.8886156793222799</v>
      </c>
    </row>
    <row r="34" spans="1:23" s="152" customFormat="1" ht="13.25" customHeight="1" x14ac:dyDescent="0.25">
      <c r="A34" s="152" t="s">
        <v>3051</v>
      </c>
      <c r="B34" s="152" t="s">
        <v>623</v>
      </c>
      <c r="C34" s="145" t="s">
        <v>22</v>
      </c>
      <c r="D34" s="145" t="s">
        <v>872</v>
      </c>
      <c r="E34" s="145" t="s">
        <v>14</v>
      </c>
      <c r="F34" s="145" t="s">
        <v>780</v>
      </c>
      <c r="G34" s="145" t="s">
        <v>3173</v>
      </c>
      <c r="H34" s="176" t="s">
        <v>25</v>
      </c>
      <c r="I34" s="176"/>
      <c r="J34" s="145" t="s">
        <v>3086</v>
      </c>
      <c r="K34" s="177" t="s">
        <v>3087</v>
      </c>
      <c r="L34" s="178"/>
      <c r="M34" s="149" t="s">
        <v>113</v>
      </c>
      <c r="N34" s="38"/>
      <c r="O34" s="45">
        <v>44294</v>
      </c>
      <c r="P34" s="38" t="s">
        <v>2231</v>
      </c>
      <c r="Q34" s="187">
        <v>50</v>
      </c>
      <c r="R34" s="48">
        <f>IFERROR(Q34/VLOOKUP(P34,'Exchange rates to USD'!$L$2:$N$225,3,FALSE),"")</f>
        <v>35.351051630202548</v>
      </c>
    </row>
    <row r="35" spans="1:23" s="152" customFormat="1" ht="13.25" customHeight="1" x14ac:dyDescent="0.25">
      <c r="A35" s="152" t="s">
        <v>3054</v>
      </c>
      <c r="B35" s="152" t="s">
        <v>623</v>
      </c>
      <c r="C35" s="145" t="s">
        <v>22</v>
      </c>
      <c r="D35" s="145" t="s">
        <v>872</v>
      </c>
      <c r="E35" s="145" t="s">
        <v>14</v>
      </c>
      <c r="F35" s="202" t="s">
        <v>3155</v>
      </c>
      <c r="G35" s="20" t="s">
        <v>3173</v>
      </c>
      <c r="H35" s="149"/>
      <c r="I35" s="149"/>
      <c r="J35" s="145" t="s">
        <v>3088</v>
      </c>
      <c r="K35" s="181" t="s">
        <v>3089</v>
      </c>
      <c r="L35" s="178"/>
      <c r="M35" s="149" t="s">
        <v>871</v>
      </c>
      <c r="N35" s="38"/>
      <c r="O35" s="45">
        <v>44294</v>
      </c>
      <c r="P35" s="38" t="s">
        <v>2231</v>
      </c>
      <c r="Q35" s="187">
        <v>95</v>
      </c>
      <c r="R35" s="48">
        <f>IFERROR(Q35/VLOOKUP(P35,'Exchange rates to USD'!$L$2:$N$225,3,FALSE),"")</f>
        <v>67.166998097384834</v>
      </c>
    </row>
    <row r="36" spans="1:23" s="152" customFormat="1" ht="13.25" customHeight="1" x14ac:dyDescent="0.25">
      <c r="A36" s="152" t="s">
        <v>3058</v>
      </c>
      <c r="B36" s="152" t="s">
        <v>623</v>
      </c>
      <c r="C36" s="145" t="s">
        <v>44</v>
      </c>
      <c r="D36" s="145" t="s">
        <v>39</v>
      </c>
      <c r="E36" s="145" t="s">
        <v>14</v>
      </c>
      <c r="F36" s="145" t="s">
        <v>3090</v>
      </c>
      <c r="G36" s="145" t="s">
        <v>3173</v>
      </c>
      <c r="H36" s="176"/>
      <c r="I36" s="176"/>
      <c r="J36" s="145" t="s">
        <v>3091</v>
      </c>
      <c r="K36" s="181" t="s">
        <v>3089</v>
      </c>
      <c r="L36" s="178"/>
      <c r="M36" s="149" t="s">
        <v>871</v>
      </c>
      <c r="N36" s="38"/>
      <c r="O36" s="45">
        <v>44294</v>
      </c>
      <c r="P36" s="38" t="s">
        <v>2231</v>
      </c>
      <c r="Q36" s="187">
        <v>67</v>
      </c>
      <c r="R36" s="48">
        <f>IFERROR(Q36/VLOOKUP(P36,'Exchange rates to USD'!$L$2:$N$225,3,FALSE),"")</f>
        <v>47.370409184471413</v>
      </c>
    </row>
    <row r="37" spans="1:23" s="152" customFormat="1" ht="13.25" customHeight="1" x14ac:dyDescent="0.25">
      <c r="A37" s="152" t="s">
        <v>3062</v>
      </c>
      <c r="B37" s="152" t="s">
        <v>623</v>
      </c>
      <c r="C37" s="145" t="s">
        <v>22</v>
      </c>
      <c r="D37" s="145" t="s">
        <v>872</v>
      </c>
      <c r="E37" s="145" t="s">
        <v>14</v>
      </c>
      <c r="F37" s="145" t="s">
        <v>3092</v>
      </c>
      <c r="G37" s="145" t="s">
        <v>3173</v>
      </c>
      <c r="H37" s="176"/>
      <c r="I37" s="176"/>
      <c r="J37" s="145" t="s">
        <v>3093</v>
      </c>
      <c r="K37" s="181" t="s">
        <v>3087</v>
      </c>
      <c r="L37" s="178"/>
      <c r="M37" s="149" t="s">
        <v>871</v>
      </c>
      <c r="N37" s="38"/>
      <c r="O37" s="45">
        <v>44294</v>
      </c>
      <c r="P37" s="38" t="s">
        <v>2231</v>
      </c>
      <c r="Q37" s="187">
        <v>52.2</v>
      </c>
      <c r="R37" s="48">
        <f>IFERROR(Q37/VLOOKUP(P37,'Exchange rates to USD'!$L$2:$N$225,3,FALSE),"")</f>
        <v>36.906497901931459</v>
      </c>
    </row>
    <row r="38" spans="1:23" s="152" customFormat="1" ht="13.25" customHeight="1" x14ac:dyDescent="0.25">
      <c r="A38" s="152" t="s">
        <v>3065</v>
      </c>
      <c r="B38" s="152" t="s">
        <v>623</v>
      </c>
      <c r="C38" s="145" t="s">
        <v>44</v>
      </c>
      <c r="D38" s="145" t="s">
        <v>872</v>
      </c>
      <c r="E38" s="145" t="s">
        <v>14</v>
      </c>
      <c r="F38" s="145" t="s">
        <v>3094</v>
      </c>
      <c r="G38" s="145" t="s">
        <v>3173</v>
      </c>
      <c r="H38" s="176" t="s">
        <v>25</v>
      </c>
      <c r="I38" s="176"/>
      <c r="J38" s="145" t="s">
        <v>3095</v>
      </c>
      <c r="K38" s="181" t="s">
        <v>3087</v>
      </c>
      <c r="L38" s="178"/>
      <c r="M38" s="149" t="s">
        <v>113</v>
      </c>
      <c r="N38" s="38"/>
      <c r="O38" s="45">
        <v>44294</v>
      </c>
      <c r="P38" s="38" t="s">
        <v>2231</v>
      </c>
      <c r="Q38" s="187">
        <v>70.2</v>
      </c>
      <c r="R38" s="48">
        <f>IFERROR(Q38/VLOOKUP(P38,'Exchange rates to USD'!$L$2:$N$225,3,FALSE),"")</f>
        <v>49.632876488804378</v>
      </c>
    </row>
    <row r="39" spans="1:23" s="152" customFormat="1" ht="13.25" customHeight="1" x14ac:dyDescent="0.25">
      <c r="A39" s="152" t="s">
        <v>3068</v>
      </c>
      <c r="B39" s="152" t="s">
        <v>623</v>
      </c>
      <c r="C39" s="145" t="s">
        <v>22</v>
      </c>
      <c r="D39" s="145" t="s">
        <v>872</v>
      </c>
      <c r="E39" s="145" t="s">
        <v>14</v>
      </c>
      <c r="F39" s="145" t="s">
        <v>3096</v>
      </c>
      <c r="G39" s="145" t="s">
        <v>3173</v>
      </c>
      <c r="H39" s="176"/>
      <c r="I39" s="176"/>
      <c r="J39" s="145" t="s">
        <v>3097</v>
      </c>
      <c r="K39" s="181" t="s">
        <v>3087</v>
      </c>
      <c r="L39" s="178"/>
      <c r="M39" s="149" t="s">
        <v>113</v>
      </c>
      <c r="N39" s="38"/>
      <c r="O39" s="45">
        <v>44294</v>
      </c>
      <c r="P39" s="38" t="s">
        <v>2231</v>
      </c>
      <c r="Q39" s="187">
        <v>74.5</v>
      </c>
      <c r="R39" s="48">
        <f>IFERROR(Q39/VLOOKUP(P39,'Exchange rates to USD'!$L$2:$N$225,3,FALSE),"")</f>
        <v>52.673066929001791</v>
      </c>
    </row>
    <row r="40" spans="1:23" s="152" customFormat="1" ht="13.25" customHeight="1" x14ac:dyDescent="0.25">
      <c r="A40" s="152" t="s">
        <v>3072</v>
      </c>
      <c r="B40" s="152" t="s">
        <v>623</v>
      </c>
      <c r="C40" s="145" t="s">
        <v>22</v>
      </c>
      <c r="D40" s="145" t="s">
        <v>872</v>
      </c>
      <c r="E40" s="145" t="s">
        <v>14</v>
      </c>
      <c r="F40" s="145" t="s">
        <v>3098</v>
      </c>
      <c r="G40" s="145" t="s">
        <v>3173</v>
      </c>
      <c r="H40" s="176" t="s">
        <v>25</v>
      </c>
      <c r="I40" s="176"/>
      <c r="J40" s="145" t="s">
        <v>3099</v>
      </c>
      <c r="K40" s="181" t="s">
        <v>3087</v>
      </c>
      <c r="L40" s="178"/>
      <c r="M40" s="149" t="s">
        <v>113</v>
      </c>
      <c r="N40" s="38"/>
      <c r="O40" s="45">
        <v>44294</v>
      </c>
      <c r="P40" s="38" t="s">
        <v>2231</v>
      </c>
      <c r="Q40" s="187">
        <v>40.200000000000003</v>
      </c>
      <c r="R40" s="48">
        <f>IFERROR(Q40/VLOOKUP(P40,'Exchange rates to USD'!$L$2:$N$225,3,FALSE),"")</f>
        <v>28.422245510682849</v>
      </c>
    </row>
    <row r="41" spans="1:23" s="152" customFormat="1" ht="13.25" customHeight="1" x14ac:dyDescent="0.25">
      <c r="A41" s="152" t="s">
        <v>3076</v>
      </c>
      <c r="B41" s="152" t="s">
        <v>623</v>
      </c>
      <c r="C41" s="145" t="s">
        <v>22</v>
      </c>
      <c r="D41" s="145" t="s">
        <v>872</v>
      </c>
      <c r="E41" s="145" t="s">
        <v>14</v>
      </c>
      <c r="F41" s="145" t="s">
        <v>3100</v>
      </c>
      <c r="G41" s="145" t="s">
        <v>3173</v>
      </c>
      <c r="H41" s="176"/>
      <c r="I41" s="176"/>
      <c r="J41" s="145" t="s">
        <v>3101</v>
      </c>
      <c r="K41" s="177" t="s">
        <v>3102</v>
      </c>
      <c r="L41" s="149"/>
      <c r="M41" s="149" t="s">
        <v>113</v>
      </c>
      <c r="N41" s="38"/>
      <c r="O41" s="45">
        <v>44294</v>
      </c>
      <c r="P41" s="38" t="s">
        <v>2231</v>
      </c>
      <c r="Q41" s="187">
        <v>200</v>
      </c>
      <c r="R41" s="48">
        <f>IFERROR(Q41/VLOOKUP(P41,'Exchange rates to USD'!$L$2:$N$225,3,FALSE),"")</f>
        <v>141.40420652081019</v>
      </c>
    </row>
    <row r="42" spans="1:23" s="152" customFormat="1" ht="13.25" customHeight="1" x14ac:dyDescent="0.25">
      <c r="A42" s="152" t="s">
        <v>3078</v>
      </c>
      <c r="B42" s="152" t="s">
        <v>623</v>
      </c>
      <c r="C42" s="145" t="s">
        <v>22</v>
      </c>
      <c r="D42" s="145" t="s">
        <v>872</v>
      </c>
      <c r="E42" s="20" t="s">
        <v>161</v>
      </c>
      <c r="F42" s="145" t="s">
        <v>3103</v>
      </c>
      <c r="G42" s="145" t="s">
        <v>670</v>
      </c>
      <c r="H42" s="176"/>
      <c r="I42" s="176"/>
      <c r="J42" s="145" t="s">
        <v>3104</v>
      </c>
      <c r="K42" s="177" t="s">
        <v>3105</v>
      </c>
      <c r="L42" s="149"/>
      <c r="M42" s="149" t="s">
        <v>113</v>
      </c>
      <c r="N42" s="38"/>
      <c r="O42" s="45">
        <v>44294</v>
      </c>
      <c r="P42" s="38" t="s">
        <v>2231</v>
      </c>
      <c r="Q42" s="187">
        <v>2000</v>
      </c>
      <c r="R42" s="48">
        <f>IFERROR(Q42/VLOOKUP(P42,'Exchange rates to USD'!$L$2:$N$225,3,FALSE),"")</f>
        <v>1414.0420652081018</v>
      </c>
    </row>
    <row r="43" spans="1:23" s="152" customFormat="1" ht="13.25" customHeight="1" x14ac:dyDescent="0.25">
      <c r="A43" s="152" t="s">
        <v>3080</v>
      </c>
      <c r="B43" s="152" t="s">
        <v>623</v>
      </c>
      <c r="C43" s="145" t="s">
        <v>44</v>
      </c>
      <c r="D43" s="145" t="s">
        <v>872</v>
      </c>
      <c r="E43" s="145" t="s">
        <v>3200</v>
      </c>
      <c r="F43" s="145" t="s">
        <v>3106</v>
      </c>
      <c r="G43" s="145" t="s">
        <v>44</v>
      </c>
      <c r="H43" s="176" t="s">
        <v>41</v>
      </c>
      <c r="I43" s="176"/>
      <c r="J43" s="145" t="s">
        <v>3107</v>
      </c>
      <c r="K43" s="182" t="s">
        <v>3046</v>
      </c>
      <c r="L43" s="149"/>
      <c r="M43" s="149" t="s">
        <v>737</v>
      </c>
      <c r="N43" s="38"/>
      <c r="O43" s="45">
        <v>44294</v>
      </c>
      <c r="P43" s="38" t="s">
        <v>2231</v>
      </c>
      <c r="Q43" s="187">
        <v>33.5</v>
      </c>
      <c r="R43" s="48">
        <f>IFERROR(Q43/VLOOKUP(P43,'Exchange rates to USD'!$L$2:$N$225,3,FALSE),"")</f>
        <v>23.685204592235706</v>
      </c>
    </row>
    <row r="44" spans="1:23" s="152" customFormat="1" ht="13.25" customHeight="1" x14ac:dyDescent="0.25">
      <c r="A44" s="152" t="s">
        <v>3083</v>
      </c>
      <c r="B44" s="152" t="s">
        <v>623</v>
      </c>
      <c r="C44" s="145" t="s">
        <v>44</v>
      </c>
      <c r="D44" s="145" t="s">
        <v>872</v>
      </c>
      <c r="E44" s="145" t="s">
        <v>172</v>
      </c>
      <c r="F44" s="20" t="s">
        <v>705</v>
      </c>
      <c r="G44" s="176" t="s">
        <v>3173</v>
      </c>
      <c r="H44" s="176"/>
      <c r="I44" s="176"/>
      <c r="J44" s="145" t="s">
        <v>3108</v>
      </c>
      <c r="K44" s="178" t="s">
        <v>3109</v>
      </c>
      <c r="L44" s="149"/>
      <c r="M44" s="149" t="s">
        <v>101</v>
      </c>
      <c r="N44" s="38"/>
      <c r="O44" s="45">
        <v>44294</v>
      </c>
      <c r="P44" s="38" t="s">
        <v>2231</v>
      </c>
      <c r="Q44" s="150">
        <v>100</v>
      </c>
      <c r="R44" s="48">
        <f>IFERROR(Q44/VLOOKUP(P44,'Exchange rates to USD'!$L$2:$N$225,3,FALSE),"")</f>
        <v>70.702103260405096</v>
      </c>
      <c r="S44" s="152" t="s">
        <v>3113</v>
      </c>
    </row>
    <row r="45" spans="1:23" s="152" customFormat="1" ht="13.25" customHeight="1" x14ac:dyDescent="0.25">
      <c r="A45" s="183" t="s">
        <v>3085</v>
      </c>
      <c r="B45" s="183" t="s">
        <v>623</v>
      </c>
      <c r="C45" s="183" t="s">
        <v>44</v>
      </c>
      <c r="D45" s="183" t="s">
        <v>39</v>
      </c>
      <c r="E45" s="183"/>
      <c r="F45" s="183" t="s">
        <v>3100</v>
      </c>
      <c r="G45" s="151" t="s">
        <v>44</v>
      </c>
      <c r="H45" s="184"/>
      <c r="I45" s="184"/>
      <c r="J45" s="183" t="s">
        <v>3111</v>
      </c>
      <c r="K45" s="185" t="s">
        <v>3110</v>
      </c>
      <c r="L45" s="151"/>
      <c r="M45" s="151" t="s">
        <v>113</v>
      </c>
      <c r="N45" s="153"/>
      <c r="O45" s="43">
        <v>44294</v>
      </c>
      <c r="P45" s="153" t="s">
        <v>2231</v>
      </c>
      <c r="Q45" s="188">
        <v>200</v>
      </c>
      <c r="R45" s="148">
        <f>IFERROR(Q45/VLOOKUP(P45,'Exchange rates to USD'!$L$2:$N$225,3,FALSE),"")</f>
        <v>141.40420652081019</v>
      </c>
    </row>
    <row r="46" spans="1:23" ht="13.25" customHeight="1" x14ac:dyDescent="0.25">
      <c r="A46" s="31" t="s">
        <v>601</v>
      </c>
      <c r="B46" s="31" t="s">
        <v>624</v>
      </c>
      <c r="C46" s="31" t="s">
        <v>2530</v>
      </c>
      <c r="D46" s="31" t="s">
        <v>23</v>
      </c>
      <c r="E46" s="31" t="s">
        <v>36</v>
      </c>
      <c r="F46" s="31" t="s">
        <v>602</v>
      </c>
      <c r="G46" s="31" t="s">
        <v>3173</v>
      </c>
      <c r="H46" s="31" t="s">
        <v>25</v>
      </c>
      <c r="J46" s="31" t="s">
        <v>603</v>
      </c>
      <c r="K46" s="31" t="s">
        <v>604</v>
      </c>
      <c r="L46" s="31" t="s">
        <v>605</v>
      </c>
      <c r="M46" s="31" t="s">
        <v>113</v>
      </c>
      <c r="N46" s="31" t="s">
        <v>1271</v>
      </c>
      <c r="O46" s="44" t="s">
        <v>2508</v>
      </c>
      <c r="P46" s="31" t="s">
        <v>669</v>
      </c>
      <c r="Q46" s="32">
        <v>540</v>
      </c>
      <c r="R46" s="19">
        <f>IFERROR(Q46/VLOOKUP(P46,'Exchange rates to USD'!$L$2:$N$225,3,FALSE),"")</f>
        <v>595.44122818006167</v>
      </c>
      <c r="U46" s="152"/>
      <c r="V46" s="152"/>
      <c r="W46" s="152"/>
    </row>
    <row r="47" spans="1:23" ht="13.25" customHeight="1" x14ac:dyDescent="0.25">
      <c r="A47" s="31" t="s">
        <v>606</v>
      </c>
      <c r="B47" s="31" t="s">
        <v>624</v>
      </c>
      <c r="C47" s="31" t="s">
        <v>22</v>
      </c>
      <c r="D47" s="31" t="s">
        <v>13</v>
      </c>
      <c r="E47" s="31" t="s">
        <v>161</v>
      </c>
      <c r="F47" s="31" t="s">
        <v>607</v>
      </c>
      <c r="G47" s="31" t="s">
        <v>3173</v>
      </c>
      <c r="H47" s="31" t="s">
        <v>25</v>
      </c>
      <c r="J47" s="31" t="s">
        <v>2941</v>
      </c>
      <c r="M47" s="31" t="s">
        <v>113</v>
      </c>
      <c r="N47" s="31" t="s">
        <v>2950</v>
      </c>
      <c r="P47" s="31" t="s">
        <v>669</v>
      </c>
      <c r="Q47" s="32">
        <v>750</v>
      </c>
      <c r="R47" s="19">
        <f>IFERROR(Q47/VLOOKUP(P47,'Exchange rates to USD'!$L$2:$N$225,3,FALSE),"")</f>
        <v>827.00170580564122</v>
      </c>
      <c r="U47" s="152"/>
      <c r="V47" s="152"/>
      <c r="W47" s="152"/>
    </row>
    <row r="48" spans="1:23" ht="13.25" customHeight="1" x14ac:dyDescent="0.25">
      <c r="A48" s="31" t="s">
        <v>608</v>
      </c>
      <c r="B48" s="31" t="s">
        <v>624</v>
      </c>
      <c r="C48" s="31" t="s">
        <v>22</v>
      </c>
      <c r="D48" s="31" t="s">
        <v>13</v>
      </c>
      <c r="E48" s="31" t="s">
        <v>14</v>
      </c>
      <c r="F48" s="31" t="s">
        <v>2942</v>
      </c>
      <c r="G48" s="31" t="s">
        <v>3173</v>
      </c>
      <c r="H48" s="31" t="s">
        <v>25</v>
      </c>
      <c r="J48" s="31" t="s">
        <v>2943</v>
      </c>
      <c r="M48" s="31" t="s">
        <v>113</v>
      </c>
      <c r="O48" s="42">
        <v>44273</v>
      </c>
      <c r="P48" s="31" t="s">
        <v>669</v>
      </c>
      <c r="Q48" s="32">
        <v>260</v>
      </c>
      <c r="R48" s="19">
        <f>IFERROR(Q48/VLOOKUP(P48,'Exchange rates to USD'!$L$2:$N$225,3,FALSE),"")</f>
        <v>286.69392467928895</v>
      </c>
      <c r="U48" s="152"/>
      <c r="V48" s="152"/>
      <c r="W48" s="152"/>
    </row>
    <row r="49" spans="1:23" ht="13.25" customHeight="1" x14ac:dyDescent="0.25">
      <c r="A49" s="31" t="s">
        <v>609</v>
      </c>
      <c r="B49" s="31" t="s">
        <v>624</v>
      </c>
      <c r="C49" s="31" t="s">
        <v>110</v>
      </c>
      <c r="D49" s="31" t="s">
        <v>13</v>
      </c>
      <c r="E49" s="31" t="s">
        <v>36</v>
      </c>
      <c r="F49" s="31" t="s">
        <v>610</v>
      </c>
      <c r="G49" s="31" t="s">
        <v>3173</v>
      </c>
      <c r="H49" s="31" t="s">
        <v>25</v>
      </c>
      <c r="J49" s="31" t="s">
        <v>611</v>
      </c>
      <c r="M49" s="31" t="s">
        <v>113</v>
      </c>
      <c r="P49" s="31" t="s">
        <v>669</v>
      </c>
      <c r="Q49" s="32">
        <v>300</v>
      </c>
      <c r="R49" s="19">
        <f>IFERROR(Q49/VLOOKUP(P49,'Exchange rates to USD'!$L$2:$N$225,3,FALSE),"")</f>
        <v>330.80068232225648</v>
      </c>
      <c r="U49" s="152"/>
      <c r="V49" s="152"/>
      <c r="W49" s="152"/>
    </row>
    <row r="50" spans="1:23" ht="13.25" customHeight="1" x14ac:dyDescent="0.25">
      <c r="A50" s="31" t="s">
        <v>612</v>
      </c>
      <c r="B50" s="31" t="s">
        <v>624</v>
      </c>
      <c r="C50" s="31" t="s">
        <v>2531</v>
      </c>
      <c r="D50" s="31" t="s">
        <v>23</v>
      </c>
      <c r="E50" s="31" t="s">
        <v>3200</v>
      </c>
      <c r="F50" s="31" t="s">
        <v>613</v>
      </c>
      <c r="G50" s="31" t="s">
        <v>111</v>
      </c>
      <c r="J50" s="31" t="s">
        <v>2944</v>
      </c>
      <c r="M50" s="31" t="s">
        <v>113</v>
      </c>
      <c r="P50" s="31" t="s">
        <v>669</v>
      </c>
      <c r="Q50" s="32">
        <v>100</v>
      </c>
      <c r="R50" s="19">
        <f>IFERROR(Q50/VLOOKUP(P50,'Exchange rates to USD'!$L$2:$N$225,3,FALSE),"")</f>
        <v>110.26689410741884</v>
      </c>
      <c r="U50" s="152"/>
      <c r="V50" s="152"/>
      <c r="W50" s="152"/>
    </row>
    <row r="51" spans="1:23" ht="13.25" customHeight="1" x14ac:dyDescent="0.25">
      <c r="A51" s="31" t="s">
        <v>1272</v>
      </c>
      <c r="B51" s="31" t="s">
        <v>624</v>
      </c>
      <c r="C51" s="1" t="s">
        <v>2530</v>
      </c>
      <c r="E51" s="31" t="s">
        <v>3200</v>
      </c>
      <c r="F51" s="31" t="s">
        <v>614</v>
      </c>
      <c r="G51" s="31" t="s">
        <v>3173</v>
      </c>
      <c r="H51" s="31" t="s">
        <v>809</v>
      </c>
      <c r="J51" s="31" t="s">
        <v>2945</v>
      </c>
      <c r="K51" s="64" t="s">
        <v>2946</v>
      </c>
      <c r="M51" s="31" t="s">
        <v>113</v>
      </c>
      <c r="N51" s="31" t="s">
        <v>2947</v>
      </c>
      <c r="O51" s="42">
        <v>44273</v>
      </c>
      <c r="P51" s="31" t="s">
        <v>669</v>
      </c>
      <c r="Q51" s="32">
        <v>200</v>
      </c>
      <c r="R51" s="19">
        <f>IFERROR(Q51/VLOOKUP(P51,'Exchange rates to USD'!$L$2:$N$225,3,FALSE),"")</f>
        <v>220.53378821483767</v>
      </c>
      <c r="U51" s="152"/>
      <c r="V51" s="152"/>
      <c r="W51" s="152"/>
    </row>
    <row r="52" spans="1:23" ht="13.25" customHeight="1" x14ac:dyDescent="0.25">
      <c r="A52" s="31" t="s">
        <v>1273</v>
      </c>
      <c r="B52" s="31" t="s">
        <v>624</v>
      </c>
      <c r="C52" s="31" t="s">
        <v>22</v>
      </c>
      <c r="D52" s="31" t="s">
        <v>13</v>
      </c>
      <c r="E52" s="31" t="s">
        <v>3200</v>
      </c>
      <c r="F52" s="31" t="s">
        <v>607</v>
      </c>
      <c r="G52" s="31" t="s">
        <v>3173</v>
      </c>
      <c r="J52" s="31" t="s">
        <v>2948</v>
      </c>
      <c r="M52" s="31" t="s">
        <v>113</v>
      </c>
      <c r="O52" s="42">
        <v>44273</v>
      </c>
      <c r="P52" s="152" t="s">
        <v>669</v>
      </c>
      <c r="Q52" s="32">
        <v>750</v>
      </c>
      <c r="R52" s="19">
        <f>IFERROR(Q52/VLOOKUP(P52,'Exchange rates to USD'!$L$2:$N$225,3,FALSE),"")</f>
        <v>827.00170580564122</v>
      </c>
      <c r="U52" s="152"/>
      <c r="V52" s="152"/>
      <c r="W52" s="152"/>
    </row>
    <row r="53" spans="1:23" ht="13.25" customHeight="1" x14ac:dyDescent="0.25">
      <c r="A53" s="31" t="s">
        <v>1274</v>
      </c>
      <c r="B53" s="31" t="s">
        <v>624</v>
      </c>
      <c r="C53" s="31" t="s">
        <v>110</v>
      </c>
      <c r="D53" s="31" t="s">
        <v>13</v>
      </c>
      <c r="E53" s="31" t="s">
        <v>191</v>
      </c>
      <c r="F53" s="31" t="s">
        <v>615</v>
      </c>
      <c r="G53" s="31" t="s">
        <v>3173</v>
      </c>
      <c r="H53" s="31" t="s">
        <v>25</v>
      </c>
      <c r="J53" s="31" t="s">
        <v>2949</v>
      </c>
      <c r="M53" s="31" t="s">
        <v>113</v>
      </c>
      <c r="P53" s="31" t="s">
        <v>669</v>
      </c>
      <c r="Q53" s="32">
        <v>350</v>
      </c>
      <c r="R53" s="19">
        <f>IFERROR(Q53/VLOOKUP(P53,'Exchange rates to USD'!$L$2:$N$225,3,FALSE),"")</f>
        <v>385.93412937596588</v>
      </c>
      <c r="U53" s="152"/>
      <c r="V53" s="152"/>
      <c r="W53" s="152"/>
    </row>
    <row r="54" spans="1:23" ht="13.25" customHeight="1" x14ac:dyDescent="0.25">
      <c r="A54" s="34" t="s">
        <v>3172</v>
      </c>
      <c r="B54" s="34" t="s">
        <v>624</v>
      </c>
      <c r="C54" s="34" t="s">
        <v>22</v>
      </c>
      <c r="D54" s="34" t="s">
        <v>13</v>
      </c>
      <c r="E54" s="34" t="s">
        <v>616</v>
      </c>
      <c r="F54" s="34" t="s">
        <v>617</v>
      </c>
      <c r="G54" s="34" t="s">
        <v>3173</v>
      </c>
      <c r="H54" s="34"/>
      <c r="I54" s="34"/>
      <c r="J54" s="34" t="s">
        <v>618</v>
      </c>
      <c r="K54" s="34" t="s">
        <v>1275</v>
      </c>
      <c r="L54" s="34"/>
      <c r="M54" s="34" t="s">
        <v>871</v>
      </c>
      <c r="N54" s="34"/>
      <c r="O54" s="43"/>
      <c r="P54" s="34" t="s">
        <v>669</v>
      </c>
      <c r="Q54" s="49">
        <v>600</v>
      </c>
      <c r="R54" s="22">
        <f>IFERROR(Q54/VLOOKUP(P54,'Exchange rates to USD'!$L$2:$N$225,3,FALSE),"")</f>
        <v>661.60136464451296</v>
      </c>
      <c r="U54" s="152"/>
      <c r="V54" s="152"/>
      <c r="W54" s="152"/>
    </row>
    <row r="55" spans="1:23" ht="13.25" customHeight="1" x14ac:dyDescent="0.25">
      <c r="A55" s="31" t="s">
        <v>1276</v>
      </c>
      <c r="B55" s="31" t="s">
        <v>625</v>
      </c>
      <c r="C55" s="31" t="s">
        <v>2530</v>
      </c>
      <c r="D55" s="31" t="s">
        <v>39</v>
      </c>
      <c r="E55" s="31" t="s">
        <v>3200</v>
      </c>
      <c r="F55" s="31" t="s">
        <v>1277</v>
      </c>
      <c r="G55" s="31" t="s">
        <v>3173</v>
      </c>
      <c r="H55" s="31" t="s">
        <v>111</v>
      </c>
      <c r="I55" s="31" t="s">
        <v>670</v>
      </c>
      <c r="J55" s="31" t="s">
        <v>1278</v>
      </c>
      <c r="K55" s="31" t="s">
        <v>1279</v>
      </c>
      <c r="L55" s="31" t="s">
        <v>1280</v>
      </c>
      <c r="M55" s="31" t="s">
        <v>871</v>
      </c>
      <c r="N55" s="31" t="s">
        <v>1281</v>
      </c>
      <c r="O55" s="44" t="s">
        <v>2509</v>
      </c>
      <c r="P55" s="31" t="s">
        <v>669</v>
      </c>
      <c r="Q55" s="32">
        <v>700</v>
      </c>
      <c r="R55" s="19">
        <f>IFERROR(Q55/VLOOKUP(P55,'Exchange rates to USD'!$L$2:$N$225,3,FALSE),"")</f>
        <v>771.86825875193176</v>
      </c>
      <c r="U55" s="152"/>
      <c r="V55" s="152"/>
      <c r="W55" s="152"/>
    </row>
    <row r="56" spans="1:23" ht="13.25" customHeight="1" x14ac:dyDescent="0.25">
      <c r="A56" s="31" t="s">
        <v>1282</v>
      </c>
      <c r="B56" s="31" t="s">
        <v>625</v>
      </c>
      <c r="C56" s="31" t="s">
        <v>2530</v>
      </c>
      <c r="D56" s="31" t="s">
        <v>39</v>
      </c>
      <c r="E56" s="31" t="s">
        <v>3200</v>
      </c>
      <c r="G56" s="31" t="s">
        <v>3173</v>
      </c>
      <c r="H56" s="31" t="s">
        <v>41</v>
      </c>
      <c r="J56" s="31" t="s">
        <v>1283</v>
      </c>
      <c r="K56" s="31" t="s">
        <v>1284</v>
      </c>
      <c r="L56" s="31" t="s">
        <v>1285</v>
      </c>
      <c r="M56" s="31" t="s">
        <v>871</v>
      </c>
      <c r="O56" s="44" t="s">
        <v>2509</v>
      </c>
      <c r="R56" s="19" t="str">
        <f>IFERROR(Q56/VLOOKUP(P56,'Exchange rates to USD'!$L$2:$N$225,3,FALSE),"")</f>
        <v/>
      </c>
      <c r="U56" s="152"/>
      <c r="V56" s="152"/>
      <c r="W56" s="152"/>
    </row>
    <row r="57" spans="1:23" ht="13.25" customHeight="1" x14ac:dyDescent="0.25">
      <c r="A57" s="31" t="s">
        <v>1286</v>
      </c>
      <c r="B57" s="31" t="s">
        <v>625</v>
      </c>
      <c r="C57" s="31" t="s">
        <v>22</v>
      </c>
      <c r="D57" s="31" t="s">
        <v>39</v>
      </c>
      <c r="E57" s="31" t="s">
        <v>161</v>
      </c>
      <c r="F57" s="31" t="s">
        <v>1287</v>
      </c>
      <c r="G57" s="31" t="s">
        <v>3173</v>
      </c>
      <c r="J57" s="31" t="s">
        <v>2413</v>
      </c>
      <c r="K57" s="31" t="s">
        <v>1285</v>
      </c>
      <c r="M57" s="31" t="s">
        <v>113</v>
      </c>
      <c r="O57" s="44" t="s">
        <v>2509</v>
      </c>
      <c r="P57" s="31" t="s">
        <v>669</v>
      </c>
      <c r="Q57" s="32">
        <v>12</v>
      </c>
      <c r="R57" s="19">
        <f>IFERROR(Q57/VLOOKUP(P57,'Exchange rates to USD'!$L$2:$N$225,3,FALSE),"")</f>
        <v>13.23202729289026</v>
      </c>
      <c r="U57" s="152"/>
      <c r="V57" s="152"/>
      <c r="W57" s="152"/>
    </row>
    <row r="58" spans="1:23" ht="13.25" customHeight="1" x14ac:dyDescent="0.25">
      <c r="A58" s="31" t="s">
        <v>1288</v>
      </c>
      <c r="B58" s="31" t="s">
        <v>625</v>
      </c>
      <c r="C58" s="31" t="s">
        <v>2530</v>
      </c>
      <c r="D58" s="31" t="s">
        <v>39</v>
      </c>
      <c r="E58" s="31" t="s">
        <v>3200</v>
      </c>
      <c r="G58" s="31" t="s">
        <v>3173</v>
      </c>
      <c r="H58" s="31" t="s">
        <v>41</v>
      </c>
      <c r="I58" s="31" t="s">
        <v>111</v>
      </c>
      <c r="J58" s="31" t="s">
        <v>1289</v>
      </c>
      <c r="K58" s="31" t="s">
        <v>1290</v>
      </c>
      <c r="L58" s="31" t="s">
        <v>1291</v>
      </c>
      <c r="M58" s="31" t="s">
        <v>113</v>
      </c>
      <c r="O58" s="44" t="s">
        <v>2509</v>
      </c>
      <c r="R58" s="19" t="str">
        <f>IFERROR(Q58/VLOOKUP(P58,'Exchange rates to USD'!$L$2:$N$225,3,FALSE),"")</f>
        <v/>
      </c>
      <c r="U58" s="152"/>
      <c r="V58" s="152"/>
      <c r="W58" s="152"/>
    </row>
    <row r="59" spans="1:23" ht="13.25" customHeight="1" x14ac:dyDescent="0.25">
      <c r="A59" s="31" t="s">
        <v>1292</v>
      </c>
      <c r="B59" s="31" t="s">
        <v>625</v>
      </c>
      <c r="C59" s="31" t="s">
        <v>2530</v>
      </c>
      <c r="D59" s="31" t="s">
        <v>23</v>
      </c>
      <c r="E59" s="31" t="s">
        <v>3200</v>
      </c>
      <c r="G59" s="31" t="s">
        <v>3173</v>
      </c>
      <c r="H59" s="31" t="s">
        <v>111</v>
      </c>
      <c r="I59" s="31" t="s">
        <v>41</v>
      </c>
      <c r="J59" s="31" t="s">
        <v>1293</v>
      </c>
      <c r="K59" s="31" t="s">
        <v>1294</v>
      </c>
      <c r="M59" s="31" t="s">
        <v>737</v>
      </c>
      <c r="O59" s="44" t="s">
        <v>2509</v>
      </c>
      <c r="R59" s="19" t="str">
        <f>IFERROR(Q59/VLOOKUP(P59,'Exchange rates to USD'!$L$2:$N$225,3,FALSE),"")</f>
        <v/>
      </c>
      <c r="U59" s="152"/>
      <c r="V59" s="152"/>
      <c r="W59" s="152"/>
    </row>
    <row r="60" spans="1:23" ht="13.25" customHeight="1" x14ac:dyDescent="0.25">
      <c r="A60" s="31" t="s">
        <v>1295</v>
      </c>
      <c r="B60" s="31" t="s">
        <v>625</v>
      </c>
      <c r="C60" s="31" t="s">
        <v>2531</v>
      </c>
      <c r="D60" s="31" t="s">
        <v>13</v>
      </c>
      <c r="E60" s="31" t="s">
        <v>161</v>
      </c>
      <c r="F60" s="31" t="s">
        <v>2868</v>
      </c>
      <c r="G60" s="31" t="s">
        <v>3173</v>
      </c>
      <c r="J60" s="31" t="s">
        <v>1296</v>
      </c>
      <c r="K60" s="31" t="s">
        <v>1294</v>
      </c>
      <c r="L60" s="31" t="s">
        <v>1297</v>
      </c>
      <c r="M60" s="31" t="s">
        <v>871</v>
      </c>
      <c r="O60" s="142">
        <v>44265</v>
      </c>
      <c r="P60" s="31" t="s">
        <v>669</v>
      </c>
      <c r="Q60" s="32">
        <v>191</v>
      </c>
      <c r="R60" s="19">
        <f>IFERROR(Q60/VLOOKUP(P60,'Exchange rates to USD'!$L$2:$N$225,3,FALSE),"")</f>
        <v>210.60976774516996</v>
      </c>
      <c r="U60" s="152"/>
      <c r="V60" s="152"/>
      <c r="W60" s="152"/>
    </row>
    <row r="61" spans="1:23" ht="13.25" customHeight="1" x14ac:dyDescent="0.25">
      <c r="A61" s="38" t="s">
        <v>1298</v>
      </c>
      <c r="B61" s="38" t="s">
        <v>625</v>
      </c>
      <c r="C61" s="31" t="s">
        <v>2531</v>
      </c>
      <c r="D61" s="38" t="s">
        <v>872</v>
      </c>
      <c r="E61" s="38" t="s">
        <v>191</v>
      </c>
      <c r="F61" s="38" t="s">
        <v>2869</v>
      </c>
      <c r="G61" s="38" t="s">
        <v>41</v>
      </c>
      <c r="H61" s="38"/>
      <c r="I61" s="38"/>
      <c r="J61" s="38" t="s">
        <v>1299</v>
      </c>
      <c r="K61" s="38" t="s">
        <v>1300</v>
      </c>
      <c r="L61" s="38"/>
      <c r="M61" s="38" t="s">
        <v>113</v>
      </c>
      <c r="N61" s="38"/>
      <c r="O61" s="142">
        <v>44265</v>
      </c>
      <c r="P61" s="31" t="s">
        <v>669</v>
      </c>
      <c r="Q61" s="60">
        <v>23</v>
      </c>
      <c r="R61" s="19">
        <f>IFERROR(Q61/VLOOKUP(P61,'Exchange rates to USD'!$L$2:$N$225,3,FALSE),"")</f>
        <v>25.361385644706331</v>
      </c>
      <c r="U61" s="152"/>
      <c r="V61" s="152"/>
      <c r="W61" s="152"/>
    </row>
    <row r="62" spans="1:23" s="38" customFormat="1" ht="13.25" customHeight="1" x14ac:dyDescent="0.25">
      <c r="A62" s="31" t="s">
        <v>2867</v>
      </c>
      <c r="B62" s="31" t="s">
        <v>625</v>
      </c>
      <c r="C62" s="38" t="s">
        <v>12</v>
      </c>
      <c r="E62" s="38" t="s">
        <v>3200</v>
      </c>
      <c r="F62" s="38" t="s">
        <v>2870</v>
      </c>
      <c r="J62" s="38" t="s">
        <v>2871</v>
      </c>
      <c r="K62" s="120" t="s">
        <v>2872</v>
      </c>
      <c r="M62" s="38" t="s">
        <v>737</v>
      </c>
      <c r="O62" s="142">
        <v>44265</v>
      </c>
      <c r="P62" s="31" t="s">
        <v>669</v>
      </c>
      <c r="Q62" s="60">
        <v>203</v>
      </c>
      <c r="R62" s="19">
        <f>IFERROR(Q62/VLOOKUP(P62,'Exchange rates to USD'!$L$2:$N$225,3,FALSE),"")</f>
        <v>223.84179503806021</v>
      </c>
      <c r="U62" s="152"/>
      <c r="V62" s="152"/>
      <c r="W62" s="152"/>
    </row>
    <row r="63" spans="1:23" s="38" customFormat="1" ht="13.25" customHeight="1" x14ac:dyDescent="0.25">
      <c r="A63" s="31" t="s">
        <v>2873</v>
      </c>
      <c r="B63" s="31" t="s">
        <v>625</v>
      </c>
      <c r="C63" s="38" t="s">
        <v>2530</v>
      </c>
      <c r="D63" s="38" t="s">
        <v>39</v>
      </c>
      <c r="E63" s="38" t="s">
        <v>619</v>
      </c>
      <c r="F63" s="145" t="s">
        <v>2878</v>
      </c>
      <c r="G63" s="38" t="s">
        <v>111</v>
      </c>
      <c r="J63" s="62" t="s">
        <v>2885</v>
      </c>
      <c r="K63" s="120"/>
      <c r="M63" s="38" t="s">
        <v>113</v>
      </c>
      <c r="O63" s="142">
        <v>44265</v>
      </c>
      <c r="P63" s="149" t="s">
        <v>669</v>
      </c>
      <c r="Q63" s="147">
        <v>40</v>
      </c>
      <c r="R63" s="147">
        <f>IFERROR(Q63/VLOOKUP(P63,'Exchange rates to USD'!$L$2:$N$225,3,FALSE),"")</f>
        <v>44.10675764296753</v>
      </c>
      <c r="U63" s="152"/>
      <c r="V63" s="152"/>
      <c r="W63" s="152"/>
    </row>
    <row r="64" spans="1:23" s="38" customFormat="1" ht="13.25" customHeight="1" x14ac:dyDescent="0.25">
      <c r="A64" s="31" t="s">
        <v>2874</v>
      </c>
      <c r="B64" s="31" t="s">
        <v>625</v>
      </c>
      <c r="C64" s="38" t="s">
        <v>2530</v>
      </c>
      <c r="D64" s="38" t="s">
        <v>39</v>
      </c>
      <c r="E64" s="38" t="s">
        <v>619</v>
      </c>
      <c r="F64" s="145" t="s">
        <v>2879</v>
      </c>
      <c r="G64" s="38" t="s">
        <v>111</v>
      </c>
      <c r="J64" s="62" t="s">
        <v>2886</v>
      </c>
      <c r="K64" s="120"/>
      <c r="M64" s="38" t="s">
        <v>113</v>
      </c>
      <c r="O64" s="142">
        <v>44265</v>
      </c>
      <c r="P64" s="149" t="s">
        <v>669</v>
      </c>
      <c r="Q64" s="147">
        <v>30</v>
      </c>
      <c r="R64" s="147">
        <f>IFERROR(Q64/VLOOKUP(P64,'Exchange rates to USD'!$L$2:$N$225,3,FALSE),"")</f>
        <v>33.080068232225649</v>
      </c>
      <c r="U64" s="152"/>
      <c r="V64" s="152"/>
      <c r="W64" s="152"/>
    </row>
    <row r="65" spans="1:23" s="38" customFormat="1" ht="13.25" customHeight="1" x14ac:dyDescent="0.25">
      <c r="A65" s="31" t="s">
        <v>2875</v>
      </c>
      <c r="B65" s="31" t="s">
        <v>625</v>
      </c>
      <c r="C65" s="38" t="s">
        <v>2530</v>
      </c>
      <c r="D65" s="38" t="s">
        <v>39</v>
      </c>
      <c r="E65" s="38" t="s">
        <v>619</v>
      </c>
      <c r="F65" s="145" t="s">
        <v>2880</v>
      </c>
      <c r="G65" s="38" t="s">
        <v>111</v>
      </c>
      <c r="J65" s="62" t="s">
        <v>2883</v>
      </c>
      <c r="K65" s="120"/>
      <c r="M65" s="38" t="s">
        <v>737</v>
      </c>
      <c r="O65" s="142">
        <v>44265</v>
      </c>
      <c r="P65" s="149" t="s">
        <v>669</v>
      </c>
      <c r="Q65" s="150" t="s">
        <v>2884</v>
      </c>
      <c r="R65" s="147">
        <f>IFERROR(Q65/VLOOKUP(P65,'Exchange rates to USD'!$L$2:$N$225,3,FALSE),"")</f>
        <v>2.150204435094667</v>
      </c>
      <c r="U65" s="152"/>
      <c r="V65" s="152"/>
      <c r="W65" s="152"/>
    </row>
    <row r="66" spans="1:23" s="38" customFormat="1" ht="13.25" customHeight="1" x14ac:dyDescent="0.25">
      <c r="A66" s="38" t="s">
        <v>2876</v>
      </c>
      <c r="B66" s="38" t="s">
        <v>625</v>
      </c>
      <c r="C66" s="38" t="s">
        <v>2530</v>
      </c>
      <c r="D66" s="38" t="s">
        <v>39</v>
      </c>
      <c r="E66" s="38" t="s">
        <v>161</v>
      </c>
      <c r="F66" s="145" t="s">
        <v>2881</v>
      </c>
      <c r="G66" s="38" t="s">
        <v>44</v>
      </c>
      <c r="J66" s="62" t="s">
        <v>2887</v>
      </c>
      <c r="K66" s="120"/>
      <c r="M66" s="38" t="s">
        <v>113</v>
      </c>
      <c r="O66" s="142">
        <v>44265</v>
      </c>
      <c r="P66" s="149" t="s">
        <v>669</v>
      </c>
      <c r="Q66" s="147">
        <v>10</v>
      </c>
      <c r="R66" s="147">
        <f>IFERROR(Q66/VLOOKUP(P66,'Exchange rates to USD'!$L$2:$N$225,3,FALSE),"")</f>
        <v>11.026689410741882</v>
      </c>
      <c r="U66" s="152"/>
      <c r="V66" s="152"/>
      <c r="W66" s="152"/>
    </row>
    <row r="67" spans="1:23" s="38" customFormat="1" ht="13.25" customHeight="1" x14ac:dyDescent="0.25">
      <c r="A67" s="34" t="s">
        <v>2877</v>
      </c>
      <c r="B67" s="34" t="s">
        <v>625</v>
      </c>
      <c r="C67" s="34" t="s">
        <v>2530</v>
      </c>
      <c r="D67" s="34" t="s">
        <v>39</v>
      </c>
      <c r="E67" s="34" t="s">
        <v>98</v>
      </c>
      <c r="F67" s="146" t="s">
        <v>2882</v>
      </c>
      <c r="G67" s="34" t="s">
        <v>44</v>
      </c>
      <c r="H67" s="34"/>
      <c r="I67" s="34"/>
      <c r="J67" s="55" t="s">
        <v>2888</v>
      </c>
      <c r="K67" s="143"/>
      <c r="L67" s="34"/>
      <c r="M67" s="34" t="s">
        <v>113</v>
      </c>
      <c r="N67" s="34"/>
      <c r="O67" s="144">
        <v>44265</v>
      </c>
      <c r="P67" s="151" t="s">
        <v>669</v>
      </c>
      <c r="Q67" s="148">
        <v>15</v>
      </c>
      <c r="R67" s="148">
        <f>IFERROR(Q67/VLOOKUP(P67,'Exchange rates to USD'!$L$2:$N$225,3,FALSE),"")</f>
        <v>16.540034116112825</v>
      </c>
      <c r="U67" s="152"/>
      <c r="V67" s="152"/>
      <c r="W67" s="152"/>
    </row>
    <row r="68" spans="1:23" ht="13.25" customHeight="1" x14ac:dyDescent="0.25">
      <c r="A68" s="31" t="s">
        <v>593</v>
      </c>
      <c r="B68" s="31" t="s">
        <v>626</v>
      </c>
      <c r="C68" s="31" t="s">
        <v>2530</v>
      </c>
      <c r="D68" s="31" t="s">
        <v>13</v>
      </c>
      <c r="E68" s="31" t="s">
        <v>14</v>
      </c>
      <c r="F68" s="31" t="s">
        <v>594</v>
      </c>
      <c r="G68" s="31" t="s">
        <v>44</v>
      </c>
      <c r="J68" s="31" t="s">
        <v>595</v>
      </c>
      <c r="K68" s="31" t="s">
        <v>596</v>
      </c>
      <c r="M68" s="31" t="s">
        <v>113</v>
      </c>
      <c r="P68" s="31" t="s">
        <v>2229</v>
      </c>
      <c r="Q68" s="32">
        <v>1720</v>
      </c>
      <c r="R68" s="19">
        <f>IFERROR(Q68/VLOOKUP(P68,'Exchange rates to USD'!$L$2:$N$225,3,FALSE),"")</f>
        <v>1313.1598672569955</v>
      </c>
      <c r="U68" s="152"/>
      <c r="V68" s="152"/>
      <c r="W68" s="152"/>
    </row>
    <row r="69" spans="1:23" ht="13.25" customHeight="1" x14ac:dyDescent="0.25">
      <c r="A69" s="31" t="s">
        <v>597</v>
      </c>
      <c r="B69" s="31" t="s">
        <v>626</v>
      </c>
      <c r="C69" s="31" t="s">
        <v>22</v>
      </c>
      <c r="D69" s="31" t="s">
        <v>13</v>
      </c>
      <c r="E69" s="31" t="s">
        <v>3200</v>
      </c>
      <c r="F69" s="31" t="s">
        <v>598</v>
      </c>
      <c r="J69" s="31" t="s">
        <v>599</v>
      </c>
      <c r="K69" s="31" t="s">
        <v>600</v>
      </c>
      <c r="M69" s="31" t="s">
        <v>737</v>
      </c>
      <c r="P69" s="31" t="s">
        <v>2229</v>
      </c>
      <c r="Q69" s="32">
        <v>65000</v>
      </c>
      <c r="R69" s="19">
        <f>IFERROR(Q69/VLOOKUP(P69,'Exchange rates to USD'!$L$2:$N$225,3,FALSE),"")</f>
        <v>49625.227541688786</v>
      </c>
      <c r="U69" s="152"/>
      <c r="V69" s="152"/>
      <c r="W69" s="152"/>
    </row>
    <row r="70" spans="1:23" ht="13.25" customHeight="1" x14ac:dyDescent="0.25">
      <c r="A70" s="31" t="s">
        <v>739</v>
      </c>
      <c r="B70" s="31" t="s">
        <v>626</v>
      </c>
      <c r="C70" s="31" t="s">
        <v>22</v>
      </c>
      <c r="D70" s="31" t="s">
        <v>13</v>
      </c>
      <c r="E70" s="31" t="s">
        <v>14</v>
      </c>
      <c r="F70" s="31" t="s">
        <v>740</v>
      </c>
      <c r="G70" s="31" t="s">
        <v>3173</v>
      </c>
      <c r="H70" s="31" t="s">
        <v>25</v>
      </c>
      <c r="J70" s="31" t="s">
        <v>1301</v>
      </c>
      <c r="K70" s="31" t="s">
        <v>741</v>
      </c>
      <c r="M70" s="31" t="s">
        <v>113</v>
      </c>
      <c r="P70" s="31" t="s">
        <v>2229</v>
      </c>
      <c r="Q70" s="32">
        <v>750</v>
      </c>
      <c r="R70" s="19">
        <f>IFERROR(Q70/VLOOKUP(P70,'Exchange rates to USD'!$L$2:$N$225,3,FALSE),"")</f>
        <v>572.59877932717825</v>
      </c>
      <c r="U70" s="152"/>
      <c r="V70" s="152"/>
      <c r="W70" s="152"/>
    </row>
    <row r="71" spans="1:23" ht="13.25" customHeight="1" x14ac:dyDescent="0.25">
      <c r="A71" s="31" t="s">
        <v>742</v>
      </c>
      <c r="B71" s="31" t="s">
        <v>626</v>
      </c>
      <c r="C71" s="31" t="s">
        <v>2530</v>
      </c>
      <c r="D71" s="31" t="s">
        <v>13</v>
      </c>
      <c r="E71" s="31" t="s">
        <v>88</v>
      </c>
      <c r="F71" s="31" t="s">
        <v>743</v>
      </c>
      <c r="G71" s="31" t="s">
        <v>111</v>
      </c>
      <c r="H71" s="31" t="s">
        <v>3173</v>
      </c>
      <c r="J71" s="31" t="s">
        <v>744</v>
      </c>
      <c r="K71" s="31" t="s">
        <v>745</v>
      </c>
      <c r="M71" s="31" t="s">
        <v>113</v>
      </c>
      <c r="P71" s="31" t="s">
        <v>2229</v>
      </c>
      <c r="Q71" s="32">
        <v>50</v>
      </c>
      <c r="R71" s="19">
        <f>IFERROR(Q71/VLOOKUP(P71,'Exchange rates to USD'!$L$2:$N$225,3,FALSE),"")</f>
        <v>38.173251955145219</v>
      </c>
      <c r="U71" s="152"/>
      <c r="V71" s="152"/>
      <c r="W71" s="152"/>
    </row>
    <row r="72" spans="1:23" ht="13.25" customHeight="1" x14ac:dyDescent="0.25">
      <c r="A72" s="31" t="s">
        <v>746</v>
      </c>
      <c r="B72" s="31" t="s">
        <v>626</v>
      </c>
      <c r="C72" s="31" t="s">
        <v>2531</v>
      </c>
      <c r="D72" s="31" t="s">
        <v>13</v>
      </c>
      <c r="E72" s="31" t="s">
        <v>172</v>
      </c>
      <c r="F72" s="31" t="s">
        <v>1302</v>
      </c>
      <c r="G72" s="31" t="s">
        <v>3173</v>
      </c>
      <c r="H72" s="14" t="s">
        <v>25</v>
      </c>
      <c r="J72" s="31" t="s">
        <v>747</v>
      </c>
      <c r="K72" s="31" t="s">
        <v>748</v>
      </c>
      <c r="L72" s="31" t="s">
        <v>1303</v>
      </c>
      <c r="M72" s="31" t="s">
        <v>101</v>
      </c>
      <c r="P72" s="31" t="s">
        <v>2229</v>
      </c>
      <c r="Q72" s="32">
        <v>330</v>
      </c>
      <c r="R72" s="19">
        <f>IFERROR(Q72/VLOOKUP(P72,'Exchange rates to USD'!$L$2:$N$225,3,FALSE),"")</f>
        <v>251.94346290395845</v>
      </c>
      <c r="U72" s="152"/>
      <c r="V72" s="152"/>
      <c r="W72" s="152"/>
    </row>
    <row r="73" spans="1:23" ht="13.25" customHeight="1" x14ac:dyDescent="0.25">
      <c r="A73" s="31" t="s">
        <v>749</v>
      </c>
      <c r="B73" s="31" t="s">
        <v>626</v>
      </c>
      <c r="C73" s="31" t="s">
        <v>22</v>
      </c>
      <c r="D73" s="31" t="s">
        <v>39</v>
      </c>
      <c r="E73" s="31" t="s">
        <v>172</v>
      </c>
      <c r="F73" s="31" t="s">
        <v>1304</v>
      </c>
      <c r="G73" s="31" t="s">
        <v>3173</v>
      </c>
      <c r="J73" s="31" t="s">
        <v>750</v>
      </c>
      <c r="K73" s="31" t="s">
        <v>748</v>
      </c>
      <c r="M73" s="31" t="s">
        <v>101</v>
      </c>
      <c r="P73" s="31" t="s">
        <v>2229</v>
      </c>
      <c r="Q73" s="32">
        <v>22.7</v>
      </c>
      <c r="R73" s="19">
        <f>IFERROR(Q73/VLOOKUP(P73,'Exchange rates to USD'!$L$2:$N$225,3,FALSE),"")</f>
        <v>17.33065638763593</v>
      </c>
      <c r="U73" s="152"/>
      <c r="V73" s="152"/>
      <c r="W73" s="152"/>
    </row>
    <row r="74" spans="1:23" ht="13.25" customHeight="1" x14ac:dyDescent="0.25">
      <c r="A74" s="31" t="s">
        <v>751</v>
      </c>
      <c r="B74" s="31" t="s">
        <v>626</v>
      </c>
      <c r="C74" s="31" t="s">
        <v>2531</v>
      </c>
      <c r="D74" s="31" t="s">
        <v>13</v>
      </c>
      <c r="E74" s="31" t="s">
        <v>3200</v>
      </c>
      <c r="G74" s="31" t="s">
        <v>41</v>
      </c>
      <c r="J74" s="31" t="s">
        <v>752</v>
      </c>
      <c r="K74" s="31" t="s">
        <v>748</v>
      </c>
      <c r="M74" s="31" t="s">
        <v>737</v>
      </c>
      <c r="P74" s="31" t="s">
        <v>2229</v>
      </c>
      <c r="R74" s="19">
        <f>IFERROR(Q74/VLOOKUP(P74,'Exchange rates to USD'!$L$2:$N$225,3,FALSE),"")</f>
        <v>0</v>
      </c>
      <c r="U74" s="152"/>
      <c r="V74" s="152"/>
      <c r="W74" s="152"/>
    </row>
    <row r="75" spans="1:23" ht="13.25" customHeight="1" x14ac:dyDescent="0.25">
      <c r="A75" s="31" t="s">
        <v>753</v>
      </c>
      <c r="B75" s="31" t="s">
        <v>626</v>
      </c>
      <c r="C75" s="31" t="s">
        <v>22</v>
      </c>
      <c r="D75" s="31" t="s">
        <v>23</v>
      </c>
      <c r="E75" s="31" t="s">
        <v>3200</v>
      </c>
      <c r="F75" s="31" t="s">
        <v>754</v>
      </c>
      <c r="G75" s="31" t="s">
        <v>3173</v>
      </c>
      <c r="H75" s="31" t="s">
        <v>25</v>
      </c>
      <c r="J75" s="31" t="s">
        <v>755</v>
      </c>
      <c r="K75" s="31" t="s">
        <v>756</v>
      </c>
      <c r="M75" s="31" t="s">
        <v>871</v>
      </c>
      <c r="P75" s="31" t="s">
        <v>2229</v>
      </c>
      <c r="Q75" s="32">
        <v>2200</v>
      </c>
      <c r="R75" s="19">
        <f>IFERROR(Q75/VLOOKUP(P75,'Exchange rates to USD'!$L$2:$N$225,3,FALSE),"")</f>
        <v>1679.6230860263897</v>
      </c>
      <c r="U75" s="152"/>
      <c r="V75" s="152"/>
      <c r="W75" s="152"/>
    </row>
    <row r="76" spans="1:23" ht="13.25" customHeight="1" x14ac:dyDescent="0.25">
      <c r="A76" s="31" t="s">
        <v>757</v>
      </c>
      <c r="B76" s="31" t="s">
        <v>626</v>
      </c>
      <c r="C76" s="31" t="s">
        <v>2531</v>
      </c>
      <c r="D76" s="31" t="s">
        <v>39</v>
      </c>
      <c r="E76" s="31" t="s">
        <v>14</v>
      </c>
      <c r="F76" s="31" t="s">
        <v>758</v>
      </c>
      <c r="G76" s="31" t="s">
        <v>3173</v>
      </c>
      <c r="H76" s="31" t="s">
        <v>25</v>
      </c>
      <c r="J76" s="31" t="s">
        <v>759</v>
      </c>
      <c r="K76" s="31" t="s">
        <v>760</v>
      </c>
      <c r="M76" s="31" t="s">
        <v>871</v>
      </c>
      <c r="P76" s="31" t="s">
        <v>2229</v>
      </c>
      <c r="Q76" s="32">
        <v>113</v>
      </c>
      <c r="R76" s="19">
        <f>IFERROR(Q76/VLOOKUP(P76,'Exchange rates to USD'!$L$2:$N$225,3,FALSE),"")</f>
        <v>86.271549418628197</v>
      </c>
      <c r="U76" s="152"/>
      <c r="V76" s="152"/>
      <c r="W76" s="152"/>
    </row>
    <row r="77" spans="1:23" ht="13.25" customHeight="1" x14ac:dyDescent="0.25">
      <c r="A77" s="31" t="s">
        <v>761</v>
      </c>
      <c r="B77" s="31" t="s">
        <v>626</v>
      </c>
      <c r="C77" s="31" t="s">
        <v>30</v>
      </c>
      <c r="D77" s="31" t="s">
        <v>39</v>
      </c>
      <c r="E77" s="31" t="s">
        <v>14</v>
      </c>
      <c r="G77" s="31" t="s">
        <v>3173</v>
      </c>
      <c r="H77" s="31" t="s">
        <v>25</v>
      </c>
      <c r="J77" s="31" t="s">
        <v>762</v>
      </c>
      <c r="K77" s="31" t="s">
        <v>760</v>
      </c>
      <c r="M77" s="31" t="s">
        <v>101</v>
      </c>
      <c r="P77" s="31" t="s">
        <v>2229</v>
      </c>
      <c r="R77" s="19">
        <f>IFERROR(Q77/VLOOKUP(P77,'Exchange rates to USD'!$L$2:$N$225,3,FALSE),"")</f>
        <v>0</v>
      </c>
      <c r="U77" s="152"/>
      <c r="V77" s="152"/>
      <c r="W77" s="152"/>
    </row>
    <row r="78" spans="1:23" ht="13.25" customHeight="1" x14ac:dyDescent="0.25">
      <c r="A78" s="31" t="s">
        <v>763</v>
      </c>
      <c r="B78" s="31" t="s">
        <v>626</v>
      </c>
      <c r="C78" s="31" t="s">
        <v>22</v>
      </c>
      <c r="D78" s="31" t="s">
        <v>39</v>
      </c>
      <c r="E78" s="31" t="s">
        <v>36</v>
      </c>
      <c r="F78" s="31" t="s">
        <v>764</v>
      </c>
      <c r="G78" s="31" t="s">
        <v>3173</v>
      </c>
      <c r="H78" s="31" t="s">
        <v>25</v>
      </c>
      <c r="J78" s="31" t="s">
        <v>765</v>
      </c>
      <c r="K78" s="31" t="s">
        <v>766</v>
      </c>
      <c r="M78" s="31" t="s">
        <v>113</v>
      </c>
      <c r="P78" s="31" t="s">
        <v>2229</v>
      </c>
      <c r="Q78" s="32">
        <v>1000</v>
      </c>
      <c r="R78" s="19">
        <f>IFERROR(Q78/VLOOKUP(P78,'Exchange rates to USD'!$L$2:$N$225,3,FALSE),"")</f>
        <v>763.46503910290437</v>
      </c>
      <c r="U78" s="152"/>
      <c r="V78" s="152"/>
      <c r="W78" s="152"/>
    </row>
    <row r="79" spans="1:23" ht="13.25" customHeight="1" x14ac:dyDescent="0.25">
      <c r="A79" s="31" t="s">
        <v>767</v>
      </c>
      <c r="B79" s="31" t="s">
        <v>626</v>
      </c>
      <c r="C79" s="31" t="s">
        <v>2530</v>
      </c>
      <c r="D79" s="31" t="s">
        <v>39</v>
      </c>
      <c r="E79" s="31" t="s">
        <v>172</v>
      </c>
      <c r="G79" s="31" t="s">
        <v>3173</v>
      </c>
      <c r="J79" s="31" t="s">
        <v>1305</v>
      </c>
      <c r="K79" s="31" t="s">
        <v>766</v>
      </c>
      <c r="M79" s="31" t="s">
        <v>101</v>
      </c>
      <c r="P79" s="31" t="s">
        <v>2229</v>
      </c>
      <c r="R79" s="19">
        <f>IFERROR(Q79/VLOOKUP(P79,'Exchange rates to USD'!$L$2:$N$225,3,FALSE),"")</f>
        <v>0</v>
      </c>
      <c r="U79" s="152"/>
      <c r="V79" s="152"/>
      <c r="W79" s="152"/>
    </row>
    <row r="80" spans="1:23" ht="13.25" customHeight="1" x14ac:dyDescent="0.25">
      <c r="A80" s="31" t="s">
        <v>768</v>
      </c>
      <c r="B80" s="31" t="s">
        <v>626</v>
      </c>
      <c r="C80" s="31" t="s">
        <v>2530</v>
      </c>
      <c r="D80" s="31" t="s">
        <v>39</v>
      </c>
      <c r="E80" s="31" t="s">
        <v>14</v>
      </c>
      <c r="G80" s="31" t="s">
        <v>3173</v>
      </c>
      <c r="H80" s="31" t="s">
        <v>25</v>
      </c>
      <c r="J80" s="31" t="s">
        <v>769</v>
      </c>
      <c r="K80" s="31" t="s">
        <v>770</v>
      </c>
      <c r="M80" s="31" t="s">
        <v>101</v>
      </c>
      <c r="P80" s="31" t="s">
        <v>2229</v>
      </c>
      <c r="R80" s="19">
        <f>IFERROR(Q80/VLOOKUP(P80,'Exchange rates to USD'!$L$2:$N$225,3,FALSE),"")</f>
        <v>0</v>
      </c>
      <c r="U80" s="152"/>
      <c r="V80" s="152"/>
      <c r="W80" s="152"/>
    </row>
    <row r="81" spans="1:23" ht="13.25" customHeight="1" x14ac:dyDescent="0.25">
      <c r="A81" s="31" t="s">
        <v>1306</v>
      </c>
      <c r="B81" s="31" t="s">
        <v>626</v>
      </c>
      <c r="C81" s="31" t="s">
        <v>2530</v>
      </c>
      <c r="D81" s="31" t="s">
        <v>13</v>
      </c>
      <c r="E81" s="31" t="s">
        <v>88</v>
      </c>
      <c r="F81" s="31" t="s">
        <v>1307</v>
      </c>
      <c r="G81" s="31" t="s">
        <v>3173</v>
      </c>
      <c r="H81" s="31" t="s">
        <v>111</v>
      </c>
      <c r="J81" s="31" t="s">
        <v>1308</v>
      </c>
      <c r="K81" s="31" t="s">
        <v>748</v>
      </c>
      <c r="M81" s="31" t="s">
        <v>871</v>
      </c>
      <c r="O81" s="42">
        <v>44151</v>
      </c>
      <c r="P81" s="31" t="s">
        <v>2229</v>
      </c>
      <c r="Q81" s="32">
        <v>200</v>
      </c>
      <c r="R81" s="19">
        <f>IFERROR(Q81/VLOOKUP(P81,'Exchange rates to USD'!$L$2:$N$225,3,FALSE),"")</f>
        <v>152.69300782058087</v>
      </c>
      <c r="U81" s="152"/>
      <c r="V81" s="152"/>
      <c r="W81" s="152"/>
    </row>
    <row r="82" spans="1:23" ht="13.25" customHeight="1" x14ac:dyDescent="0.25">
      <c r="A82" s="31" t="s">
        <v>1309</v>
      </c>
      <c r="B82" s="31" t="s">
        <v>626</v>
      </c>
      <c r="C82" s="31" t="s">
        <v>22</v>
      </c>
      <c r="D82" s="31" t="s">
        <v>13</v>
      </c>
      <c r="E82" s="31" t="s">
        <v>88</v>
      </c>
      <c r="F82" s="31" t="s">
        <v>1310</v>
      </c>
      <c r="G82" s="31" t="s">
        <v>3173</v>
      </c>
      <c r="H82" s="31" t="s">
        <v>111</v>
      </c>
      <c r="J82" s="31" t="s">
        <v>1311</v>
      </c>
      <c r="K82" s="31" t="s">
        <v>748</v>
      </c>
      <c r="M82" s="31" t="s">
        <v>871</v>
      </c>
      <c r="O82" s="42">
        <v>44151</v>
      </c>
      <c r="P82" s="31" t="s">
        <v>2229</v>
      </c>
      <c r="Q82" s="32">
        <v>62.5</v>
      </c>
      <c r="R82" s="19">
        <f>IFERROR(Q82/VLOOKUP(P82,'Exchange rates to USD'!$L$2:$N$225,3,FALSE),"")</f>
        <v>47.716564943931523</v>
      </c>
      <c r="U82" s="152"/>
      <c r="V82" s="152"/>
      <c r="W82" s="152"/>
    </row>
    <row r="83" spans="1:23" ht="13.25" customHeight="1" x14ac:dyDescent="0.25">
      <c r="A83" s="31" t="s">
        <v>1312</v>
      </c>
      <c r="B83" s="31" t="s">
        <v>626</v>
      </c>
      <c r="C83" s="31" t="s">
        <v>22</v>
      </c>
      <c r="D83" s="31" t="s">
        <v>13</v>
      </c>
      <c r="E83" s="31" t="s">
        <v>3200</v>
      </c>
      <c r="F83" s="31" t="s">
        <v>1313</v>
      </c>
      <c r="G83" s="31" t="s">
        <v>3173</v>
      </c>
      <c r="H83" s="31" t="s">
        <v>25</v>
      </c>
      <c r="I83" s="31" t="s">
        <v>809</v>
      </c>
      <c r="J83" s="31" t="s">
        <v>1314</v>
      </c>
      <c r="K83" s="31" t="s">
        <v>748</v>
      </c>
      <c r="L83" s="31" t="s">
        <v>1315</v>
      </c>
      <c r="M83" s="31" t="s">
        <v>113</v>
      </c>
      <c r="O83" s="42">
        <v>44151</v>
      </c>
      <c r="P83" s="31" t="s">
        <v>2229</v>
      </c>
      <c r="Q83" s="32">
        <v>3000</v>
      </c>
      <c r="R83" s="19">
        <f>IFERROR(Q83/VLOOKUP(P83,'Exchange rates to USD'!$L$2:$N$225,3,FALSE),"")</f>
        <v>2290.395117308713</v>
      </c>
      <c r="U83" s="152"/>
      <c r="V83" s="152"/>
      <c r="W83" s="152"/>
    </row>
    <row r="84" spans="1:23" ht="13.25" customHeight="1" x14ac:dyDescent="0.25">
      <c r="A84" s="31" t="s">
        <v>1316</v>
      </c>
      <c r="B84" s="31" t="s">
        <v>626</v>
      </c>
      <c r="C84" s="31" t="s">
        <v>22</v>
      </c>
      <c r="D84" s="31" t="s">
        <v>39</v>
      </c>
      <c r="E84" s="31" t="s">
        <v>14</v>
      </c>
      <c r="F84" s="31" t="s">
        <v>1317</v>
      </c>
      <c r="G84" s="31" t="s">
        <v>3173</v>
      </c>
      <c r="H84" s="31" t="s">
        <v>869</v>
      </c>
      <c r="I84" s="31" t="s">
        <v>41</v>
      </c>
      <c r="J84" s="31" t="s">
        <v>1318</v>
      </c>
      <c r="K84" s="31" t="s">
        <v>748</v>
      </c>
      <c r="L84" s="31" t="s">
        <v>1319</v>
      </c>
      <c r="M84" s="31" t="s">
        <v>737</v>
      </c>
      <c r="N84" s="31" t="s">
        <v>1320</v>
      </c>
      <c r="O84" s="42">
        <v>44151</v>
      </c>
      <c r="P84" s="31" t="s">
        <v>2229</v>
      </c>
      <c r="Q84" s="32">
        <v>320</v>
      </c>
      <c r="R84" s="19">
        <f>IFERROR(Q84/VLOOKUP(P84,'Exchange rates to USD'!$L$2:$N$225,3,FALSE),"")</f>
        <v>244.30881251292942</v>
      </c>
      <c r="U84" s="152"/>
      <c r="V84" s="152"/>
      <c r="W84" s="152"/>
    </row>
    <row r="85" spans="1:23" ht="13.25" customHeight="1" x14ac:dyDescent="0.25">
      <c r="A85" s="31" t="s">
        <v>1321</v>
      </c>
      <c r="B85" s="31" t="s">
        <v>626</v>
      </c>
      <c r="C85" s="31" t="s">
        <v>22</v>
      </c>
      <c r="D85" s="31" t="s">
        <v>39</v>
      </c>
      <c r="E85" s="31" t="s">
        <v>36</v>
      </c>
      <c r="F85" s="31" t="s">
        <v>1322</v>
      </c>
      <c r="G85" s="31" t="s">
        <v>3173</v>
      </c>
      <c r="H85" s="31" t="s">
        <v>25</v>
      </c>
      <c r="J85" s="31" t="s">
        <v>1323</v>
      </c>
      <c r="K85" s="31" t="s">
        <v>1324</v>
      </c>
      <c r="L85" s="31" t="s">
        <v>1325</v>
      </c>
      <c r="M85" s="31" t="s">
        <v>113</v>
      </c>
      <c r="O85" s="42">
        <v>44151</v>
      </c>
      <c r="P85" s="31" t="s">
        <v>2229</v>
      </c>
      <c r="Q85" s="32">
        <v>2300</v>
      </c>
      <c r="R85" s="19">
        <f>IFERROR(Q85/VLOOKUP(P85,'Exchange rates to USD'!$L$2:$N$225,3,FALSE),"")</f>
        <v>1755.9695899366802</v>
      </c>
      <c r="U85" s="152"/>
      <c r="V85" s="152"/>
      <c r="W85" s="152"/>
    </row>
    <row r="86" spans="1:23" ht="13.25" customHeight="1" x14ac:dyDescent="0.25">
      <c r="A86" s="31" t="s">
        <v>1326</v>
      </c>
      <c r="B86" s="31" t="s">
        <v>626</v>
      </c>
      <c r="C86" s="31" t="s">
        <v>2531</v>
      </c>
      <c r="D86" s="31" t="s">
        <v>872</v>
      </c>
      <c r="E86" s="31" t="s">
        <v>88</v>
      </c>
      <c r="F86" s="31" t="s">
        <v>1327</v>
      </c>
      <c r="G86" s="31" t="s">
        <v>41</v>
      </c>
      <c r="J86" s="31" t="s">
        <v>1328</v>
      </c>
      <c r="K86" s="31" t="s">
        <v>1329</v>
      </c>
      <c r="M86" s="31" t="s">
        <v>871</v>
      </c>
      <c r="O86" s="42">
        <v>44155</v>
      </c>
      <c r="P86" s="31" t="s">
        <v>2229</v>
      </c>
      <c r="Q86" s="32">
        <v>469</v>
      </c>
      <c r="R86" s="19">
        <f>IFERROR(Q86/VLOOKUP(P86,'Exchange rates to USD'!$L$2:$N$225,3,FALSE),"")</f>
        <v>358.06510333926218</v>
      </c>
      <c r="U86" s="152"/>
      <c r="V86" s="152"/>
      <c r="W86" s="152"/>
    </row>
    <row r="87" spans="1:23" ht="13.25" customHeight="1" x14ac:dyDescent="0.25">
      <c r="A87" s="31" t="s">
        <v>1330</v>
      </c>
      <c r="B87" s="31" t="s">
        <v>626</v>
      </c>
      <c r="C87" s="31" t="s">
        <v>2531</v>
      </c>
      <c r="D87" s="31" t="s">
        <v>13</v>
      </c>
      <c r="E87" s="31" t="s">
        <v>191</v>
      </c>
      <c r="F87" s="31" t="s">
        <v>1331</v>
      </c>
      <c r="G87" s="31" t="s">
        <v>41</v>
      </c>
      <c r="H87" s="31" t="s">
        <v>41</v>
      </c>
      <c r="J87" s="31" t="s">
        <v>1332</v>
      </c>
      <c r="K87" s="31" t="s">
        <v>1333</v>
      </c>
      <c r="M87" s="31" t="s">
        <v>871</v>
      </c>
      <c r="O87" s="42">
        <v>44155</v>
      </c>
      <c r="P87" s="31" t="s">
        <v>2229</v>
      </c>
      <c r="Q87" s="32">
        <v>30</v>
      </c>
      <c r="R87" s="19">
        <f>IFERROR(Q87/VLOOKUP(P87,'Exchange rates to USD'!$L$2:$N$225,3,FALSE),"")</f>
        <v>22.903951173087133</v>
      </c>
      <c r="U87" s="152"/>
      <c r="V87" s="152"/>
      <c r="W87" s="152"/>
    </row>
    <row r="88" spans="1:23" ht="13.25" customHeight="1" x14ac:dyDescent="0.25">
      <c r="A88" s="31" t="s">
        <v>1334</v>
      </c>
      <c r="B88" s="31" t="s">
        <v>626</v>
      </c>
      <c r="C88" s="31" t="s">
        <v>22</v>
      </c>
      <c r="D88" s="31" t="s">
        <v>13</v>
      </c>
      <c r="E88" s="31" t="s">
        <v>3200</v>
      </c>
      <c r="F88" s="31" t="s">
        <v>1335</v>
      </c>
      <c r="G88" s="31" t="s">
        <v>41</v>
      </c>
      <c r="J88" s="31" t="s">
        <v>1336</v>
      </c>
      <c r="K88" s="31" t="s">
        <v>748</v>
      </c>
      <c r="M88" s="31" t="s">
        <v>871</v>
      </c>
      <c r="O88" s="42">
        <v>44155</v>
      </c>
      <c r="P88" s="31" t="s">
        <v>2229</v>
      </c>
      <c r="Q88" s="32">
        <v>53</v>
      </c>
      <c r="R88" s="19">
        <f>IFERROR(Q88/VLOOKUP(P88,'Exchange rates to USD'!$L$2:$N$225,3,FALSE),"")</f>
        <v>40.463647072453931</v>
      </c>
      <c r="U88" s="152"/>
      <c r="V88" s="152"/>
      <c r="W88" s="152"/>
    </row>
    <row r="89" spans="1:23" ht="13.25" customHeight="1" x14ac:dyDescent="0.25">
      <c r="A89" s="31" t="s">
        <v>1337</v>
      </c>
      <c r="B89" s="31" t="s">
        <v>626</v>
      </c>
      <c r="C89" s="31" t="s">
        <v>2531</v>
      </c>
      <c r="D89" s="31" t="s">
        <v>39</v>
      </c>
      <c r="E89" s="31" t="s">
        <v>14</v>
      </c>
      <c r="F89" s="31" t="s">
        <v>1338</v>
      </c>
      <c r="G89" s="31" t="s">
        <v>3173</v>
      </c>
      <c r="H89" s="31" t="s">
        <v>3173</v>
      </c>
      <c r="J89" s="31" t="s">
        <v>1339</v>
      </c>
      <c r="K89" s="31" t="s">
        <v>1333</v>
      </c>
      <c r="L89" s="31" t="s">
        <v>1340</v>
      </c>
      <c r="M89" s="31" t="s">
        <v>113</v>
      </c>
      <c r="N89" s="31" t="s">
        <v>1341</v>
      </c>
      <c r="O89" s="42">
        <v>44155</v>
      </c>
      <c r="P89" s="31" t="s">
        <v>2229</v>
      </c>
      <c r="Q89" s="32">
        <v>141.5</v>
      </c>
      <c r="R89" s="19">
        <f>IFERROR(Q89/VLOOKUP(P89,'Exchange rates to USD'!$L$2:$N$225,3,FALSE),"")</f>
        <v>108.03030303306097</v>
      </c>
      <c r="U89" s="152"/>
      <c r="V89" s="152"/>
      <c r="W89" s="152"/>
    </row>
    <row r="90" spans="1:23" ht="13.25" customHeight="1" x14ac:dyDescent="0.25">
      <c r="A90" s="31" t="s">
        <v>1342</v>
      </c>
      <c r="B90" s="31" t="s">
        <v>626</v>
      </c>
      <c r="C90" s="31" t="s">
        <v>2531</v>
      </c>
      <c r="D90" s="31" t="s">
        <v>39</v>
      </c>
      <c r="E90" s="31" t="s">
        <v>36</v>
      </c>
      <c r="F90" s="31" t="s">
        <v>1343</v>
      </c>
      <c r="G90" s="31" t="s">
        <v>3173</v>
      </c>
      <c r="J90" s="31" t="s">
        <v>1344</v>
      </c>
      <c r="K90" s="31" t="s">
        <v>1333</v>
      </c>
      <c r="L90" s="31" t="s">
        <v>1345</v>
      </c>
      <c r="M90" s="31" t="s">
        <v>871</v>
      </c>
      <c r="N90" s="31" t="s">
        <v>1346</v>
      </c>
      <c r="O90" s="42">
        <v>44155</v>
      </c>
      <c r="P90" s="31" t="s">
        <v>2229</v>
      </c>
      <c r="Q90" s="32">
        <v>64.400000000000006</v>
      </c>
      <c r="R90" s="19">
        <f>IFERROR(Q90/VLOOKUP(P90,'Exchange rates to USD'!$L$2:$N$225,3,FALSE),"")</f>
        <v>49.167148518227052</v>
      </c>
      <c r="U90" s="152"/>
      <c r="V90" s="152"/>
      <c r="W90" s="152"/>
    </row>
    <row r="91" spans="1:23" ht="13.25" customHeight="1" x14ac:dyDescent="0.25">
      <c r="A91" s="31" t="s">
        <v>1347</v>
      </c>
      <c r="B91" s="31" t="s">
        <v>626</v>
      </c>
      <c r="C91" s="31" t="s">
        <v>2531</v>
      </c>
      <c r="D91" s="31" t="s">
        <v>39</v>
      </c>
      <c r="E91" s="31" t="s">
        <v>14</v>
      </c>
      <c r="F91" s="31" t="s">
        <v>1348</v>
      </c>
      <c r="G91" s="31" t="s">
        <v>3173</v>
      </c>
      <c r="H91" s="31" t="s">
        <v>25</v>
      </c>
      <c r="J91" s="31" t="s">
        <v>1349</v>
      </c>
      <c r="K91" s="31" t="s">
        <v>1333</v>
      </c>
      <c r="L91" s="31" t="s">
        <v>1350</v>
      </c>
      <c r="M91" s="31" t="s">
        <v>871</v>
      </c>
      <c r="N91" s="31" t="s">
        <v>1341</v>
      </c>
      <c r="O91" s="42">
        <v>44155</v>
      </c>
      <c r="P91" s="31" t="s">
        <v>2229</v>
      </c>
      <c r="Q91" s="32">
        <v>58</v>
      </c>
      <c r="R91" s="19">
        <f>IFERROR(Q91/VLOOKUP(P91,'Exchange rates to USD'!$L$2:$N$225,3,FALSE),"")</f>
        <v>44.280972267968458</v>
      </c>
      <c r="U91" s="152"/>
      <c r="V91" s="152"/>
      <c r="W91" s="152"/>
    </row>
    <row r="92" spans="1:23" ht="13.25" customHeight="1" x14ac:dyDescent="0.25">
      <c r="A92" s="31" t="s">
        <v>1351</v>
      </c>
      <c r="B92" s="31" t="s">
        <v>626</v>
      </c>
      <c r="C92" s="31" t="s">
        <v>22</v>
      </c>
      <c r="D92" s="31" t="s">
        <v>39</v>
      </c>
      <c r="E92" s="31" t="s">
        <v>14</v>
      </c>
      <c r="F92" s="31" t="s">
        <v>1352</v>
      </c>
      <c r="G92" s="31" t="s">
        <v>3173</v>
      </c>
      <c r="H92" s="31" t="s">
        <v>25</v>
      </c>
      <c r="J92" s="31" t="s">
        <v>1353</v>
      </c>
      <c r="K92" s="31" t="s">
        <v>1333</v>
      </c>
      <c r="L92" s="31" t="s">
        <v>1354</v>
      </c>
      <c r="M92" s="31" t="s">
        <v>871</v>
      </c>
      <c r="O92" s="42">
        <v>44155</v>
      </c>
      <c r="P92" s="31" t="s">
        <v>2229</v>
      </c>
      <c r="Q92" s="32">
        <v>50</v>
      </c>
      <c r="R92" s="19">
        <f>IFERROR(Q92/VLOOKUP(P92,'Exchange rates to USD'!$L$2:$N$225,3,FALSE),"")</f>
        <v>38.173251955145219</v>
      </c>
      <c r="U92" s="152"/>
      <c r="V92" s="152"/>
      <c r="W92" s="152"/>
    </row>
    <row r="93" spans="1:23" ht="13.25" customHeight="1" x14ac:dyDescent="0.25">
      <c r="A93" s="31" t="s">
        <v>1355</v>
      </c>
      <c r="B93" s="31" t="s">
        <v>626</v>
      </c>
      <c r="C93" s="31" t="s">
        <v>2531</v>
      </c>
      <c r="D93" s="31" t="s">
        <v>39</v>
      </c>
      <c r="E93" s="31" t="s">
        <v>14</v>
      </c>
      <c r="F93" s="31" t="s">
        <v>1356</v>
      </c>
      <c r="G93" s="31" t="s">
        <v>3173</v>
      </c>
      <c r="J93" s="31" t="s">
        <v>1357</v>
      </c>
      <c r="K93" s="31" t="s">
        <v>1333</v>
      </c>
      <c r="L93" s="31" t="s">
        <v>1358</v>
      </c>
      <c r="M93" s="31" t="s">
        <v>871</v>
      </c>
      <c r="O93" s="42">
        <v>44155</v>
      </c>
      <c r="P93" s="31" t="s">
        <v>2229</v>
      </c>
      <c r="Q93" s="32">
        <v>2900</v>
      </c>
      <c r="R93" s="19">
        <f>IFERROR(Q93/VLOOKUP(P93,'Exchange rates to USD'!$L$2:$N$225,3,FALSE),"")</f>
        <v>2214.0486133984227</v>
      </c>
      <c r="U93" s="152"/>
      <c r="V93" s="152"/>
      <c r="W93" s="152"/>
    </row>
    <row r="94" spans="1:23" ht="13.25" customHeight="1" x14ac:dyDescent="0.25">
      <c r="A94" s="31" t="s">
        <v>1359</v>
      </c>
      <c r="B94" s="31" t="s">
        <v>626</v>
      </c>
      <c r="C94" s="31" t="s">
        <v>2531</v>
      </c>
      <c r="D94" s="31" t="s">
        <v>39</v>
      </c>
      <c r="E94" s="31" t="s">
        <v>36</v>
      </c>
      <c r="F94" s="31" t="s">
        <v>1360</v>
      </c>
      <c r="G94" s="31" t="s">
        <v>3173</v>
      </c>
      <c r="H94" s="31" t="s">
        <v>25</v>
      </c>
      <c r="J94" s="31" t="s">
        <v>1361</v>
      </c>
      <c r="K94" s="31" t="s">
        <v>1333</v>
      </c>
      <c r="L94" s="31" t="s">
        <v>1362</v>
      </c>
      <c r="M94" s="31" t="s">
        <v>113</v>
      </c>
      <c r="N94" s="31" t="s">
        <v>1363</v>
      </c>
      <c r="O94" s="42">
        <v>44155</v>
      </c>
      <c r="P94" s="31" t="s">
        <v>2229</v>
      </c>
      <c r="Q94" s="32">
        <v>295</v>
      </c>
      <c r="R94" s="19">
        <f>IFERROR(Q94/VLOOKUP(P94,'Exchange rates to USD'!$L$2:$N$225,3,FALSE),"")</f>
        <v>225.2221865353568</v>
      </c>
      <c r="U94" s="152"/>
      <c r="V94" s="152"/>
      <c r="W94" s="152"/>
    </row>
    <row r="95" spans="1:23" ht="13.25" customHeight="1" x14ac:dyDescent="0.25">
      <c r="A95" s="31" t="s">
        <v>1364</v>
      </c>
      <c r="B95" s="31" t="s">
        <v>626</v>
      </c>
      <c r="C95" s="31" t="s">
        <v>2531</v>
      </c>
      <c r="D95" s="31" t="s">
        <v>39</v>
      </c>
      <c r="E95" s="31" t="s">
        <v>14</v>
      </c>
      <c r="F95" s="31" t="s">
        <v>1365</v>
      </c>
      <c r="G95" s="31" t="s">
        <v>3173</v>
      </c>
      <c r="J95" s="31" t="s">
        <v>1366</v>
      </c>
      <c r="K95" s="31" t="s">
        <v>1333</v>
      </c>
      <c r="L95" s="31" t="s">
        <v>1367</v>
      </c>
      <c r="M95" s="31" t="s">
        <v>871</v>
      </c>
      <c r="N95" s="31" t="s">
        <v>1368</v>
      </c>
      <c r="O95" s="42">
        <v>44155</v>
      </c>
      <c r="P95" s="31" t="s">
        <v>2229</v>
      </c>
      <c r="Q95" s="32">
        <v>70</v>
      </c>
      <c r="R95" s="19">
        <f>IFERROR(Q95/VLOOKUP(P95,'Exchange rates to USD'!$L$2:$N$225,3,FALSE),"")</f>
        <v>53.442552737203307</v>
      </c>
      <c r="U95" s="152"/>
      <c r="V95" s="152"/>
      <c r="W95" s="152"/>
    </row>
    <row r="96" spans="1:23" ht="13.25" customHeight="1" x14ac:dyDescent="0.25">
      <c r="A96" s="31" t="s">
        <v>1369</v>
      </c>
      <c r="B96" s="31" t="s">
        <v>626</v>
      </c>
      <c r="C96" s="31" t="s">
        <v>2531</v>
      </c>
      <c r="D96" s="31" t="s">
        <v>39</v>
      </c>
      <c r="E96" s="31" t="s">
        <v>14</v>
      </c>
      <c r="F96" s="31" t="s">
        <v>1370</v>
      </c>
      <c r="G96" s="31" t="s">
        <v>3173</v>
      </c>
      <c r="J96" s="31" t="s">
        <v>1371</v>
      </c>
      <c r="K96" s="31" t="s">
        <v>1333</v>
      </c>
      <c r="L96" s="31" t="s">
        <v>1372</v>
      </c>
      <c r="M96" s="31" t="s">
        <v>113</v>
      </c>
      <c r="O96" s="42">
        <v>44155</v>
      </c>
      <c r="P96" s="31" t="s">
        <v>2229</v>
      </c>
      <c r="Q96" s="32">
        <v>16.670000000000002</v>
      </c>
      <c r="R96" s="19">
        <f>IFERROR(Q96/VLOOKUP(P96,'Exchange rates to USD'!$L$2:$N$225,3,FALSE),"")</f>
        <v>12.726962201845417</v>
      </c>
      <c r="U96" s="152"/>
      <c r="V96" s="152"/>
      <c r="W96" s="152"/>
    </row>
    <row r="97" spans="1:23" ht="13.25" customHeight="1" x14ac:dyDescent="0.25">
      <c r="A97" s="31" t="s">
        <v>1373</v>
      </c>
      <c r="B97" s="31" t="s">
        <v>626</v>
      </c>
      <c r="C97" s="31" t="s">
        <v>2531</v>
      </c>
      <c r="D97" s="31" t="s">
        <v>39</v>
      </c>
      <c r="E97" s="31" t="s">
        <v>14</v>
      </c>
      <c r="F97" s="31" t="s">
        <v>1374</v>
      </c>
      <c r="G97" s="31" t="s">
        <v>3173</v>
      </c>
      <c r="J97" s="31" t="s">
        <v>1375</v>
      </c>
      <c r="K97" s="31" t="s">
        <v>1333</v>
      </c>
      <c r="L97" s="31" t="s">
        <v>1376</v>
      </c>
      <c r="M97" s="31" t="s">
        <v>871</v>
      </c>
      <c r="N97" s="31" t="s">
        <v>1377</v>
      </c>
      <c r="O97" s="42">
        <v>44155</v>
      </c>
      <c r="P97" s="31" t="s">
        <v>2229</v>
      </c>
      <c r="Q97" s="32">
        <v>18</v>
      </c>
      <c r="R97" s="19">
        <f>IFERROR(Q97/VLOOKUP(P97,'Exchange rates to USD'!$L$2:$N$225,3,FALSE),"")</f>
        <v>13.742370703852279</v>
      </c>
      <c r="U97" s="152"/>
      <c r="V97" s="152"/>
      <c r="W97" s="152"/>
    </row>
    <row r="98" spans="1:23" ht="13.25" customHeight="1" x14ac:dyDescent="0.25">
      <c r="A98" s="31" t="s">
        <v>1378</v>
      </c>
      <c r="B98" s="31" t="s">
        <v>626</v>
      </c>
      <c r="C98" s="31" t="s">
        <v>2531</v>
      </c>
      <c r="D98" s="31" t="s">
        <v>39</v>
      </c>
      <c r="E98" s="31" t="s">
        <v>14</v>
      </c>
      <c r="F98" s="31" t="s">
        <v>1379</v>
      </c>
      <c r="G98" s="31" t="s">
        <v>3173</v>
      </c>
      <c r="J98" s="31" t="s">
        <v>1380</v>
      </c>
      <c r="K98" s="31" t="s">
        <v>1333</v>
      </c>
      <c r="L98" s="31" t="s">
        <v>1381</v>
      </c>
      <c r="M98" s="31" t="s">
        <v>101</v>
      </c>
      <c r="N98" s="31" t="s">
        <v>1382</v>
      </c>
      <c r="O98" s="42">
        <v>44155</v>
      </c>
      <c r="P98" s="31" t="s">
        <v>2229</v>
      </c>
      <c r="Q98" s="32">
        <v>6000</v>
      </c>
      <c r="R98" s="19">
        <f>IFERROR(Q98/VLOOKUP(P98,'Exchange rates to USD'!$L$2:$N$225,3,FALSE),"")</f>
        <v>4580.790234617426</v>
      </c>
      <c r="U98" s="152"/>
      <c r="V98" s="152"/>
      <c r="W98" s="152"/>
    </row>
    <row r="99" spans="1:23" ht="13.25" customHeight="1" x14ac:dyDescent="0.25">
      <c r="A99" s="31" t="s">
        <v>1383</v>
      </c>
      <c r="B99" s="31" t="s">
        <v>626</v>
      </c>
      <c r="C99" s="31" t="s">
        <v>2531</v>
      </c>
      <c r="D99" s="31" t="s">
        <v>39</v>
      </c>
      <c r="E99" s="31" t="s">
        <v>14</v>
      </c>
      <c r="F99" s="31" t="s">
        <v>1384</v>
      </c>
      <c r="G99" s="31" t="s">
        <v>3173</v>
      </c>
      <c r="J99" s="31" t="s">
        <v>1385</v>
      </c>
      <c r="K99" s="31" t="s">
        <v>1333</v>
      </c>
      <c r="L99" s="31" t="s">
        <v>1386</v>
      </c>
      <c r="M99" s="31" t="s">
        <v>101</v>
      </c>
      <c r="N99" s="31" t="s">
        <v>1387</v>
      </c>
      <c r="O99" s="42">
        <v>44155</v>
      </c>
      <c r="P99" s="31" t="s">
        <v>2229</v>
      </c>
      <c r="Q99" s="32">
        <v>80</v>
      </c>
      <c r="R99" s="19">
        <f>IFERROR(Q99/VLOOKUP(P99,'Exchange rates to USD'!$L$2:$N$225,3,FALSE),"")</f>
        <v>61.077203128232355</v>
      </c>
      <c r="U99" s="152"/>
      <c r="V99" s="152"/>
      <c r="W99" s="152"/>
    </row>
    <row r="100" spans="1:23" ht="13.25" customHeight="1" x14ac:dyDescent="0.25">
      <c r="A100" s="31" t="s">
        <v>1388</v>
      </c>
      <c r="B100" s="31" t="s">
        <v>626</v>
      </c>
      <c r="C100" s="31" t="s">
        <v>2531</v>
      </c>
      <c r="D100" s="31" t="s">
        <v>39</v>
      </c>
      <c r="E100" s="31" t="s">
        <v>14</v>
      </c>
      <c r="F100" s="31" t="s">
        <v>1389</v>
      </c>
      <c r="G100" s="31" t="s">
        <v>3173</v>
      </c>
      <c r="J100" s="31" t="s">
        <v>1390</v>
      </c>
      <c r="K100" s="31" t="s">
        <v>1333</v>
      </c>
      <c r="L100" s="31" t="s">
        <v>1391</v>
      </c>
      <c r="M100" s="31" t="s">
        <v>101</v>
      </c>
      <c r="N100" s="31" t="s">
        <v>1392</v>
      </c>
      <c r="O100" s="42">
        <v>44155</v>
      </c>
      <c r="P100" s="31" t="s">
        <v>2229</v>
      </c>
      <c r="Q100" s="32">
        <v>32</v>
      </c>
      <c r="R100" s="19">
        <f>IFERROR(Q100/VLOOKUP(P100,'Exchange rates to USD'!$L$2:$N$225,3,FALSE),"")</f>
        <v>24.430881251292941</v>
      </c>
      <c r="U100" s="152"/>
      <c r="V100" s="152"/>
      <c r="W100" s="152"/>
    </row>
    <row r="101" spans="1:23" ht="13.25" customHeight="1" x14ac:dyDescent="0.25">
      <c r="A101" s="31" t="s">
        <v>1393</v>
      </c>
      <c r="B101" s="31" t="s">
        <v>626</v>
      </c>
      <c r="C101" s="31" t="s">
        <v>30</v>
      </c>
      <c r="D101" s="31" t="s">
        <v>39</v>
      </c>
      <c r="E101" s="31" t="s">
        <v>3200</v>
      </c>
      <c r="G101" s="31" t="s">
        <v>3173</v>
      </c>
      <c r="J101" s="31" t="s">
        <v>1394</v>
      </c>
      <c r="K101" s="31" t="s">
        <v>1333</v>
      </c>
      <c r="L101" s="31" t="s">
        <v>1395</v>
      </c>
      <c r="M101" s="31" t="s">
        <v>101</v>
      </c>
      <c r="N101" s="31" t="s">
        <v>1396</v>
      </c>
      <c r="O101" s="42">
        <v>44155</v>
      </c>
      <c r="R101" s="19" t="str">
        <f>IFERROR(Q101/VLOOKUP(P101,'Exchange rates to USD'!$L$2:$N$225,3,FALSE),"")</f>
        <v/>
      </c>
      <c r="U101" s="152"/>
      <c r="V101" s="152"/>
      <c r="W101" s="152"/>
    </row>
    <row r="102" spans="1:23" ht="13.25" customHeight="1" x14ac:dyDescent="0.25">
      <c r="A102" s="31" t="s">
        <v>1397</v>
      </c>
      <c r="B102" s="31" t="s">
        <v>626</v>
      </c>
      <c r="C102" s="31" t="s">
        <v>30</v>
      </c>
      <c r="D102" s="31" t="s">
        <v>39</v>
      </c>
      <c r="E102" s="31" t="s">
        <v>3200</v>
      </c>
      <c r="G102" s="31" t="s">
        <v>3173</v>
      </c>
      <c r="H102" s="31" t="s">
        <v>25</v>
      </c>
      <c r="J102" s="31" t="s">
        <v>1398</v>
      </c>
      <c r="K102" s="31" t="s">
        <v>1333</v>
      </c>
      <c r="L102" s="31" t="s">
        <v>1399</v>
      </c>
      <c r="M102" s="31" t="s">
        <v>101</v>
      </c>
      <c r="N102" s="31" t="s">
        <v>1396</v>
      </c>
      <c r="O102" s="42">
        <v>44155</v>
      </c>
      <c r="R102" s="19" t="str">
        <f>IFERROR(Q102/VLOOKUP(P102,'Exchange rates to USD'!$L$2:$N$225,3,FALSE),"")</f>
        <v/>
      </c>
      <c r="U102" s="152"/>
      <c r="V102" s="152"/>
      <c r="W102" s="152"/>
    </row>
    <row r="103" spans="1:23" ht="13.25" customHeight="1" x14ac:dyDescent="0.25">
      <c r="A103" s="31" t="s">
        <v>1400</v>
      </c>
      <c r="B103" s="31" t="s">
        <v>626</v>
      </c>
      <c r="C103" s="31" t="s">
        <v>30</v>
      </c>
      <c r="D103" s="31" t="s">
        <v>39</v>
      </c>
      <c r="E103" s="31" t="s">
        <v>3200</v>
      </c>
      <c r="G103" s="31" t="s">
        <v>3173</v>
      </c>
      <c r="J103" s="31" t="s">
        <v>1401</v>
      </c>
      <c r="K103" s="31" t="s">
        <v>1333</v>
      </c>
      <c r="L103" s="31" t="s">
        <v>1402</v>
      </c>
      <c r="M103" s="31" t="s">
        <v>101</v>
      </c>
      <c r="N103" s="31" t="s">
        <v>1403</v>
      </c>
      <c r="O103" s="42">
        <v>44155</v>
      </c>
      <c r="R103" s="19" t="str">
        <f>IFERROR(Q103/VLOOKUP(P103,'Exchange rates to USD'!$L$2:$N$225,3,FALSE),"")</f>
        <v/>
      </c>
      <c r="U103" s="152"/>
      <c r="V103" s="152"/>
      <c r="W103" s="152"/>
    </row>
    <row r="104" spans="1:23" ht="13.25" customHeight="1" x14ac:dyDescent="0.25">
      <c r="A104" s="31" t="s">
        <v>1404</v>
      </c>
      <c r="B104" s="31" t="s">
        <v>626</v>
      </c>
      <c r="C104" s="31" t="s">
        <v>30</v>
      </c>
      <c r="D104" s="31" t="s">
        <v>39</v>
      </c>
      <c r="E104" s="31" t="s">
        <v>3200</v>
      </c>
      <c r="G104" s="31" t="s">
        <v>25</v>
      </c>
      <c r="H104" s="31" t="s">
        <v>3173</v>
      </c>
      <c r="J104" s="31" t="s">
        <v>1405</v>
      </c>
      <c r="K104" s="31" t="s">
        <v>1333</v>
      </c>
      <c r="L104" s="31" t="s">
        <v>1406</v>
      </c>
      <c r="M104" s="31" t="s">
        <v>101</v>
      </c>
      <c r="N104" s="31" t="s">
        <v>1407</v>
      </c>
      <c r="O104" s="42">
        <v>44155</v>
      </c>
      <c r="R104" s="19" t="str">
        <f>IFERROR(Q104/VLOOKUP(P104,'Exchange rates to USD'!$L$2:$N$225,3,FALSE),"")</f>
        <v/>
      </c>
      <c r="U104" s="152"/>
      <c r="V104" s="152"/>
      <c r="W104" s="152"/>
    </row>
    <row r="105" spans="1:23" ht="13.25" customHeight="1" x14ac:dyDescent="0.25">
      <c r="A105" s="31" t="s">
        <v>1408</v>
      </c>
      <c r="B105" s="31" t="s">
        <v>626</v>
      </c>
      <c r="C105" s="31" t="s">
        <v>30</v>
      </c>
      <c r="D105" s="31" t="s">
        <v>39</v>
      </c>
      <c r="E105" s="31" t="s">
        <v>3200</v>
      </c>
      <c r="G105" s="31" t="s">
        <v>3173</v>
      </c>
      <c r="H105" s="31" t="s">
        <v>25</v>
      </c>
      <c r="J105" s="31" t="s">
        <v>1409</v>
      </c>
      <c r="K105" s="31" t="s">
        <v>1333</v>
      </c>
      <c r="L105" s="31" t="s">
        <v>1410</v>
      </c>
      <c r="M105" s="31" t="s">
        <v>101</v>
      </c>
      <c r="N105" s="31" t="s">
        <v>1411</v>
      </c>
      <c r="O105" s="42">
        <v>44155</v>
      </c>
      <c r="R105" s="19" t="str">
        <f>IFERROR(Q105/VLOOKUP(P105,'Exchange rates to USD'!$L$2:$N$225,3,FALSE),"")</f>
        <v/>
      </c>
      <c r="U105" s="152"/>
      <c r="V105" s="152"/>
      <c r="W105" s="152"/>
    </row>
    <row r="106" spans="1:23" ht="13.25" customHeight="1" x14ac:dyDescent="0.25">
      <c r="A106" s="31" t="s">
        <v>1412</v>
      </c>
      <c r="B106" s="31" t="s">
        <v>626</v>
      </c>
      <c r="C106" s="31" t="s">
        <v>30</v>
      </c>
      <c r="D106" s="31" t="s">
        <v>39</v>
      </c>
      <c r="E106" s="31" t="s">
        <v>3200</v>
      </c>
      <c r="G106" s="31" t="s">
        <v>3173</v>
      </c>
      <c r="J106" s="31" t="s">
        <v>1413</v>
      </c>
      <c r="K106" s="31" t="s">
        <v>1333</v>
      </c>
      <c r="L106" s="31" t="s">
        <v>1414</v>
      </c>
      <c r="M106" s="31" t="s">
        <v>101</v>
      </c>
      <c r="N106" s="31" t="s">
        <v>1415</v>
      </c>
      <c r="O106" s="42">
        <v>44158</v>
      </c>
      <c r="R106" s="19" t="str">
        <f>IFERROR(Q106/VLOOKUP(P106,'Exchange rates to USD'!$L$2:$N$225,3,FALSE),"")</f>
        <v/>
      </c>
      <c r="U106" s="152"/>
      <c r="V106" s="152"/>
      <c r="W106" s="152"/>
    </row>
    <row r="107" spans="1:23" ht="13.25" customHeight="1" x14ac:dyDescent="0.25">
      <c r="A107" s="31" t="s">
        <v>1416</v>
      </c>
      <c r="B107" s="31" t="s">
        <v>626</v>
      </c>
      <c r="C107" s="31" t="s">
        <v>22</v>
      </c>
      <c r="D107" s="31" t="s">
        <v>872</v>
      </c>
      <c r="E107" s="31" t="s">
        <v>14</v>
      </c>
      <c r="F107" s="31" t="s">
        <v>1417</v>
      </c>
      <c r="G107" s="31" t="s">
        <v>3173</v>
      </c>
      <c r="H107" s="31" t="s">
        <v>25</v>
      </c>
      <c r="J107" s="31" t="s">
        <v>1418</v>
      </c>
      <c r="K107" s="31" t="s">
        <v>1419</v>
      </c>
      <c r="M107" s="31" t="s">
        <v>113</v>
      </c>
      <c r="N107" s="31" t="s">
        <v>1420</v>
      </c>
      <c r="O107" s="42">
        <v>44158</v>
      </c>
      <c r="P107" s="31" t="s">
        <v>2229</v>
      </c>
      <c r="Q107" s="32">
        <v>2500</v>
      </c>
      <c r="R107" s="19">
        <f>IFERROR(Q107/VLOOKUP(P107,'Exchange rates to USD'!$L$2:$N$225,3,FALSE),"")</f>
        <v>1908.662597757261</v>
      </c>
      <c r="U107" s="152"/>
      <c r="V107" s="152"/>
      <c r="W107" s="152"/>
    </row>
    <row r="108" spans="1:23" ht="13.25" customHeight="1" x14ac:dyDescent="0.25">
      <c r="A108" s="31" t="s">
        <v>1421</v>
      </c>
      <c r="B108" s="31" t="s">
        <v>626</v>
      </c>
      <c r="C108" s="31" t="s">
        <v>22</v>
      </c>
      <c r="D108" s="31" t="s">
        <v>872</v>
      </c>
      <c r="E108" s="31" t="s">
        <v>14</v>
      </c>
      <c r="F108" s="31" t="s">
        <v>1422</v>
      </c>
      <c r="G108" s="31" t="s">
        <v>3173</v>
      </c>
      <c r="H108" s="31" t="s">
        <v>25</v>
      </c>
      <c r="J108" s="31" t="s">
        <v>1423</v>
      </c>
      <c r="K108" s="31" t="s">
        <v>1419</v>
      </c>
      <c r="M108" s="31" t="s">
        <v>113</v>
      </c>
      <c r="N108" s="31" t="s">
        <v>1420</v>
      </c>
      <c r="O108" s="42">
        <v>44158</v>
      </c>
      <c r="P108" s="31" t="s">
        <v>2229</v>
      </c>
      <c r="Q108" s="32">
        <v>2000</v>
      </c>
      <c r="R108" s="19">
        <f>IFERROR(Q108/VLOOKUP(P108,'Exchange rates to USD'!$L$2:$N$225,3,FALSE),"")</f>
        <v>1526.9300782058087</v>
      </c>
      <c r="U108" s="152"/>
      <c r="V108" s="152"/>
      <c r="W108" s="152"/>
    </row>
    <row r="109" spans="1:23" ht="13.25" customHeight="1" x14ac:dyDescent="0.25">
      <c r="A109" s="31" t="s">
        <v>1424</v>
      </c>
      <c r="B109" s="31" t="s">
        <v>626</v>
      </c>
      <c r="C109" s="31" t="s">
        <v>22</v>
      </c>
      <c r="D109" s="31" t="s">
        <v>872</v>
      </c>
      <c r="E109" s="31" t="s">
        <v>88</v>
      </c>
      <c r="F109" s="31" t="s">
        <v>1425</v>
      </c>
      <c r="G109" s="31" t="s">
        <v>670</v>
      </c>
      <c r="J109" s="31" t="s">
        <v>1426</v>
      </c>
      <c r="K109" s="31" t="s">
        <v>1419</v>
      </c>
      <c r="M109" s="31" t="s">
        <v>871</v>
      </c>
      <c r="N109" s="31" t="s">
        <v>1420</v>
      </c>
      <c r="O109" s="42">
        <v>44158</v>
      </c>
      <c r="P109" s="31" t="s">
        <v>2229</v>
      </c>
      <c r="Q109" s="32">
        <v>1500</v>
      </c>
      <c r="R109" s="19">
        <f>IFERROR(Q109/VLOOKUP(P109,'Exchange rates to USD'!$L$2:$N$225,3,FALSE),"")</f>
        <v>1145.1975586543565</v>
      </c>
      <c r="U109" s="152"/>
      <c r="V109" s="152"/>
      <c r="W109" s="152"/>
    </row>
    <row r="110" spans="1:23" ht="13.25" customHeight="1" x14ac:dyDescent="0.25">
      <c r="A110" s="31" t="s">
        <v>1427</v>
      </c>
      <c r="B110" s="31" t="s">
        <v>626</v>
      </c>
      <c r="C110" s="31" t="s">
        <v>22</v>
      </c>
      <c r="D110" s="31" t="s">
        <v>872</v>
      </c>
      <c r="E110" s="31" t="s">
        <v>36</v>
      </c>
      <c r="F110" s="31" t="s">
        <v>1425</v>
      </c>
      <c r="G110" s="31" t="s">
        <v>3173</v>
      </c>
      <c r="H110" s="31" t="s">
        <v>25</v>
      </c>
      <c r="J110" s="31" t="s">
        <v>1428</v>
      </c>
      <c r="K110" s="31" t="s">
        <v>1419</v>
      </c>
      <c r="M110" s="31" t="s">
        <v>871</v>
      </c>
      <c r="N110" s="31" t="s">
        <v>1420</v>
      </c>
      <c r="O110" s="42">
        <v>44158</v>
      </c>
      <c r="P110" s="31" t="s">
        <v>2229</v>
      </c>
      <c r="Q110" s="32">
        <v>1500</v>
      </c>
      <c r="R110" s="19">
        <f>IFERROR(Q110/VLOOKUP(P110,'Exchange rates to USD'!$L$2:$N$225,3,FALSE),"")</f>
        <v>1145.1975586543565</v>
      </c>
      <c r="U110" s="152"/>
      <c r="V110" s="152"/>
      <c r="W110" s="152"/>
    </row>
    <row r="111" spans="1:23" ht="13.25" customHeight="1" x14ac:dyDescent="0.25">
      <c r="A111" s="31" t="s">
        <v>1429</v>
      </c>
      <c r="B111" s="31" t="s">
        <v>626</v>
      </c>
      <c r="C111" s="31" t="s">
        <v>22</v>
      </c>
      <c r="D111" s="31" t="s">
        <v>13</v>
      </c>
      <c r="E111" s="31" t="s">
        <v>14</v>
      </c>
      <c r="F111" s="31" t="s">
        <v>1430</v>
      </c>
      <c r="G111" s="31" t="s">
        <v>3173</v>
      </c>
      <c r="H111" s="31" t="s">
        <v>25</v>
      </c>
      <c r="J111" s="31" t="s">
        <v>1431</v>
      </c>
      <c r="K111" s="31" t="s">
        <v>1432</v>
      </c>
      <c r="M111" s="31" t="s">
        <v>871</v>
      </c>
      <c r="N111" s="31" t="s">
        <v>1433</v>
      </c>
      <c r="O111" s="42">
        <v>44158</v>
      </c>
      <c r="P111" s="31" t="s">
        <v>2229</v>
      </c>
      <c r="Q111" s="32">
        <v>300</v>
      </c>
      <c r="R111" s="19">
        <f>IFERROR(Q111/VLOOKUP(P111,'Exchange rates to USD'!$L$2:$N$225,3,FALSE),"")</f>
        <v>229.03951173087131</v>
      </c>
      <c r="U111" s="152"/>
      <c r="V111" s="152"/>
      <c r="W111" s="152"/>
    </row>
    <row r="112" spans="1:23" ht="13.25" customHeight="1" x14ac:dyDescent="0.25">
      <c r="A112" s="31" t="s">
        <v>1434</v>
      </c>
      <c r="B112" s="31" t="s">
        <v>626</v>
      </c>
      <c r="C112" s="31" t="s">
        <v>22</v>
      </c>
      <c r="D112" s="31" t="s">
        <v>39</v>
      </c>
      <c r="E112" s="31" t="s">
        <v>36</v>
      </c>
      <c r="F112" s="31" t="s">
        <v>1360</v>
      </c>
      <c r="G112" s="31" t="s">
        <v>3173</v>
      </c>
      <c r="H112" s="31" t="s">
        <v>25</v>
      </c>
      <c r="J112" s="31" t="s">
        <v>1435</v>
      </c>
      <c r="K112" s="31" t="s">
        <v>1333</v>
      </c>
      <c r="L112" s="31" t="s">
        <v>1362</v>
      </c>
      <c r="M112" s="31" t="s">
        <v>871</v>
      </c>
      <c r="N112" s="31" t="s">
        <v>1436</v>
      </c>
      <c r="O112" s="42">
        <v>44158</v>
      </c>
      <c r="P112" s="31" t="s">
        <v>2229</v>
      </c>
      <c r="Q112" s="32">
        <v>295</v>
      </c>
      <c r="R112" s="19">
        <f>IFERROR(Q112/VLOOKUP(P112,'Exchange rates to USD'!$L$2:$N$225,3,FALSE),"")</f>
        <v>225.2221865353568</v>
      </c>
      <c r="U112" s="152"/>
      <c r="V112" s="152"/>
      <c r="W112" s="152"/>
    </row>
    <row r="113" spans="1:23" ht="13.25" customHeight="1" x14ac:dyDescent="0.25">
      <c r="A113" s="31" t="s">
        <v>1437</v>
      </c>
      <c r="B113" s="31" t="s">
        <v>626</v>
      </c>
      <c r="C113" s="31" t="s">
        <v>2531</v>
      </c>
      <c r="D113" s="31" t="s">
        <v>872</v>
      </c>
      <c r="E113" s="31" t="s">
        <v>36</v>
      </c>
      <c r="F113" s="31" t="s">
        <v>1438</v>
      </c>
      <c r="G113" s="31" t="s">
        <v>3173</v>
      </c>
      <c r="H113" s="31" t="s">
        <v>25</v>
      </c>
      <c r="J113" s="31" t="s">
        <v>1439</v>
      </c>
      <c r="K113" s="31" t="s">
        <v>1333</v>
      </c>
      <c r="L113" s="31" t="s">
        <v>1440</v>
      </c>
      <c r="M113" s="31" t="s">
        <v>737</v>
      </c>
      <c r="N113" s="31" t="s">
        <v>1441</v>
      </c>
      <c r="O113" s="42">
        <v>44158</v>
      </c>
      <c r="P113" s="31" t="s">
        <v>2229</v>
      </c>
      <c r="Q113" s="32">
        <v>251.1</v>
      </c>
      <c r="R113" s="19">
        <f>IFERROR(Q113/VLOOKUP(P113,'Exchange rates to USD'!$L$2:$N$225,3,FALSE),"")</f>
        <v>191.7060713187393</v>
      </c>
      <c r="U113" s="152"/>
      <c r="V113" s="152"/>
      <c r="W113" s="152"/>
    </row>
    <row r="114" spans="1:23" ht="13.25" customHeight="1" x14ac:dyDescent="0.25">
      <c r="A114" s="31" t="s">
        <v>1442</v>
      </c>
      <c r="B114" s="31" t="s">
        <v>626</v>
      </c>
      <c r="C114" s="31" t="s">
        <v>22</v>
      </c>
      <c r="D114" s="31" t="s">
        <v>13</v>
      </c>
      <c r="E114" s="31" t="s">
        <v>14</v>
      </c>
      <c r="F114" s="31" t="s">
        <v>1443</v>
      </c>
      <c r="G114" s="31" t="s">
        <v>3173</v>
      </c>
      <c r="H114" s="31" t="s">
        <v>25</v>
      </c>
      <c r="J114" s="31" t="s">
        <v>1444</v>
      </c>
      <c r="K114" s="31" t="s">
        <v>1333</v>
      </c>
      <c r="L114" s="31" t="s">
        <v>1445</v>
      </c>
      <c r="M114" s="31" t="s">
        <v>871</v>
      </c>
      <c r="N114" s="31" t="s">
        <v>1446</v>
      </c>
      <c r="O114" s="42">
        <v>44158</v>
      </c>
      <c r="P114" s="31" t="s">
        <v>2229</v>
      </c>
      <c r="Q114" s="32">
        <v>57.128</v>
      </c>
      <c r="R114" s="19">
        <f>IFERROR(Q114/VLOOKUP(P114,'Exchange rates to USD'!$L$2:$N$225,3,FALSE),"")</f>
        <v>43.615230753870726</v>
      </c>
      <c r="U114" s="152"/>
      <c r="V114" s="152"/>
      <c r="W114" s="152"/>
    </row>
    <row r="115" spans="1:23" ht="13.25" customHeight="1" x14ac:dyDescent="0.25">
      <c r="A115" s="31" t="s">
        <v>1447</v>
      </c>
      <c r="B115" s="31" t="s">
        <v>626</v>
      </c>
      <c r="C115" s="31" t="s">
        <v>22</v>
      </c>
      <c r="D115" s="31" t="s">
        <v>872</v>
      </c>
      <c r="E115" s="31" t="s">
        <v>36</v>
      </c>
      <c r="F115" s="31" t="s">
        <v>1448</v>
      </c>
      <c r="G115" s="31" t="s">
        <v>3173</v>
      </c>
      <c r="H115" s="31" t="s">
        <v>25</v>
      </c>
      <c r="J115" s="31" t="s">
        <v>1449</v>
      </c>
      <c r="K115" s="31" t="s">
        <v>1333</v>
      </c>
      <c r="L115" s="31" t="s">
        <v>1445</v>
      </c>
      <c r="M115" s="31" t="s">
        <v>871</v>
      </c>
      <c r="N115" s="31" t="s">
        <v>1450</v>
      </c>
      <c r="O115" s="42">
        <v>44158</v>
      </c>
      <c r="P115" s="31" t="s">
        <v>2229</v>
      </c>
      <c r="Q115" s="32">
        <v>26.5</v>
      </c>
      <c r="R115" s="19">
        <f>IFERROR(Q115/VLOOKUP(P115,'Exchange rates to USD'!$L$2:$N$225,3,FALSE),"")</f>
        <v>20.231823536226965</v>
      </c>
      <c r="U115" s="152"/>
      <c r="V115" s="152"/>
      <c r="W115" s="152"/>
    </row>
    <row r="116" spans="1:23" ht="13.25" customHeight="1" x14ac:dyDescent="0.25">
      <c r="A116" s="31" t="s">
        <v>1451</v>
      </c>
      <c r="B116" s="31" t="s">
        <v>626</v>
      </c>
      <c r="C116" s="31" t="s">
        <v>22</v>
      </c>
      <c r="D116" s="31" t="s">
        <v>872</v>
      </c>
      <c r="E116" s="31" t="s">
        <v>36</v>
      </c>
      <c r="F116" s="31" t="s">
        <v>1452</v>
      </c>
      <c r="G116" s="31" t="s">
        <v>3173</v>
      </c>
      <c r="H116" s="31" t="s">
        <v>25</v>
      </c>
      <c r="J116" s="31" t="s">
        <v>1453</v>
      </c>
      <c r="K116" s="31" t="s">
        <v>1333</v>
      </c>
      <c r="L116" s="31" t="s">
        <v>1454</v>
      </c>
      <c r="M116" s="31" t="s">
        <v>871</v>
      </c>
      <c r="N116" s="31" t="s">
        <v>1455</v>
      </c>
      <c r="O116" s="42">
        <v>44158</v>
      </c>
      <c r="P116" s="31" t="s">
        <v>2229</v>
      </c>
      <c r="Q116" s="32">
        <v>100</v>
      </c>
      <c r="R116" s="19">
        <f>IFERROR(Q116/VLOOKUP(P116,'Exchange rates to USD'!$L$2:$N$225,3,FALSE),"")</f>
        <v>76.346503910290437</v>
      </c>
      <c r="U116" s="152"/>
      <c r="V116" s="152"/>
      <c r="W116" s="152"/>
    </row>
    <row r="117" spans="1:23" ht="13.25" customHeight="1" x14ac:dyDescent="0.25">
      <c r="A117" s="31" t="s">
        <v>1456</v>
      </c>
      <c r="B117" s="31" t="s">
        <v>626</v>
      </c>
      <c r="C117" s="31" t="s">
        <v>110</v>
      </c>
      <c r="D117" s="31" t="s">
        <v>13</v>
      </c>
      <c r="E117" s="31" t="s">
        <v>36</v>
      </c>
      <c r="F117" s="31" t="s">
        <v>1452</v>
      </c>
      <c r="G117" s="31" t="s">
        <v>3173</v>
      </c>
      <c r="H117" s="31" t="s">
        <v>25</v>
      </c>
      <c r="J117" s="31" t="s">
        <v>1457</v>
      </c>
      <c r="K117" s="31" t="s">
        <v>1333</v>
      </c>
      <c r="L117" s="31" t="s">
        <v>1458</v>
      </c>
      <c r="M117" s="31" t="s">
        <v>113</v>
      </c>
      <c r="N117" s="31" t="s">
        <v>1459</v>
      </c>
      <c r="O117" s="42">
        <v>44158</v>
      </c>
      <c r="P117" s="31" t="s">
        <v>2229</v>
      </c>
      <c r="Q117" s="32">
        <v>100</v>
      </c>
      <c r="R117" s="19">
        <f>IFERROR(Q117/VLOOKUP(P117,'Exchange rates to USD'!$L$2:$N$225,3,FALSE),"")</f>
        <v>76.346503910290437</v>
      </c>
      <c r="U117" s="152"/>
      <c r="V117" s="152"/>
      <c r="W117" s="152"/>
    </row>
    <row r="118" spans="1:23" ht="13.25" customHeight="1" x14ac:dyDescent="0.25">
      <c r="A118" s="31" t="s">
        <v>1460</v>
      </c>
      <c r="B118" s="31" t="s">
        <v>626</v>
      </c>
      <c r="C118" s="31" t="s">
        <v>22</v>
      </c>
      <c r="D118" s="31" t="s">
        <v>39</v>
      </c>
      <c r="E118" s="31" t="s">
        <v>14</v>
      </c>
      <c r="F118" s="31" t="s">
        <v>1461</v>
      </c>
      <c r="G118" s="31" t="s">
        <v>3173</v>
      </c>
      <c r="H118" s="31" t="s">
        <v>25</v>
      </c>
      <c r="J118" s="31" t="s">
        <v>1462</v>
      </c>
      <c r="K118" s="31" t="s">
        <v>1333</v>
      </c>
      <c r="L118" s="31" t="s">
        <v>1463</v>
      </c>
      <c r="M118" s="31" t="s">
        <v>871</v>
      </c>
      <c r="N118" s="31" t="s">
        <v>1464</v>
      </c>
      <c r="O118" s="42">
        <v>44158</v>
      </c>
      <c r="P118" s="31" t="s">
        <v>2229</v>
      </c>
      <c r="Q118" s="32">
        <v>93</v>
      </c>
      <c r="R118" s="19">
        <f>IFERROR(Q118/VLOOKUP(P118,'Exchange rates to USD'!$L$2:$N$225,3,FALSE),"")</f>
        <v>71.002248636570116</v>
      </c>
      <c r="U118" s="152"/>
      <c r="V118" s="152"/>
      <c r="W118" s="152"/>
    </row>
    <row r="119" spans="1:23" ht="13.25" customHeight="1" x14ac:dyDescent="0.25">
      <c r="A119" s="31" t="s">
        <v>1465</v>
      </c>
      <c r="B119" s="31" t="s">
        <v>626</v>
      </c>
      <c r="C119" s="31" t="s">
        <v>22</v>
      </c>
      <c r="D119" s="31" t="s">
        <v>39</v>
      </c>
      <c r="E119" s="31" t="s">
        <v>14</v>
      </c>
      <c r="F119" s="31" t="s">
        <v>1466</v>
      </c>
      <c r="G119" s="31" t="s">
        <v>3173</v>
      </c>
      <c r="H119" s="31" t="s">
        <v>25</v>
      </c>
      <c r="J119" s="31" t="s">
        <v>1467</v>
      </c>
      <c r="K119" s="31" t="s">
        <v>1333</v>
      </c>
      <c r="L119" s="31" t="s">
        <v>1468</v>
      </c>
      <c r="M119" s="31" t="s">
        <v>113</v>
      </c>
      <c r="N119" s="31" t="s">
        <v>1469</v>
      </c>
      <c r="O119" s="42">
        <v>44158</v>
      </c>
      <c r="P119" s="31" t="s">
        <v>2229</v>
      </c>
      <c r="Q119" s="32">
        <v>18.3</v>
      </c>
      <c r="R119" s="19">
        <f>IFERROR(Q119/VLOOKUP(P119,'Exchange rates to USD'!$L$2:$N$225,3,FALSE),"")</f>
        <v>13.971410215583152</v>
      </c>
      <c r="U119" s="152"/>
      <c r="V119" s="152"/>
      <c r="W119" s="152"/>
    </row>
    <row r="120" spans="1:23" ht="13.25" customHeight="1" x14ac:dyDescent="0.25">
      <c r="A120" s="31" t="s">
        <v>1470</v>
      </c>
      <c r="B120" s="31" t="s">
        <v>626</v>
      </c>
      <c r="C120" s="31" t="s">
        <v>2531</v>
      </c>
      <c r="D120" s="31" t="s">
        <v>39</v>
      </c>
      <c r="E120" s="31" t="s">
        <v>14</v>
      </c>
      <c r="F120" s="31" t="s">
        <v>1471</v>
      </c>
      <c r="G120" s="31" t="s">
        <v>3173</v>
      </c>
      <c r="H120" s="31" t="s">
        <v>25</v>
      </c>
      <c r="J120" s="31" t="s">
        <v>1472</v>
      </c>
      <c r="K120" s="31" t="s">
        <v>1333</v>
      </c>
      <c r="L120" s="31" t="s">
        <v>1473</v>
      </c>
      <c r="M120" s="31" t="s">
        <v>113</v>
      </c>
      <c r="N120" s="31" t="s">
        <v>1474</v>
      </c>
      <c r="O120" s="42">
        <v>44158</v>
      </c>
      <c r="P120" s="31" t="s">
        <v>2229</v>
      </c>
      <c r="Q120" s="32">
        <v>17</v>
      </c>
      <c r="R120" s="19">
        <f>IFERROR(Q120/VLOOKUP(P120,'Exchange rates to USD'!$L$2:$N$225,3,FALSE),"")</f>
        <v>12.978905664749375</v>
      </c>
      <c r="U120" s="152"/>
      <c r="V120" s="152"/>
      <c r="W120" s="152"/>
    </row>
    <row r="121" spans="1:23" ht="13.25" customHeight="1" x14ac:dyDescent="0.25">
      <c r="A121" s="31" t="s">
        <v>1475</v>
      </c>
      <c r="B121" s="31" t="s">
        <v>626</v>
      </c>
      <c r="C121" s="31" t="s">
        <v>110</v>
      </c>
      <c r="D121" s="31" t="s">
        <v>13</v>
      </c>
      <c r="E121" s="31" t="s">
        <v>3200</v>
      </c>
      <c r="F121" s="31" t="s">
        <v>1476</v>
      </c>
      <c r="G121" s="31" t="s">
        <v>3173</v>
      </c>
      <c r="H121" s="31" t="s">
        <v>25</v>
      </c>
      <c r="J121" s="31" t="s">
        <v>1477</v>
      </c>
      <c r="K121" s="31" t="s">
        <v>1333</v>
      </c>
      <c r="L121" s="31" t="s">
        <v>1478</v>
      </c>
      <c r="M121" s="31" t="s">
        <v>113</v>
      </c>
      <c r="N121" s="31" t="s">
        <v>1479</v>
      </c>
      <c r="O121" s="42">
        <v>44158</v>
      </c>
      <c r="P121" s="31" t="s">
        <v>2229</v>
      </c>
      <c r="Q121" s="32">
        <v>16.2</v>
      </c>
      <c r="R121" s="19">
        <f>IFERROR(Q121/VLOOKUP(P121,'Exchange rates to USD'!$L$2:$N$225,3,FALSE),"")</f>
        <v>12.368133633467052</v>
      </c>
      <c r="U121" s="152"/>
      <c r="V121" s="152"/>
      <c r="W121" s="152"/>
    </row>
    <row r="122" spans="1:23" ht="13.25" customHeight="1" x14ac:dyDescent="0.25">
      <c r="A122" s="31" t="s">
        <v>1480</v>
      </c>
      <c r="B122" s="31" t="s">
        <v>626</v>
      </c>
      <c r="C122" s="31" t="s">
        <v>2531</v>
      </c>
      <c r="D122" s="31" t="s">
        <v>872</v>
      </c>
      <c r="E122" s="31" t="s">
        <v>14</v>
      </c>
      <c r="F122" s="31" t="s">
        <v>1481</v>
      </c>
      <c r="G122" s="31" t="s">
        <v>3173</v>
      </c>
      <c r="H122" s="31" t="s">
        <v>25</v>
      </c>
      <c r="J122" s="31" t="s">
        <v>1482</v>
      </c>
      <c r="K122" s="31" t="s">
        <v>1333</v>
      </c>
      <c r="L122" s="31" t="s">
        <v>1483</v>
      </c>
      <c r="M122" s="31" t="s">
        <v>871</v>
      </c>
      <c r="O122" s="42">
        <v>44158</v>
      </c>
      <c r="P122" s="31" t="s">
        <v>2229</v>
      </c>
      <c r="Q122" s="32">
        <v>15.7</v>
      </c>
      <c r="R122" s="19">
        <f>IFERROR(Q122/VLOOKUP(P122,'Exchange rates to USD'!$L$2:$N$225,3,FALSE),"")</f>
        <v>11.986401113915599</v>
      </c>
      <c r="U122" s="152"/>
      <c r="V122" s="152"/>
      <c r="W122" s="152"/>
    </row>
    <row r="123" spans="1:23" ht="13.25" customHeight="1" x14ac:dyDescent="0.25">
      <c r="A123" s="31" t="s">
        <v>1484</v>
      </c>
      <c r="B123" s="31" t="s">
        <v>626</v>
      </c>
      <c r="C123" s="31" t="s">
        <v>2531</v>
      </c>
      <c r="D123" s="31" t="s">
        <v>39</v>
      </c>
      <c r="E123" s="31" t="s">
        <v>36</v>
      </c>
      <c r="F123" s="31" t="s">
        <v>1485</v>
      </c>
      <c r="G123" s="31" t="s">
        <v>3173</v>
      </c>
      <c r="J123" s="31" t="s">
        <v>1486</v>
      </c>
      <c r="K123" s="31" t="s">
        <v>1333</v>
      </c>
      <c r="L123" s="31" t="s">
        <v>1487</v>
      </c>
      <c r="M123" s="31" t="s">
        <v>871</v>
      </c>
      <c r="N123" s="31" t="s">
        <v>1488</v>
      </c>
      <c r="O123" s="42">
        <v>44158</v>
      </c>
      <c r="P123" s="31" t="s">
        <v>2229</v>
      </c>
      <c r="Q123" s="32">
        <v>12</v>
      </c>
      <c r="R123" s="19">
        <f>IFERROR(Q123/VLOOKUP(P123,'Exchange rates to USD'!$L$2:$N$225,3,FALSE),"")</f>
        <v>9.1615804692348526</v>
      </c>
      <c r="U123" s="152"/>
      <c r="V123" s="152"/>
      <c r="W123" s="152"/>
    </row>
    <row r="124" spans="1:23" ht="13.25" customHeight="1" x14ac:dyDescent="0.25">
      <c r="A124" s="31" t="s">
        <v>1489</v>
      </c>
      <c r="B124" s="31" t="s">
        <v>626</v>
      </c>
      <c r="C124" s="31" t="s">
        <v>22</v>
      </c>
      <c r="D124" s="31" t="s">
        <v>39</v>
      </c>
      <c r="E124" s="31" t="s">
        <v>3200</v>
      </c>
      <c r="F124" s="31" t="s">
        <v>1490</v>
      </c>
      <c r="G124" s="31" t="s">
        <v>3173</v>
      </c>
      <c r="J124" s="31" t="s">
        <v>1491</v>
      </c>
      <c r="K124" s="31" t="s">
        <v>1333</v>
      </c>
      <c r="L124" s="31" t="s">
        <v>1492</v>
      </c>
      <c r="M124" s="31" t="s">
        <v>871</v>
      </c>
      <c r="N124" s="31" t="s">
        <v>1493</v>
      </c>
      <c r="O124" s="42">
        <v>44158</v>
      </c>
      <c r="P124" s="31" t="s">
        <v>2229</v>
      </c>
      <c r="Q124" s="32">
        <v>10</v>
      </c>
      <c r="R124" s="19">
        <f>IFERROR(Q124/VLOOKUP(P124,'Exchange rates to USD'!$L$2:$N$225,3,FALSE),"")</f>
        <v>7.6346503910290444</v>
      </c>
      <c r="U124" s="152"/>
      <c r="V124" s="152"/>
      <c r="W124" s="152"/>
    </row>
    <row r="125" spans="1:23" ht="13.25" customHeight="1" x14ac:dyDescent="0.25">
      <c r="A125" s="31" t="s">
        <v>1494</v>
      </c>
      <c r="B125" s="31" t="s">
        <v>626</v>
      </c>
      <c r="C125" s="31" t="s">
        <v>110</v>
      </c>
      <c r="D125" s="31" t="s">
        <v>13</v>
      </c>
      <c r="E125" s="31" t="s">
        <v>14</v>
      </c>
      <c r="F125" s="31" t="s">
        <v>1495</v>
      </c>
      <c r="G125" s="31" t="s">
        <v>3173</v>
      </c>
      <c r="J125" s="31" t="s">
        <v>1496</v>
      </c>
      <c r="K125" s="31" t="s">
        <v>1333</v>
      </c>
      <c r="L125" s="31" t="s">
        <v>1497</v>
      </c>
      <c r="M125" s="31" t="s">
        <v>113</v>
      </c>
      <c r="N125" s="31" t="s">
        <v>1498</v>
      </c>
      <c r="O125" s="42">
        <v>44158</v>
      </c>
      <c r="P125" s="31" t="s">
        <v>2229</v>
      </c>
      <c r="Q125" s="32">
        <v>9.4</v>
      </c>
      <c r="R125" s="19">
        <f>IFERROR(Q125/VLOOKUP(P125,'Exchange rates to USD'!$L$2:$N$225,3,FALSE),"")</f>
        <v>7.176571367567302</v>
      </c>
      <c r="U125" s="152"/>
      <c r="V125" s="152"/>
      <c r="W125" s="152"/>
    </row>
    <row r="126" spans="1:23" ht="13.25" customHeight="1" x14ac:dyDescent="0.25">
      <c r="A126" s="31" t="s">
        <v>1499</v>
      </c>
      <c r="B126" s="31" t="s">
        <v>626</v>
      </c>
      <c r="C126" s="31" t="s">
        <v>2531</v>
      </c>
      <c r="D126" s="31" t="s">
        <v>39</v>
      </c>
      <c r="E126" s="31" t="s">
        <v>14</v>
      </c>
      <c r="F126" s="31" t="s">
        <v>1500</v>
      </c>
      <c r="G126" s="31" t="s">
        <v>3173</v>
      </c>
      <c r="H126" s="31" t="s">
        <v>25</v>
      </c>
      <c r="J126" s="31" t="s">
        <v>1501</v>
      </c>
      <c r="K126" s="31" t="s">
        <v>1333</v>
      </c>
      <c r="L126" s="31" t="s">
        <v>1502</v>
      </c>
      <c r="M126" s="31" t="s">
        <v>113</v>
      </c>
      <c r="O126" s="42">
        <v>44158</v>
      </c>
      <c r="P126" s="31" t="s">
        <v>2229</v>
      </c>
      <c r="Q126" s="32">
        <v>8</v>
      </c>
      <c r="R126" s="19">
        <f>IFERROR(Q126/VLOOKUP(P126,'Exchange rates to USD'!$L$2:$N$225,3,FALSE),"")</f>
        <v>6.1077203128232354</v>
      </c>
      <c r="U126" s="152"/>
      <c r="V126" s="152"/>
      <c r="W126" s="152"/>
    </row>
    <row r="127" spans="1:23" ht="13.25" customHeight="1" x14ac:dyDescent="0.25">
      <c r="A127" s="31" t="s">
        <v>1503</v>
      </c>
      <c r="B127" s="31" t="s">
        <v>626</v>
      </c>
      <c r="C127" s="31" t="s">
        <v>110</v>
      </c>
      <c r="D127" s="31" t="s">
        <v>39</v>
      </c>
      <c r="E127" s="31" t="s">
        <v>14</v>
      </c>
      <c r="F127" s="31" t="s">
        <v>1504</v>
      </c>
      <c r="G127" s="31" t="s">
        <v>25</v>
      </c>
      <c r="H127" s="31" t="s">
        <v>3173</v>
      </c>
      <c r="J127" s="31" t="s">
        <v>1505</v>
      </c>
      <c r="K127" s="31" t="s">
        <v>1333</v>
      </c>
      <c r="L127" s="31" t="s">
        <v>1506</v>
      </c>
      <c r="M127" s="31" t="s">
        <v>113</v>
      </c>
      <c r="O127" s="42">
        <v>44158</v>
      </c>
      <c r="P127" s="31" t="s">
        <v>2229</v>
      </c>
      <c r="Q127" s="32">
        <v>7.3479999999999999</v>
      </c>
      <c r="R127" s="19">
        <f>IFERROR(Q127/VLOOKUP(P127,'Exchange rates to USD'!$L$2:$N$225,3,FALSE),"")</f>
        <v>5.6099411073281411</v>
      </c>
      <c r="U127" s="152"/>
      <c r="V127" s="152"/>
      <c r="W127" s="152"/>
    </row>
    <row r="128" spans="1:23" ht="13.25" customHeight="1" x14ac:dyDescent="0.25">
      <c r="A128" s="31" t="s">
        <v>1507</v>
      </c>
      <c r="B128" s="31" t="s">
        <v>626</v>
      </c>
      <c r="C128" s="31" t="s">
        <v>110</v>
      </c>
      <c r="D128" s="31" t="s">
        <v>39</v>
      </c>
      <c r="E128" s="31" t="s">
        <v>14</v>
      </c>
      <c r="F128" s="31" t="s">
        <v>1508</v>
      </c>
      <c r="G128" s="31" t="s">
        <v>3173</v>
      </c>
      <c r="J128" s="31" t="s">
        <v>1509</v>
      </c>
      <c r="K128" s="31" t="s">
        <v>1333</v>
      </c>
      <c r="L128" s="31" t="s">
        <v>1510</v>
      </c>
      <c r="M128" s="31" t="s">
        <v>113</v>
      </c>
      <c r="N128" s="31" t="s">
        <v>1511</v>
      </c>
      <c r="O128" s="42">
        <v>44158</v>
      </c>
      <c r="P128" s="31" t="s">
        <v>2229</v>
      </c>
      <c r="Q128" s="32">
        <v>6</v>
      </c>
      <c r="R128" s="19">
        <f>IFERROR(Q128/VLOOKUP(P128,'Exchange rates to USD'!$L$2:$N$225,3,FALSE),"")</f>
        <v>4.5807902346174263</v>
      </c>
      <c r="U128" s="152"/>
      <c r="V128" s="152"/>
      <c r="W128" s="152"/>
    </row>
    <row r="129" spans="1:23" ht="13.25" customHeight="1" x14ac:dyDescent="0.25">
      <c r="A129" s="31" t="s">
        <v>1512</v>
      </c>
      <c r="B129" s="31" t="s">
        <v>626</v>
      </c>
      <c r="C129" s="31" t="s">
        <v>2531</v>
      </c>
      <c r="D129" s="31" t="s">
        <v>39</v>
      </c>
      <c r="E129" s="31" t="s">
        <v>14</v>
      </c>
      <c r="F129" s="31" t="s">
        <v>1513</v>
      </c>
      <c r="G129" s="31" t="s">
        <v>3173</v>
      </c>
      <c r="J129" s="31" t="s">
        <v>1514</v>
      </c>
      <c r="K129" s="31" t="s">
        <v>1333</v>
      </c>
      <c r="L129" s="31" t="s">
        <v>1515</v>
      </c>
      <c r="M129" s="31" t="s">
        <v>113</v>
      </c>
      <c r="N129" s="31" t="s">
        <v>1516</v>
      </c>
      <c r="O129" s="42">
        <v>44158</v>
      </c>
      <c r="P129" s="31" t="s">
        <v>2229</v>
      </c>
      <c r="Q129" s="32">
        <v>5.0999999999999996</v>
      </c>
      <c r="R129" s="19">
        <f>IFERROR(Q129/VLOOKUP(P129,'Exchange rates to USD'!$L$2:$N$225,3,FALSE),"")</f>
        <v>3.8936716994248122</v>
      </c>
      <c r="U129" s="152"/>
      <c r="V129" s="152"/>
      <c r="W129" s="152"/>
    </row>
    <row r="130" spans="1:23" ht="13.25" customHeight="1" x14ac:dyDescent="0.25">
      <c r="A130" s="31" t="s">
        <v>1517</v>
      </c>
      <c r="B130" s="31" t="s">
        <v>626</v>
      </c>
      <c r="C130" s="31" t="s">
        <v>2531</v>
      </c>
      <c r="D130" s="31" t="s">
        <v>13</v>
      </c>
      <c r="E130" s="31" t="s">
        <v>14</v>
      </c>
      <c r="F130" s="31" t="s">
        <v>1518</v>
      </c>
      <c r="G130" s="31" t="s">
        <v>3173</v>
      </c>
      <c r="J130" s="31" t="s">
        <v>1519</v>
      </c>
      <c r="K130" s="31" t="s">
        <v>1333</v>
      </c>
      <c r="L130" s="31" t="s">
        <v>1520</v>
      </c>
      <c r="M130" s="31" t="s">
        <v>113</v>
      </c>
      <c r="N130" s="31" t="s">
        <v>1521</v>
      </c>
      <c r="O130" s="42">
        <v>44158</v>
      </c>
      <c r="P130" s="31" t="s">
        <v>2229</v>
      </c>
      <c r="Q130" s="32">
        <v>5</v>
      </c>
      <c r="R130" s="19">
        <f>IFERROR(Q130/VLOOKUP(P130,'Exchange rates to USD'!$L$2:$N$225,3,FALSE),"")</f>
        <v>3.8173251955145222</v>
      </c>
      <c r="U130" s="152"/>
      <c r="V130" s="152"/>
      <c r="W130" s="152"/>
    </row>
    <row r="131" spans="1:23" ht="13.25" customHeight="1" x14ac:dyDescent="0.25">
      <c r="A131" s="31" t="s">
        <v>1522</v>
      </c>
      <c r="B131" s="31" t="s">
        <v>626</v>
      </c>
      <c r="C131" s="31" t="s">
        <v>2531</v>
      </c>
      <c r="D131" s="31" t="s">
        <v>39</v>
      </c>
      <c r="E131" s="31" t="s">
        <v>14</v>
      </c>
      <c r="F131" s="31" t="s">
        <v>1523</v>
      </c>
      <c r="G131" s="31" t="s">
        <v>3173</v>
      </c>
      <c r="J131" s="31" t="s">
        <v>1524</v>
      </c>
      <c r="K131" s="31" t="s">
        <v>1333</v>
      </c>
      <c r="L131" s="31" t="s">
        <v>1525</v>
      </c>
      <c r="M131" s="31" t="s">
        <v>871</v>
      </c>
      <c r="N131" s="31" t="s">
        <v>1526</v>
      </c>
      <c r="O131" s="42">
        <v>44158</v>
      </c>
      <c r="P131" s="31" t="s">
        <v>2229</v>
      </c>
      <c r="Q131" s="32">
        <v>4.5</v>
      </c>
      <c r="R131" s="19">
        <f>IFERROR(Q131/VLOOKUP(P131,'Exchange rates to USD'!$L$2:$N$225,3,FALSE),"")</f>
        <v>3.4355926759630697</v>
      </c>
      <c r="U131" s="152"/>
      <c r="V131" s="152"/>
      <c r="W131" s="152"/>
    </row>
    <row r="132" spans="1:23" ht="13.25" customHeight="1" x14ac:dyDescent="0.25">
      <c r="A132" s="31" t="s">
        <v>1527</v>
      </c>
      <c r="B132" s="31" t="s">
        <v>626</v>
      </c>
      <c r="C132" s="31" t="s">
        <v>2531</v>
      </c>
      <c r="D132" s="31" t="s">
        <v>13</v>
      </c>
      <c r="E132" s="31" t="s">
        <v>14</v>
      </c>
      <c r="F132" s="31" t="s">
        <v>1528</v>
      </c>
      <c r="G132" s="31" t="s">
        <v>3173</v>
      </c>
      <c r="J132" s="31" t="s">
        <v>1529</v>
      </c>
      <c r="K132" s="31" t="s">
        <v>1333</v>
      </c>
      <c r="L132" s="31" t="s">
        <v>1530</v>
      </c>
      <c r="M132" s="31" t="s">
        <v>871</v>
      </c>
      <c r="N132" s="31" t="s">
        <v>1531</v>
      </c>
      <c r="O132" s="42">
        <v>44158</v>
      </c>
      <c r="P132" s="31" t="s">
        <v>2229</v>
      </c>
      <c r="Q132" s="32">
        <v>4</v>
      </c>
      <c r="R132" s="19">
        <f>IFERROR(Q132/VLOOKUP(P132,'Exchange rates to USD'!$L$2:$N$225,3,FALSE),"")</f>
        <v>3.0538601564116177</v>
      </c>
      <c r="U132" s="152"/>
      <c r="V132" s="152"/>
      <c r="W132" s="152"/>
    </row>
    <row r="133" spans="1:23" ht="13.25" customHeight="1" x14ac:dyDescent="0.25">
      <c r="A133" s="31" t="s">
        <v>1532</v>
      </c>
      <c r="B133" s="31" t="s">
        <v>626</v>
      </c>
      <c r="C133" s="31" t="s">
        <v>110</v>
      </c>
      <c r="D133" s="31" t="s">
        <v>39</v>
      </c>
      <c r="E133" s="31" t="s">
        <v>14</v>
      </c>
      <c r="F133" s="31" t="s">
        <v>1533</v>
      </c>
      <c r="G133" s="31" t="s">
        <v>3173</v>
      </c>
      <c r="J133" s="31" t="s">
        <v>1534</v>
      </c>
      <c r="K133" s="31" t="s">
        <v>1333</v>
      </c>
      <c r="L133" s="31" t="s">
        <v>1535</v>
      </c>
      <c r="M133" s="31" t="s">
        <v>871</v>
      </c>
      <c r="N133" s="31" t="s">
        <v>1536</v>
      </c>
      <c r="O133" s="42">
        <v>44158</v>
      </c>
      <c r="P133" s="31" t="s">
        <v>2229</v>
      </c>
      <c r="Q133" s="32">
        <v>3</v>
      </c>
      <c r="R133" s="19">
        <f>IFERROR(Q133/VLOOKUP(P133,'Exchange rates to USD'!$L$2:$N$225,3,FALSE),"")</f>
        <v>2.2903951173087131</v>
      </c>
      <c r="U133" s="152"/>
      <c r="V133" s="152"/>
      <c r="W133" s="152"/>
    </row>
    <row r="134" spans="1:23" ht="13.25" customHeight="1" x14ac:dyDescent="0.25">
      <c r="A134" s="31" t="s">
        <v>1537</v>
      </c>
      <c r="B134" s="31" t="s">
        <v>626</v>
      </c>
      <c r="C134" s="31" t="s">
        <v>2531</v>
      </c>
      <c r="D134" s="31" t="s">
        <v>39</v>
      </c>
      <c r="E134" s="31" t="s">
        <v>14</v>
      </c>
      <c r="F134" s="31" t="s">
        <v>1538</v>
      </c>
      <c r="G134" s="31" t="s">
        <v>3173</v>
      </c>
      <c r="J134" s="31" t="s">
        <v>1539</v>
      </c>
      <c r="K134" s="31" t="s">
        <v>1333</v>
      </c>
      <c r="L134" s="31" t="s">
        <v>1540</v>
      </c>
      <c r="M134" s="31" t="s">
        <v>871</v>
      </c>
      <c r="N134" s="31" t="s">
        <v>1541</v>
      </c>
      <c r="O134" s="42">
        <v>44158</v>
      </c>
      <c r="P134" s="31" t="s">
        <v>2229</v>
      </c>
      <c r="Q134" s="32">
        <v>2</v>
      </c>
      <c r="R134" s="19">
        <f>IFERROR(Q134/VLOOKUP(P134,'Exchange rates to USD'!$L$2:$N$225,3,FALSE),"")</f>
        <v>1.5269300782058088</v>
      </c>
      <c r="U134" s="152"/>
      <c r="V134" s="152"/>
      <c r="W134" s="152"/>
    </row>
    <row r="135" spans="1:23" ht="13.25" customHeight="1" x14ac:dyDescent="0.25">
      <c r="A135" s="31" t="s">
        <v>1542</v>
      </c>
      <c r="B135" s="31" t="s">
        <v>626</v>
      </c>
      <c r="C135" s="31" t="s">
        <v>110</v>
      </c>
      <c r="D135" s="31" t="s">
        <v>13</v>
      </c>
      <c r="E135" s="31" t="s">
        <v>14</v>
      </c>
      <c r="F135" s="31" t="s">
        <v>1543</v>
      </c>
      <c r="G135" s="31" t="s">
        <v>3173</v>
      </c>
      <c r="J135" s="31" t="s">
        <v>1544</v>
      </c>
      <c r="K135" s="31" t="s">
        <v>1333</v>
      </c>
      <c r="L135" s="31" t="s">
        <v>1545</v>
      </c>
      <c r="M135" s="31" t="s">
        <v>113</v>
      </c>
      <c r="N135" s="31" t="s">
        <v>1546</v>
      </c>
      <c r="O135" s="42">
        <v>44158</v>
      </c>
      <c r="P135" s="31" t="s">
        <v>2229</v>
      </c>
      <c r="Q135" s="32">
        <v>1.7170000000000001</v>
      </c>
      <c r="R135" s="19">
        <f>IFERROR(Q135/VLOOKUP(P135,'Exchange rates to USD'!$L$2:$N$225,3,FALSE),"")</f>
        <v>1.310869472139687</v>
      </c>
      <c r="U135" s="152"/>
      <c r="V135" s="152"/>
      <c r="W135" s="152"/>
    </row>
    <row r="136" spans="1:23" ht="13.25" customHeight="1" x14ac:dyDescent="0.25">
      <c r="A136" s="31" t="s">
        <v>1547</v>
      </c>
      <c r="B136" s="31" t="s">
        <v>626</v>
      </c>
      <c r="C136" s="31" t="s">
        <v>110</v>
      </c>
      <c r="D136" s="31" t="s">
        <v>13</v>
      </c>
      <c r="E136" s="31" t="s">
        <v>36</v>
      </c>
      <c r="F136" s="31" t="s">
        <v>1548</v>
      </c>
      <c r="G136" s="31" t="s">
        <v>25</v>
      </c>
      <c r="J136" s="31" t="s">
        <v>1549</v>
      </c>
      <c r="K136" s="31" t="s">
        <v>1333</v>
      </c>
      <c r="L136" s="31" t="s">
        <v>1550</v>
      </c>
      <c r="M136" s="31" t="s">
        <v>113</v>
      </c>
      <c r="N136" s="31" t="s">
        <v>1551</v>
      </c>
      <c r="O136" s="42">
        <v>44158</v>
      </c>
      <c r="P136" s="31" t="s">
        <v>2229</v>
      </c>
      <c r="Q136" s="32">
        <v>0.56999999999999995</v>
      </c>
      <c r="R136" s="19">
        <f>IFERROR(Q136/VLOOKUP(P136,'Exchange rates to USD'!$L$2:$N$225,3,FALSE),"")</f>
        <v>0.43517507228865548</v>
      </c>
      <c r="U136" s="152"/>
      <c r="V136" s="152"/>
      <c r="W136" s="152"/>
    </row>
    <row r="137" spans="1:23" ht="13.25" customHeight="1" x14ac:dyDescent="0.25">
      <c r="A137" s="31" t="s">
        <v>1552</v>
      </c>
      <c r="B137" s="31" t="s">
        <v>626</v>
      </c>
      <c r="C137" s="31" t="s">
        <v>110</v>
      </c>
      <c r="D137" s="31" t="s">
        <v>13</v>
      </c>
      <c r="E137" s="31" t="s">
        <v>14</v>
      </c>
      <c r="F137" s="31" t="s">
        <v>1553</v>
      </c>
      <c r="G137" s="31" t="s">
        <v>3173</v>
      </c>
      <c r="J137" s="31" t="s">
        <v>1554</v>
      </c>
      <c r="K137" s="31" t="s">
        <v>1333</v>
      </c>
      <c r="L137" s="31" t="s">
        <v>1555</v>
      </c>
      <c r="M137" s="31" t="s">
        <v>871</v>
      </c>
      <c r="N137" s="31" t="s">
        <v>1556</v>
      </c>
      <c r="O137" s="42">
        <v>44158</v>
      </c>
      <c r="P137" s="31" t="s">
        <v>2229</v>
      </c>
      <c r="Q137" s="32">
        <v>1</v>
      </c>
      <c r="R137" s="19">
        <f>IFERROR(Q137/VLOOKUP(P137,'Exchange rates to USD'!$L$2:$N$225,3,FALSE),"")</f>
        <v>0.76346503910290442</v>
      </c>
      <c r="U137" s="152"/>
      <c r="V137" s="152"/>
      <c r="W137" s="152"/>
    </row>
    <row r="138" spans="1:23" ht="13.25" customHeight="1" x14ac:dyDescent="0.25">
      <c r="A138" s="31" t="s">
        <v>1557</v>
      </c>
      <c r="B138" s="31" t="s">
        <v>626</v>
      </c>
      <c r="C138" s="31" t="s">
        <v>30</v>
      </c>
      <c r="D138" s="31" t="s">
        <v>39</v>
      </c>
      <c r="E138" s="31" t="s">
        <v>14</v>
      </c>
      <c r="G138" s="31" t="s">
        <v>3173</v>
      </c>
      <c r="J138" s="31" t="s">
        <v>1558</v>
      </c>
      <c r="K138" s="31" t="s">
        <v>1333</v>
      </c>
      <c r="L138" s="31" t="s">
        <v>1559</v>
      </c>
      <c r="M138" s="31" t="s">
        <v>871</v>
      </c>
      <c r="N138" s="31" t="s">
        <v>1560</v>
      </c>
      <c r="O138" s="42">
        <v>44159</v>
      </c>
      <c r="P138" s="31" t="s">
        <v>2229</v>
      </c>
      <c r="Q138" s="32">
        <v>1</v>
      </c>
      <c r="R138" s="19">
        <f>IFERROR(Q138/VLOOKUP(P138,'Exchange rates to USD'!$L$2:$N$225,3,FALSE),"")</f>
        <v>0.76346503910290442</v>
      </c>
      <c r="U138" s="152"/>
      <c r="V138" s="152"/>
      <c r="W138" s="152"/>
    </row>
    <row r="139" spans="1:23" ht="13.25" customHeight="1" x14ac:dyDescent="0.25">
      <c r="A139" s="31" t="s">
        <v>1561</v>
      </c>
      <c r="B139" s="31" t="s">
        <v>626</v>
      </c>
      <c r="C139" s="31" t="s">
        <v>2531</v>
      </c>
      <c r="D139" s="31" t="s">
        <v>39</v>
      </c>
      <c r="E139" s="31" t="s">
        <v>14</v>
      </c>
      <c r="F139" s="31" t="s">
        <v>1562</v>
      </c>
      <c r="G139" s="31" t="s">
        <v>3173</v>
      </c>
      <c r="J139" s="31" t="s">
        <v>1563</v>
      </c>
      <c r="K139" s="31" t="s">
        <v>1333</v>
      </c>
      <c r="L139" s="31" t="s">
        <v>1564</v>
      </c>
      <c r="M139" s="31" t="s">
        <v>871</v>
      </c>
      <c r="N139" s="31" t="s">
        <v>1565</v>
      </c>
      <c r="O139" s="42">
        <v>44159</v>
      </c>
      <c r="P139" s="31" t="s">
        <v>2229</v>
      </c>
      <c r="Q139" s="32">
        <v>5.4</v>
      </c>
      <c r="R139" s="19">
        <f>IFERROR(Q139/VLOOKUP(P139,'Exchange rates to USD'!$L$2:$N$225,3,FALSE),"")</f>
        <v>4.1227112111556838</v>
      </c>
      <c r="U139" s="152"/>
      <c r="V139" s="152"/>
      <c r="W139" s="152"/>
    </row>
    <row r="140" spans="1:23" ht="13.25" customHeight="1" x14ac:dyDescent="0.25">
      <c r="A140" s="31" t="s">
        <v>1566</v>
      </c>
      <c r="B140" s="31" t="s">
        <v>626</v>
      </c>
      <c r="C140" s="31" t="s">
        <v>30</v>
      </c>
      <c r="D140" s="31" t="s">
        <v>13</v>
      </c>
      <c r="E140" s="31" t="s">
        <v>3200</v>
      </c>
      <c r="G140" s="31" t="s">
        <v>3173</v>
      </c>
      <c r="J140" s="31" t="s">
        <v>1567</v>
      </c>
      <c r="K140" s="31" t="s">
        <v>1333</v>
      </c>
      <c r="L140" s="31" t="s">
        <v>1568</v>
      </c>
      <c r="M140" s="31" t="s">
        <v>101</v>
      </c>
      <c r="N140" s="31" t="s">
        <v>1569</v>
      </c>
      <c r="O140" s="42">
        <v>44159</v>
      </c>
      <c r="P140" s="31" t="s">
        <v>2229</v>
      </c>
      <c r="R140" s="19">
        <f>IFERROR(Q140/VLOOKUP(P140,'Exchange rates to USD'!$L$2:$N$225,3,FALSE),"")</f>
        <v>0</v>
      </c>
      <c r="U140" s="152"/>
      <c r="V140" s="152"/>
      <c r="W140" s="152"/>
    </row>
    <row r="141" spans="1:23" ht="13.25" customHeight="1" x14ac:dyDescent="0.25">
      <c r="A141" s="34" t="s">
        <v>1570</v>
      </c>
      <c r="B141" s="34" t="s">
        <v>626</v>
      </c>
      <c r="C141" s="34" t="s">
        <v>30</v>
      </c>
      <c r="D141" s="34" t="s">
        <v>13</v>
      </c>
      <c r="E141" s="34" t="s">
        <v>98</v>
      </c>
      <c r="F141" s="34"/>
      <c r="G141" s="34" t="s">
        <v>25</v>
      </c>
      <c r="H141" s="34" t="s">
        <v>3173</v>
      </c>
      <c r="I141" s="34"/>
      <c r="J141" s="34" t="s">
        <v>1571</v>
      </c>
      <c r="K141" s="34" t="s">
        <v>1333</v>
      </c>
      <c r="L141" s="34" t="s">
        <v>1572</v>
      </c>
      <c r="M141" s="34" t="s">
        <v>101</v>
      </c>
      <c r="N141" s="34" t="s">
        <v>1573</v>
      </c>
      <c r="O141" s="43">
        <v>44159</v>
      </c>
      <c r="P141" s="34" t="s">
        <v>2229</v>
      </c>
      <c r="Q141" s="49"/>
      <c r="R141" s="22">
        <f>IFERROR(Q141/VLOOKUP(P141,'Exchange rates to USD'!$L$2:$N$225,3,FALSE),"")</f>
        <v>0</v>
      </c>
      <c r="U141" s="152"/>
      <c r="V141" s="152"/>
      <c r="W141" s="152"/>
    </row>
    <row r="142" spans="1:23" ht="13.25" customHeight="1" x14ac:dyDescent="0.25">
      <c r="A142" s="31" t="s">
        <v>586</v>
      </c>
      <c r="B142" s="31" t="s">
        <v>627</v>
      </c>
      <c r="C142" s="31" t="s">
        <v>22</v>
      </c>
      <c r="D142" s="31" t="s">
        <v>23</v>
      </c>
      <c r="E142" s="31" t="s">
        <v>3200</v>
      </c>
      <c r="F142" s="31" t="s">
        <v>1574</v>
      </c>
      <c r="G142" s="31" t="s">
        <v>3173</v>
      </c>
      <c r="H142" s="31" t="s">
        <v>670</v>
      </c>
      <c r="I142" s="31" t="s">
        <v>809</v>
      </c>
      <c r="J142" s="31" t="s">
        <v>1575</v>
      </c>
      <c r="K142" s="31" t="s">
        <v>875</v>
      </c>
      <c r="M142" s="31" t="s">
        <v>113</v>
      </c>
      <c r="N142" s="31" t="s">
        <v>1576</v>
      </c>
      <c r="O142" s="42">
        <v>44143</v>
      </c>
      <c r="P142" s="31" t="s">
        <v>1270</v>
      </c>
      <c r="Q142" s="32">
        <v>4500</v>
      </c>
      <c r="R142" s="19">
        <f>IFERROR(Q142/VLOOKUP(P142,'Exchange rates to USD'!$L$2:$N$225,3,FALSE),"")</f>
        <v>4500</v>
      </c>
      <c r="U142" s="152"/>
      <c r="V142" s="152"/>
      <c r="W142" s="152"/>
    </row>
    <row r="143" spans="1:23" ht="13.25" customHeight="1" x14ac:dyDescent="0.25">
      <c r="A143" s="31" t="s">
        <v>588</v>
      </c>
      <c r="B143" s="31" t="s">
        <v>627</v>
      </c>
      <c r="C143" s="31" t="s">
        <v>2531</v>
      </c>
      <c r="E143" s="31" t="s">
        <v>3200</v>
      </c>
      <c r="F143" s="31" t="s">
        <v>2655</v>
      </c>
      <c r="G143" s="31" t="s">
        <v>44</v>
      </c>
      <c r="J143" s="31" t="s">
        <v>2414</v>
      </c>
      <c r="K143" s="31" t="s">
        <v>587</v>
      </c>
      <c r="M143" s="31" t="s">
        <v>113</v>
      </c>
      <c r="O143" s="42">
        <v>44140</v>
      </c>
      <c r="P143" s="31" t="s">
        <v>1270</v>
      </c>
      <c r="Q143" s="32">
        <v>75</v>
      </c>
      <c r="R143" s="147">
        <f>IFERROR(Q143/VLOOKUP(P143,'Exchange rates to USD'!$L$2:$N$225,3,FALSE),"")</f>
        <v>75</v>
      </c>
      <c r="U143" s="152"/>
      <c r="V143" s="152"/>
      <c r="W143" s="152"/>
    </row>
    <row r="144" spans="1:23" ht="13.25" customHeight="1" x14ac:dyDescent="0.25">
      <c r="A144" s="31" t="s">
        <v>590</v>
      </c>
      <c r="B144" s="31" t="s">
        <v>627</v>
      </c>
      <c r="C144" s="31" t="s">
        <v>30</v>
      </c>
      <c r="D144" s="31" t="s">
        <v>13</v>
      </c>
      <c r="E144" s="31" t="s">
        <v>14</v>
      </c>
      <c r="G144" s="31" t="s">
        <v>3173</v>
      </c>
      <c r="H144" s="31" t="s">
        <v>25</v>
      </c>
      <c r="J144" s="31" t="s">
        <v>589</v>
      </c>
      <c r="M144" s="31" t="s">
        <v>737</v>
      </c>
      <c r="O144" s="42">
        <v>44140</v>
      </c>
      <c r="R144" s="19" t="str">
        <f>IFERROR(Q144/VLOOKUP(P144,'Exchange rates to USD'!$L$2:$N$225,3,FALSE),"")</f>
        <v/>
      </c>
      <c r="U144" s="152"/>
      <c r="V144" s="152"/>
      <c r="W144" s="152"/>
    </row>
    <row r="145" spans="1:23" ht="13.25" customHeight="1" x14ac:dyDescent="0.25">
      <c r="A145" s="38" t="s">
        <v>874</v>
      </c>
      <c r="B145" s="38" t="s">
        <v>627</v>
      </c>
      <c r="C145" s="38" t="s">
        <v>30</v>
      </c>
      <c r="D145" s="38" t="s">
        <v>13</v>
      </c>
      <c r="E145" s="38" t="s">
        <v>36</v>
      </c>
      <c r="F145" s="38"/>
      <c r="G145" s="38" t="s">
        <v>25</v>
      </c>
      <c r="H145" s="38" t="s">
        <v>3173</v>
      </c>
      <c r="I145" s="38"/>
      <c r="J145" s="38" t="s">
        <v>591</v>
      </c>
      <c r="K145" s="38" t="s">
        <v>592</v>
      </c>
      <c r="L145" s="38"/>
      <c r="M145" s="38" t="s">
        <v>101</v>
      </c>
      <c r="N145" s="38"/>
      <c r="O145" s="45">
        <v>44140</v>
      </c>
      <c r="P145" s="38"/>
      <c r="Q145" s="60"/>
      <c r="R145" s="19" t="str">
        <f>IFERROR(Q145/VLOOKUP(P145,'Exchange rates to USD'!$L$2:$N$225,3,FALSE),"")</f>
        <v/>
      </c>
      <c r="U145" s="152"/>
      <c r="V145" s="152"/>
      <c r="W145" s="152"/>
    </row>
    <row r="146" spans="1:23" ht="13.25" customHeight="1" x14ac:dyDescent="0.25">
      <c r="A146" s="38" t="s">
        <v>2639</v>
      </c>
      <c r="B146" s="38" t="s">
        <v>627</v>
      </c>
      <c r="C146" s="38" t="s">
        <v>22</v>
      </c>
      <c r="D146" s="38" t="s">
        <v>13</v>
      </c>
      <c r="E146" s="38" t="s">
        <v>36</v>
      </c>
      <c r="F146" s="92" t="s">
        <v>2653</v>
      </c>
      <c r="G146" s="38" t="s">
        <v>3173</v>
      </c>
      <c r="H146" s="38" t="s">
        <v>25</v>
      </c>
      <c r="I146" s="38"/>
      <c r="J146" s="95" t="s">
        <v>2656</v>
      </c>
      <c r="K146" s="38"/>
      <c r="L146" s="38"/>
      <c r="M146" s="38" t="s">
        <v>113</v>
      </c>
      <c r="N146" s="38"/>
      <c r="O146" s="45">
        <v>44203</v>
      </c>
      <c r="P146" s="38" t="s">
        <v>2386</v>
      </c>
      <c r="Q146" s="60">
        <v>5000</v>
      </c>
      <c r="R146" s="19">
        <f>IFERROR(Q146/VLOOKUP(P146,'Exchange rates to USD'!$L$2:$N$225,3,FALSE),"")</f>
        <v>8.0313701868519054</v>
      </c>
      <c r="U146" s="152"/>
      <c r="V146" s="152"/>
      <c r="W146" s="152"/>
    </row>
    <row r="147" spans="1:23" ht="13.25" customHeight="1" x14ac:dyDescent="0.25">
      <c r="A147" s="38" t="s">
        <v>2640</v>
      </c>
      <c r="B147" s="38" t="s">
        <v>627</v>
      </c>
      <c r="C147" s="38" t="s">
        <v>22</v>
      </c>
      <c r="D147" s="38" t="s">
        <v>13</v>
      </c>
      <c r="E147" s="38" t="s">
        <v>36</v>
      </c>
      <c r="F147" s="92" t="s">
        <v>2654</v>
      </c>
      <c r="G147" s="38"/>
      <c r="H147" s="38"/>
      <c r="I147" s="38"/>
      <c r="J147" s="95" t="s">
        <v>2657</v>
      </c>
      <c r="K147" s="38"/>
      <c r="L147" s="38"/>
      <c r="M147" s="38" t="s">
        <v>737</v>
      </c>
      <c r="N147" s="38"/>
      <c r="O147" s="45">
        <v>44203</v>
      </c>
      <c r="P147" s="38" t="s">
        <v>2386</v>
      </c>
      <c r="Q147" s="60">
        <v>26000</v>
      </c>
      <c r="R147" s="19">
        <f>IFERROR(Q147/VLOOKUP(P147,'Exchange rates to USD'!$L$2:$N$225,3,FALSE),"")</f>
        <v>41.763124971629914</v>
      </c>
      <c r="U147" s="152"/>
      <c r="V147" s="152"/>
      <c r="W147" s="152"/>
    </row>
    <row r="148" spans="1:23" ht="13.25" customHeight="1" x14ac:dyDescent="0.25">
      <c r="A148" s="38" t="s">
        <v>2641</v>
      </c>
      <c r="B148" s="38" t="s">
        <v>627</v>
      </c>
      <c r="C148" s="38" t="s">
        <v>2530</v>
      </c>
      <c r="D148" s="38" t="s">
        <v>23</v>
      </c>
      <c r="E148" s="38" t="s">
        <v>88</v>
      </c>
      <c r="F148" s="93" t="s">
        <v>2647</v>
      </c>
      <c r="G148" s="38" t="s">
        <v>670</v>
      </c>
      <c r="H148" s="38" t="s">
        <v>809</v>
      </c>
      <c r="I148" s="38" t="s">
        <v>3173</v>
      </c>
      <c r="J148" s="80" t="s">
        <v>2658</v>
      </c>
      <c r="K148" s="96" t="s">
        <v>875</v>
      </c>
      <c r="L148" s="38"/>
      <c r="M148" s="31" t="s">
        <v>113</v>
      </c>
      <c r="N148" s="99" t="s">
        <v>2664</v>
      </c>
      <c r="O148" s="45">
        <v>44203</v>
      </c>
      <c r="P148" s="38" t="s">
        <v>1270</v>
      </c>
      <c r="Q148" s="60">
        <v>455</v>
      </c>
      <c r="R148" s="19">
        <f>IFERROR(Q148/VLOOKUP(P148,'Exchange rates to USD'!$L$2:$N$225,3,FALSE),"")</f>
        <v>455</v>
      </c>
      <c r="U148" s="152"/>
      <c r="V148" s="152"/>
      <c r="W148" s="152"/>
    </row>
    <row r="149" spans="1:23" ht="13.25" customHeight="1" x14ac:dyDescent="0.25">
      <c r="A149" s="38" t="s">
        <v>2642</v>
      </c>
      <c r="B149" s="38" t="s">
        <v>627</v>
      </c>
      <c r="C149" s="38" t="s">
        <v>2530</v>
      </c>
      <c r="D149" s="38" t="s">
        <v>23</v>
      </c>
      <c r="E149" s="38" t="s">
        <v>3200</v>
      </c>
      <c r="F149" s="94" t="s">
        <v>2648</v>
      </c>
      <c r="G149" s="38" t="s">
        <v>670</v>
      </c>
      <c r="H149" s="38" t="s">
        <v>809</v>
      </c>
      <c r="I149" s="38" t="s">
        <v>3173</v>
      </c>
      <c r="J149" s="80" t="s">
        <v>2659</v>
      </c>
      <c r="K149" s="97" t="s">
        <v>875</v>
      </c>
      <c r="L149" s="38"/>
      <c r="M149" s="31" t="s">
        <v>737</v>
      </c>
      <c r="N149" s="99" t="s">
        <v>2665</v>
      </c>
      <c r="O149" s="45">
        <v>44203</v>
      </c>
      <c r="P149" s="38" t="s">
        <v>1270</v>
      </c>
      <c r="Q149" s="60">
        <v>481</v>
      </c>
      <c r="R149" s="19">
        <f>IFERROR(Q149/VLOOKUP(P149,'Exchange rates to USD'!$L$2:$N$225,3,FALSE),"")</f>
        <v>481</v>
      </c>
      <c r="U149" s="152"/>
      <c r="V149" s="152"/>
      <c r="W149" s="152"/>
    </row>
    <row r="150" spans="1:23" ht="13.25" customHeight="1" x14ac:dyDescent="0.25">
      <c r="A150" s="38" t="s">
        <v>2643</v>
      </c>
      <c r="B150" s="38" t="s">
        <v>627</v>
      </c>
      <c r="C150" s="38" t="s">
        <v>2530</v>
      </c>
      <c r="D150" s="38" t="s">
        <v>23</v>
      </c>
      <c r="E150" s="38" t="s">
        <v>36</v>
      </c>
      <c r="F150" s="80" t="s">
        <v>2649</v>
      </c>
      <c r="G150" s="38" t="s">
        <v>809</v>
      </c>
      <c r="H150" s="38" t="s">
        <v>3173</v>
      </c>
      <c r="I150" s="38" t="s">
        <v>670</v>
      </c>
      <c r="J150" s="80" t="s">
        <v>2660</v>
      </c>
      <c r="K150" s="97" t="s">
        <v>875</v>
      </c>
      <c r="L150" s="38"/>
      <c r="M150" s="31" t="s">
        <v>871</v>
      </c>
      <c r="N150" s="99" t="s">
        <v>2666</v>
      </c>
      <c r="O150" s="45">
        <v>44203</v>
      </c>
      <c r="P150" s="38" t="s">
        <v>1270</v>
      </c>
      <c r="Q150" s="60">
        <v>376</v>
      </c>
      <c r="R150" s="19">
        <f>IFERROR(Q150/VLOOKUP(P150,'Exchange rates to USD'!$L$2:$N$225,3,FALSE),"")</f>
        <v>376</v>
      </c>
      <c r="U150" s="152"/>
      <c r="V150" s="152"/>
      <c r="W150" s="152"/>
    </row>
    <row r="151" spans="1:23" ht="13.25" customHeight="1" x14ac:dyDescent="0.25">
      <c r="A151" s="38" t="s">
        <v>2644</v>
      </c>
      <c r="B151" s="38" t="s">
        <v>627</v>
      </c>
      <c r="C151" s="38" t="s">
        <v>2530</v>
      </c>
      <c r="D151" s="38" t="s">
        <v>23</v>
      </c>
      <c r="E151" s="38" t="s">
        <v>3200</v>
      </c>
      <c r="F151" s="80" t="s">
        <v>2650</v>
      </c>
      <c r="G151" s="38" t="s">
        <v>809</v>
      </c>
      <c r="H151" s="38" t="s">
        <v>3173</v>
      </c>
      <c r="I151" s="38" t="s">
        <v>670</v>
      </c>
      <c r="J151" s="80" t="s">
        <v>2661</v>
      </c>
      <c r="K151" s="97" t="s">
        <v>875</v>
      </c>
      <c r="L151" s="38"/>
      <c r="M151" s="31" t="s">
        <v>113</v>
      </c>
      <c r="N151" s="99" t="s">
        <v>2667</v>
      </c>
      <c r="O151" s="45">
        <v>44203</v>
      </c>
      <c r="P151" s="38" t="s">
        <v>1270</v>
      </c>
      <c r="Q151" s="60">
        <v>235</v>
      </c>
      <c r="R151" s="19">
        <f>IFERROR(Q151/VLOOKUP(P151,'Exchange rates to USD'!$L$2:$N$225,3,FALSE),"")</f>
        <v>235</v>
      </c>
      <c r="U151" s="152"/>
      <c r="V151" s="152"/>
      <c r="W151" s="152"/>
    </row>
    <row r="152" spans="1:23" ht="13.25" customHeight="1" x14ac:dyDescent="0.25">
      <c r="A152" s="38" t="s">
        <v>2645</v>
      </c>
      <c r="B152" s="38" t="s">
        <v>627</v>
      </c>
      <c r="C152" s="38" t="s">
        <v>2530</v>
      </c>
      <c r="D152" s="38" t="s">
        <v>23</v>
      </c>
      <c r="E152" s="38" t="s">
        <v>3200</v>
      </c>
      <c r="F152" s="80" t="s">
        <v>2651</v>
      </c>
      <c r="G152" s="38" t="s">
        <v>670</v>
      </c>
      <c r="H152" s="38" t="s">
        <v>809</v>
      </c>
      <c r="I152" s="38" t="s">
        <v>3173</v>
      </c>
      <c r="J152" s="80" t="s">
        <v>2662</v>
      </c>
      <c r="K152" s="97" t="s">
        <v>875</v>
      </c>
      <c r="L152" s="38"/>
      <c r="M152" s="31" t="s">
        <v>113</v>
      </c>
      <c r="N152" s="99" t="s">
        <v>2668</v>
      </c>
      <c r="O152" s="45">
        <v>44203</v>
      </c>
      <c r="P152" s="38" t="s">
        <v>1270</v>
      </c>
      <c r="Q152" s="60">
        <v>39</v>
      </c>
      <c r="R152" s="19">
        <f>IFERROR(Q152/VLOOKUP(P152,'Exchange rates to USD'!$L$2:$N$225,3,FALSE),"")</f>
        <v>39</v>
      </c>
      <c r="U152" s="152"/>
      <c r="V152" s="152"/>
      <c r="W152" s="152"/>
    </row>
    <row r="153" spans="1:23" ht="13.25" customHeight="1" x14ac:dyDescent="0.25">
      <c r="A153" s="34" t="s">
        <v>2646</v>
      </c>
      <c r="B153" s="34" t="s">
        <v>627</v>
      </c>
      <c r="C153" s="34" t="s">
        <v>2530</v>
      </c>
      <c r="D153" s="34" t="s">
        <v>23</v>
      </c>
      <c r="E153" s="34" t="s">
        <v>161</v>
      </c>
      <c r="F153" s="88" t="s">
        <v>2652</v>
      </c>
      <c r="G153" s="34" t="s">
        <v>809</v>
      </c>
      <c r="H153" s="34" t="s">
        <v>44</v>
      </c>
      <c r="I153" s="34"/>
      <c r="J153" s="88" t="s">
        <v>2663</v>
      </c>
      <c r="K153" s="98" t="s">
        <v>875</v>
      </c>
      <c r="L153" s="34"/>
      <c r="M153" s="31" t="s">
        <v>737</v>
      </c>
      <c r="N153" s="88" t="s">
        <v>2669</v>
      </c>
      <c r="O153" s="43">
        <v>44203</v>
      </c>
      <c r="P153" s="34" t="s">
        <v>1270</v>
      </c>
      <c r="Q153" s="49">
        <v>403</v>
      </c>
      <c r="R153" s="22">
        <f>IFERROR(Q153/VLOOKUP(P153,'Exchange rates to USD'!$L$2:$N$225,3,FALSE),"")</f>
        <v>403</v>
      </c>
      <c r="U153" s="152"/>
      <c r="V153" s="152"/>
      <c r="W153" s="152"/>
    </row>
    <row r="154" spans="1:23" ht="13.25" customHeight="1" x14ac:dyDescent="0.25">
      <c r="A154" s="31" t="s">
        <v>781</v>
      </c>
      <c r="B154" s="31" t="s">
        <v>628</v>
      </c>
      <c r="C154" s="31" t="s">
        <v>2530</v>
      </c>
      <c r="D154" s="31" t="s">
        <v>23</v>
      </c>
      <c r="E154" s="31" t="s">
        <v>3200</v>
      </c>
      <c r="G154" s="31" t="s">
        <v>670</v>
      </c>
      <c r="J154" s="31" t="s">
        <v>1577</v>
      </c>
      <c r="K154" s="31" t="s">
        <v>1578</v>
      </c>
      <c r="M154" s="31" t="s">
        <v>737</v>
      </c>
      <c r="N154" s="31" t="s">
        <v>1579</v>
      </c>
      <c r="O154" s="42">
        <v>44154</v>
      </c>
      <c r="P154" s="38"/>
      <c r="Q154" s="60"/>
      <c r="R154" s="48" t="str">
        <f>IFERROR(Q154/VLOOKUP(P154,'Exchange rates to USD'!$L$2:$N$225,3,FALSE),"")</f>
        <v/>
      </c>
      <c r="U154" s="152"/>
      <c r="V154" s="152"/>
      <c r="W154" s="152"/>
    </row>
    <row r="155" spans="1:23" ht="13.25" customHeight="1" x14ac:dyDescent="0.25">
      <c r="A155" s="31" t="s">
        <v>782</v>
      </c>
      <c r="B155" s="31" t="s">
        <v>628</v>
      </c>
      <c r="C155" s="31" t="s">
        <v>2531</v>
      </c>
      <c r="E155" s="31" t="s">
        <v>3200</v>
      </c>
      <c r="J155" s="31" t="s">
        <v>783</v>
      </c>
      <c r="M155" s="31" t="s">
        <v>737</v>
      </c>
      <c r="P155" s="38"/>
      <c r="Q155" s="60"/>
      <c r="R155" s="48" t="str">
        <f>IFERROR(Q155/VLOOKUP(P155,'Exchange rates to USD'!$L$2:$N$225,3,FALSE),"")</f>
        <v/>
      </c>
      <c r="U155" s="152"/>
      <c r="V155" s="152"/>
      <c r="W155" s="152"/>
    </row>
    <row r="156" spans="1:23" ht="13.25" customHeight="1" x14ac:dyDescent="0.25">
      <c r="A156" s="31" t="s">
        <v>784</v>
      </c>
      <c r="B156" s="31" t="s">
        <v>628</v>
      </c>
      <c r="C156" s="31" t="s">
        <v>2531</v>
      </c>
      <c r="E156" s="31" t="s">
        <v>3200</v>
      </c>
      <c r="J156" s="31" t="s">
        <v>785</v>
      </c>
      <c r="M156" s="31" t="s">
        <v>737</v>
      </c>
      <c r="P156" s="38"/>
      <c r="Q156" s="60"/>
      <c r="R156" s="48" t="str">
        <f>IFERROR(Q156/VLOOKUP(P156,'Exchange rates to USD'!$L$2:$N$225,3,FALSE),"")</f>
        <v/>
      </c>
      <c r="U156" s="152"/>
      <c r="V156" s="152"/>
      <c r="W156" s="152"/>
    </row>
    <row r="157" spans="1:23" ht="13.25" customHeight="1" x14ac:dyDescent="0.25">
      <c r="A157" s="31" t="s">
        <v>786</v>
      </c>
      <c r="B157" s="31" t="s">
        <v>628</v>
      </c>
      <c r="C157" s="31" t="s">
        <v>2530</v>
      </c>
      <c r="E157" s="31" t="s">
        <v>3200</v>
      </c>
      <c r="J157" s="31" t="s">
        <v>787</v>
      </c>
      <c r="M157" s="31" t="s">
        <v>737</v>
      </c>
      <c r="P157" s="38"/>
      <c r="Q157" s="60"/>
      <c r="R157" s="48" t="str">
        <f>IFERROR(Q157/VLOOKUP(P157,'Exchange rates to USD'!$L$2:$N$225,3,FALSE),"")</f>
        <v/>
      </c>
      <c r="U157" s="152"/>
      <c r="V157" s="152"/>
      <c r="W157" s="152"/>
    </row>
    <row r="158" spans="1:23" ht="13.25" customHeight="1" x14ac:dyDescent="0.25">
      <c r="A158" s="31" t="s">
        <v>788</v>
      </c>
      <c r="B158" s="31" t="s">
        <v>628</v>
      </c>
      <c r="C158" s="31" t="s">
        <v>2531</v>
      </c>
      <c r="E158" s="31" t="s">
        <v>3200</v>
      </c>
      <c r="J158" s="31" t="s">
        <v>789</v>
      </c>
      <c r="M158" s="31" t="s">
        <v>737</v>
      </c>
      <c r="P158" s="38"/>
      <c r="Q158" s="60"/>
      <c r="R158" s="48" t="str">
        <f>IFERROR(Q158/VLOOKUP(P158,'Exchange rates to USD'!$L$2:$N$225,3,FALSE),"")</f>
        <v/>
      </c>
      <c r="U158" s="152"/>
      <c r="V158" s="152"/>
      <c r="W158" s="152"/>
    </row>
    <row r="159" spans="1:23" ht="13.25" customHeight="1" x14ac:dyDescent="0.25">
      <c r="A159" s="31" t="s">
        <v>790</v>
      </c>
      <c r="B159" s="31" t="s">
        <v>628</v>
      </c>
      <c r="C159" s="31" t="s">
        <v>2531</v>
      </c>
      <c r="E159" s="31" t="s">
        <v>3200</v>
      </c>
      <c r="G159" s="31" t="s">
        <v>3173</v>
      </c>
      <c r="H159" s="31" t="s">
        <v>41</v>
      </c>
      <c r="J159" s="31" t="s">
        <v>791</v>
      </c>
      <c r="M159" s="31" t="s">
        <v>737</v>
      </c>
      <c r="P159" s="38"/>
      <c r="Q159" s="60"/>
      <c r="R159" s="48" t="str">
        <f>IFERROR(Q159/VLOOKUP(P159,'Exchange rates to USD'!$L$2:$N$225,3,FALSE),"")</f>
        <v/>
      </c>
      <c r="U159" s="152"/>
      <c r="V159" s="152"/>
      <c r="W159" s="152"/>
    </row>
    <row r="160" spans="1:23" ht="13.25" customHeight="1" x14ac:dyDescent="0.25">
      <c r="A160" s="31" t="s">
        <v>792</v>
      </c>
      <c r="B160" s="31" t="s">
        <v>628</v>
      </c>
      <c r="C160" s="31" t="s">
        <v>22</v>
      </c>
      <c r="E160" s="31" t="s">
        <v>3200</v>
      </c>
      <c r="F160" s="31" t="s">
        <v>793</v>
      </c>
      <c r="G160" s="31" t="s">
        <v>3173</v>
      </c>
      <c r="H160" s="31" t="s">
        <v>41</v>
      </c>
      <c r="J160" s="31" t="s">
        <v>794</v>
      </c>
      <c r="M160" s="31" t="s">
        <v>101</v>
      </c>
      <c r="P160" s="38" t="s">
        <v>2233</v>
      </c>
      <c r="Q160" s="60">
        <v>60000</v>
      </c>
      <c r="R160" s="48">
        <f>IFERROR(Q160/VLOOKUP(P160,'Exchange rates to USD'!$L$2:$N$225,3,FALSE),"")</f>
        <v>20.830841715693083</v>
      </c>
      <c r="U160" s="152"/>
      <c r="V160" s="152"/>
      <c r="W160" s="152"/>
    </row>
    <row r="161" spans="1:23" ht="13.25" customHeight="1" x14ac:dyDescent="0.25">
      <c r="A161" s="31" t="s">
        <v>795</v>
      </c>
      <c r="B161" s="31" t="s">
        <v>628</v>
      </c>
      <c r="C161" s="31" t="s">
        <v>2530</v>
      </c>
      <c r="D161" s="31" t="s">
        <v>23</v>
      </c>
      <c r="E161" s="31" t="s">
        <v>36</v>
      </c>
      <c r="G161" s="31" t="s">
        <v>3173</v>
      </c>
      <c r="J161" s="31" t="s">
        <v>796</v>
      </c>
      <c r="M161" s="31" t="s">
        <v>101</v>
      </c>
      <c r="P161" s="38"/>
      <c r="Q161" s="60"/>
      <c r="R161" s="48" t="str">
        <f>IFERROR(Q161/VLOOKUP(P161,'Exchange rates to USD'!$L$2:$N$225,3,FALSE),"")</f>
        <v/>
      </c>
      <c r="U161" s="152"/>
      <c r="V161" s="152"/>
      <c r="W161" s="152"/>
    </row>
    <row r="162" spans="1:23" ht="13.25" customHeight="1" x14ac:dyDescent="0.25">
      <c r="A162" s="31" t="s">
        <v>797</v>
      </c>
      <c r="B162" s="31" t="s">
        <v>628</v>
      </c>
      <c r="C162" s="31" t="s">
        <v>2531</v>
      </c>
      <c r="E162" s="31" t="s">
        <v>3200</v>
      </c>
      <c r="F162" s="31" t="s">
        <v>798</v>
      </c>
      <c r="J162" s="31" t="s">
        <v>799</v>
      </c>
      <c r="M162" s="31" t="s">
        <v>737</v>
      </c>
      <c r="P162" s="38" t="s">
        <v>2233</v>
      </c>
      <c r="Q162" s="60">
        <v>70000</v>
      </c>
      <c r="R162" s="48">
        <f>IFERROR(Q162/VLOOKUP(P162,'Exchange rates to USD'!$L$2:$N$225,3,FALSE),"")</f>
        <v>24.302648668308599</v>
      </c>
      <c r="U162" s="152"/>
      <c r="V162" s="152"/>
      <c r="W162" s="152"/>
    </row>
    <row r="163" spans="1:23" ht="13.25" customHeight="1" x14ac:dyDescent="0.25">
      <c r="A163" s="31" t="s">
        <v>800</v>
      </c>
      <c r="B163" s="31" t="s">
        <v>628</v>
      </c>
      <c r="C163" s="31" t="s">
        <v>22</v>
      </c>
      <c r="E163" s="31" t="s">
        <v>3200</v>
      </c>
      <c r="J163" s="31" t="s">
        <v>1580</v>
      </c>
      <c r="M163" s="31" t="s">
        <v>737</v>
      </c>
      <c r="P163" s="38"/>
      <c r="Q163" s="60"/>
      <c r="R163" s="48" t="str">
        <f>IFERROR(Q163/VLOOKUP(P163,'Exchange rates to USD'!$L$2:$N$225,3,FALSE),"")</f>
        <v/>
      </c>
      <c r="U163" s="152"/>
      <c r="V163" s="152"/>
      <c r="W163" s="152"/>
    </row>
    <row r="164" spans="1:23" ht="13.25" customHeight="1" x14ac:dyDescent="0.25">
      <c r="A164" s="31" t="s">
        <v>801</v>
      </c>
      <c r="B164" s="31" t="s">
        <v>628</v>
      </c>
      <c r="C164" s="31" t="s">
        <v>2530</v>
      </c>
      <c r="D164" s="31" t="s">
        <v>23</v>
      </c>
      <c r="E164" s="31" t="s">
        <v>3200</v>
      </c>
      <c r="J164" s="31" t="s">
        <v>802</v>
      </c>
      <c r="M164" s="31" t="s">
        <v>737</v>
      </c>
      <c r="P164" s="38"/>
      <c r="Q164" s="60"/>
      <c r="R164" s="48" t="str">
        <f>IFERROR(Q164/VLOOKUP(P164,'Exchange rates to USD'!$L$2:$N$225,3,FALSE),"")</f>
        <v/>
      </c>
      <c r="U164" s="152"/>
      <c r="V164" s="152"/>
      <c r="W164" s="152"/>
    </row>
    <row r="165" spans="1:23" ht="13.25" customHeight="1" x14ac:dyDescent="0.25">
      <c r="A165" s="31" t="s">
        <v>803</v>
      </c>
      <c r="B165" s="31" t="s">
        <v>628</v>
      </c>
      <c r="C165" s="31" t="s">
        <v>2530</v>
      </c>
      <c r="D165" s="31" t="s">
        <v>23</v>
      </c>
      <c r="E165" s="31" t="s">
        <v>3200</v>
      </c>
      <c r="J165" s="31" t="s">
        <v>804</v>
      </c>
      <c r="M165" s="31" t="s">
        <v>737</v>
      </c>
      <c r="P165" s="38"/>
      <c r="Q165" s="60"/>
      <c r="R165" s="48" t="str">
        <f>IFERROR(Q165/VLOOKUP(P165,'Exchange rates to USD'!$L$2:$N$225,3,FALSE),"")</f>
        <v/>
      </c>
      <c r="U165" s="152"/>
      <c r="V165" s="152"/>
      <c r="W165" s="152"/>
    </row>
    <row r="166" spans="1:23" ht="13.25" customHeight="1" x14ac:dyDescent="0.25">
      <c r="A166" s="31" t="s">
        <v>805</v>
      </c>
      <c r="B166" s="31" t="s">
        <v>628</v>
      </c>
      <c r="C166" s="31" t="s">
        <v>2530</v>
      </c>
      <c r="E166" s="31" t="s">
        <v>3200</v>
      </c>
      <c r="J166" s="31" t="s">
        <v>806</v>
      </c>
      <c r="M166" s="31" t="s">
        <v>737</v>
      </c>
      <c r="P166" s="38"/>
      <c r="Q166" s="60"/>
      <c r="R166" s="48" t="str">
        <f>IFERROR(Q166/VLOOKUP(P166,'Exchange rates to USD'!$L$2:$N$225,3,FALSE),"")</f>
        <v/>
      </c>
      <c r="U166" s="152"/>
      <c r="V166" s="152"/>
      <c r="W166" s="152"/>
    </row>
    <row r="167" spans="1:23" ht="13.25" customHeight="1" x14ac:dyDescent="0.25">
      <c r="A167" s="31" t="s">
        <v>2234</v>
      </c>
      <c r="B167" s="31" t="s">
        <v>628</v>
      </c>
      <c r="C167" s="1" t="s">
        <v>2530</v>
      </c>
      <c r="D167" s="31" t="s">
        <v>13</v>
      </c>
      <c r="E167" s="31" t="s">
        <v>14</v>
      </c>
      <c r="F167" s="31" t="s">
        <v>1582</v>
      </c>
      <c r="G167" s="31" t="s">
        <v>3173</v>
      </c>
      <c r="J167" s="31" t="s">
        <v>1583</v>
      </c>
      <c r="L167" s="31" t="s">
        <v>1584</v>
      </c>
      <c r="M167" s="31" t="s">
        <v>871</v>
      </c>
      <c r="O167" s="42">
        <v>44140</v>
      </c>
      <c r="P167" s="38" t="s">
        <v>2233</v>
      </c>
      <c r="Q167" s="60">
        <v>16000</v>
      </c>
      <c r="R167" s="48">
        <f>IFERROR(Q167/VLOOKUP(P167,'Exchange rates to USD'!$L$2:$N$225,3,FALSE),"")</f>
        <v>5.5548911241848229</v>
      </c>
      <c r="U167" s="152"/>
      <c r="V167" s="152"/>
      <c r="W167" s="152"/>
    </row>
    <row r="168" spans="1:23" ht="13.25" customHeight="1" x14ac:dyDescent="0.25">
      <c r="A168" s="31" t="s">
        <v>1581</v>
      </c>
      <c r="B168" s="31" t="s">
        <v>628</v>
      </c>
      <c r="C168" s="1" t="s">
        <v>2530</v>
      </c>
      <c r="D168" s="31" t="s">
        <v>13</v>
      </c>
      <c r="E168" s="31" t="s">
        <v>88</v>
      </c>
      <c r="G168" s="31" t="s">
        <v>41</v>
      </c>
      <c r="H168" s="31" t="s">
        <v>3173</v>
      </c>
      <c r="J168" s="31" t="s">
        <v>1586</v>
      </c>
      <c r="L168" s="31" t="s">
        <v>1587</v>
      </c>
      <c r="M168" s="31" t="s">
        <v>113</v>
      </c>
      <c r="N168" s="31" t="s">
        <v>1588</v>
      </c>
      <c r="O168" s="42">
        <v>44141</v>
      </c>
      <c r="P168" s="38"/>
      <c r="Q168" s="60"/>
      <c r="R168" s="48" t="str">
        <f>IFERROR(Q168/VLOOKUP(P168,'Exchange rates to USD'!$L$2:$N$225,3,FALSE),"")</f>
        <v/>
      </c>
      <c r="U168" s="152"/>
      <c r="V168" s="152"/>
      <c r="W168" s="152"/>
    </row>
    <row r="169" spans="1:23" ht="13.25" customHeight="1" x14ac:dyDescent="0.25">
      <c r="A169" s="31" t="s">
        <v>1585</v>
      </c>
      <c r="B169" s="31" t="s">
        <v>628</v>
      </c>
      <c r="C169" s="1" t="s">
        <v>2530</v>
      </c>
      <c r="D169" s="31" t="s">
        <v>23</v>
      </c>
      <c r="E169" s="31" t="s">
        <v>3200</v>
      </c>
      <c r="F169" s="31" t="s">
        <v>1590</v>
      </c>
      <c r="G169" s="31" t="s">
        <v>3173</v>
      </c>
      <c r="H169" s="31" t="s">
        <v>41</v>
      </c>
      <c r="J169" s="31" t="s">
        <v>1591</v>
      </c>
      <c r="L169" s="31" t="s">
        <v>1587</v>
      </c>
      <c r="M169" s="31" t="s">
        <v>101</v>
      </c>
      <c r="N169" s="31" t="s">
        <v>1592</v>
      </c>
      <c r="O169" s="42">
        <v>44142</v>
      </c>
      <c r="P169" s="38" t="s">
        <v>2233</v>
      </c>
      <c r="Q169" s="60">
        <v>1500000</v>
      </c>
      <c r="R169" s="48">
        <f>IFERROR(Q169/VLOOKUP(P169,'Exchange rates to USD'!$L$2:$N$225,3,FALSE),"")</f>
        <v>520.77104289232716</v>
      </c>
      <c r="U169" s="152"/>
      <c r="V169" s="152"/>
      <c r="W169" s="152"/>
    </row>
    <row r="170" spans="1:23" ht="13.25" customHeight="1" x14ac:dyDescent="0.25">
      <c r="A170" s="31" t="s">
        <v>2235</v>
      </c>
      <c r="B170" s="31" t="s">
        <v>628</v>
      </c>
      <c r="C170" s="31" t="s">
        <v>30</v>
      </c>
      <c r="D170" s="31" t="s">
        <v>23</v>
      </c>
      <c r="E170" s="31" t="s">
        <v>3200</v>
      </c>
      <c r="G170" s="31" t="s">
        <v>3173</v>
      </c>
      <c r="H170" s="31" t="s">
        <v>41</v>
      </c>
      <c r="I170" s="31" t="s">
        <v>670</v>
      </c>
      <c r="J170" s="31" t="s">
        <v>1594</v>
      </c>
      <c r="L170" s="31" t="s">
        <v>1587</v>
      </c>
      <c r="M170" s="31" t="s">
        <v>737</v>
      </c>
      <c r="N170" s="31" t="s">
        <v>1595</v>
      </c>
      <c r="O170" s="42">
        <v>44143</v>
      </c>
      <c r="P170" s="38"/>
      <c r="Q170" s="60"/>
      <c r="R170" s="48" t="str">
        <f>IFERROR(Q170/VLOOKUP(P170,'Exchange rates to USD'!$L$2:$N$225,3,FALSE),"")</f>
        <v/>
      </c>
      <c r="U170" s="152"/>
      <c r="V170" s="152"/>
      <c r="W170" s="152"/>
    </row>
    <row r="171" spans="1:23" ht="13.25" customHeight="1" x14ac:dyDescent="0.25">
      <c r="A171" s="31" t="s">
        <v>1589</v>
      </c>
      <c r="B171" s="31" t="s">
        <v>628</v>
      </c>
      <c r="C171" s="31" t="s">
        <v>30</v>
      </c>
      <c r="D171" s="31" t="s">
        <v>13</v>
      </c>
      <c r="E171" s="31" t="s">
        <v>98</v>
      </c>
      <c r="G171" s="31" t="s">
        <v>41</v>
      </c>
      <c r="H171" s="31" t="s">
        <v>670</v>
      </c>
      <c r="I171" s="31" t="s">
        <v>3173</v>
      </c>
      <c r="J171" s="31" t="s">
        <v>1597</v>
      </c>
      <c r="L171" s="31" t="s">
        <v>1587</v>
      </c>
      <c r="M171" s="31" t="s">
        <v>113</v>
      </c>
      <c r="O171" s="42">
        <v>44144</v>
      </c>
      <c r="P171" s="38"/>
      <c r="Q171" s="60"/>
      <c r="R171" s="48" t="str">
        <f>IFERROR(Q171/VLOOKUP(P171,'Exchange rates to USD'!$L$2:$N$225,3,FALSE),"")</f>
        <v/>
      </c>
      <c r="U171" s="152"/>
      <c r="V171" s="152"/>
      <c r="W171" s="152"/>
    </row>
    <row r="172" spans="1:23" ht="13.25" customHeight="1" x14ac:dyDescent="0.25">
      <c r="A172" s="31" t="s">
        <v>1593</v>
      </c>
      <c r="B172" s="31" t="s">
        <v>628</v>
      </c>
      <c r="C172" s="1" t="s">
        <v>2530</v>
      </c>
      <c r="D172" s="31" t="s">
        <v>23</v>
      </c>
      <c r="G172" s="31" t="s">
        <v>3173</v>
      </c>
      <c r="H172" s="31" t="s">
        <v>809</v>
      </c>
      <c r="J172" s="31" t="s">
        <v>1598</v>
      </c>
      <c r="L172" s="31" t="s">
        <v>1587</v>
      </c>
      <c r="M172" s="31" t="s">
        <v>871</v>
      </c>
      <c r="O172" s="42">
        <v>44145</v>
      </c>
      <c r="P172" s="38"/>
      <c r="Q172" s="60"/>
      <c r="R172" s="48" t="str">
        <f>IFERROR(Q172/VLOOKUP(P172,'Exchange rates to USD'!$L$2:$N$225,3,FALSE),"")</f>
        <v/>
      </c>
      <c r="U172" s="152"/>
      <c r="V172" s="152"/>
      <c r="W172" s="152"/>
    </row>
    <row r="173" spans="1:23" ht="13.25" customHeight="1" x14ac:dyDescent="0.25">
      <c r="A173" s="31" t="s">
        <v>1596</v>
      </c>
      <c r="B173" s="31" t="s">
        <v>628</v>
      </c>
      <c r="C173" s="1" t="s">
        <v>2530</v>
      </c>
      <c r="D173" s="31" t="s">
        <v>13</v>
      </c>
      <c r="E173" s="31" t="s">
        <v>3200</v>
      </c>
      <c r="G173" s="31" t="s">
        <v>41</v>
      </c>
      <c r="H173" s="31" t="s">
        <v>3173</v>
      </c>
      <c r="J173" s="31" t="s">
        <v>1600</v>
      </c>
      <c r="L173" s="31" t="s">
        <v>1587</v>
      </c>
      <c r="M173" s="31" t="s">
        <v>871</v>
      </c>
      <c r="O173" s="42">
        <v>44146</v>
      </c>
      <c r="P173" s="38"/>
      <c r="Q173" s="60"/>
      <c r="R173" s="48" t="str">
        <f>IFERROR(Q173/VLOOKUP(P173,'Exchange rates to USD'!$L$2:$N$225,3,FALSE),"")</f>
        <v/>
      </c>
      <c r="U173" s="152"/>
      <c r="V173" s="152"/>
      <c r="W173" s="152"/>
    </row>
    <row r="174" spans="1:23" ht="13.25" customHeight="1" x14ac:dyDescent="0.25">
      <c r="A174" s="31" t="s">
        <v>1599</v>
      </c>
      <c r="B174" s="31" t="s">
        <v>628</v>
      </c>
      <c r="C174" s="31" t="s">
        <v>22</v>
      </c>
      <c r="D174" s="31" t="s">
        <v>13</v>
      </c>
      <c r="E174" s="31" t="s">
        <v>88</v>
      </c>
      <c r="G174" s="31" t="s">
        <v>41</v>
      </c>
      <c r="H174" s="31" t="s">
        <v>44</v>
      </c>
      <c r="J174" s="31" t="s">
        <v>1602</v>
      </c>
      <c r="L174" s="31" t="s">
        <v>1603</v>
      </c>
      <c r="M174" s="31" t="s">
        <v>871</v>
      </c>
      <c r="N174" s="31" t="s">
        <v>1604</v>
      </c>
      <c r="O174" s="42">
        <v>44154</v>
      </c>
      <c r="P174" s="38"/>
      <c r="Q174" s="60"/>
      <c r="R174" s="48" t="str">
        <f>IFERROR(Q174/VLOOKUP(P174,'Exchange rates to USD'!$L$2:$N$225,3,FALSE),"")</f>
        <v/>
      </c>
      <c r="U174" s="152"/>
      <c r="V174" s="152"/>
      <c r="W174" s="152"/>
    </row>
    <row r="175" spans="1:23" ht="13.25" customHeight="1" x14ac:dyDescent="0.25">
      <c r="A175" s="34" t="s">
        <v>1601</v>
      </c>
      <c r="B175" s="34" t="s">
        <v>628</v>
      </c>
      <c r="C175" s="31" t="s">
        <v>2531</v>
      </c>
      <c r="D175" s="34"/>
      <c r="E175" s="34" t="s">
        <v>3200</v>
      </c>
      <c r="F175" s="34"/>
      <c r="G175" s="34" t="s">
        <v>670</v>
      </c>
      <c r="H175" s="34"/>
      <c r="I175" s="34"/>
      <c r="J175" s="34" t="s">
        <v>1605</v>
      </c>
      <c r="K175" s="34"/>
      <c r="L175" s="34" t="s">
        <v>1578</v>
      </c>
      <c r="M175" s="34" t="s">
        <v>113</v>
      </c>
      <c r="N175" s="34" t="s">
        <v>1606</v>
      </c>
      <c r="O175" s="43">
        <v>44155</v>
      </c>
      <c r="P175" s="34"/>
      <c r="Q175" s="49"/>
      <c r="R175" s="22" t="str">
        <f>IFERROR(Q175/VLOOKUP(P175,'Exchange rates to USD'!$L$2:$N$225,3,FALSE),"")</f>
        <v/>
      </c>
      <c r="U175" s="152"/>
      <c r="V175" s="152"/>
      <c r="W175" s="152"/>
    </row>
    <row r="176" spans="1:23" ht="13.25" customHeight="1" x14ac:dyDescent="0.25">
      <c r="A176" s="31" t="s">
        <v>577</v>
      </c>
      <c r="B176" s="31" t="s">
        <v>629</v>
      </c>
      <c r="C176" s="31" t="s">
        <v>22</v>
      </c>
      <c r="D176" s="31" t="s">
        <v>13</v>
      </c>
      <c r="E176" s="31" t="s">
        <v>88</v>
      </c>
      <c r="F176" s="31" t="s">
        <v>578</v>
      </c>
      <c r="J176" s="31" t="s">
        <v>579</v>
      </c>
      <c r="K176" s="31" t="s">
        <v>580</v>
      </c>
      <c r="M176" s="31" t="s">
        <v>737</v>
      </c>
      <c r="P176" s="31" t="s">
        <v>2228</v>
      </c>
      <c r="Q176" s="32">
        <v>3300</v>
      </c>
      <c r="R176" s="48">
        <f>IFERROR(Q176/VLOOKUP(P176,'Exchange rates to USD'!$L$2:$N$225,3,FALSE),"")</f>
        <v>146.59691293739169</v>
      </c>
      <c r="U176" s="152"/>
      <c r="V176" s="152"/>
      <c r="W176" s="152"/>
    </row>
    <row r="177" spans="1:23" ht="13.25" customHeight="1" x14ac:dyDescent="0.25">
      <c r="A177" s="31" t="s">
        <v>581</v>
      </c>
      <c r="B177" s="31" t="s">
        <v>629</v>
      </c>
      <c r="C177" s="31" t="s">
        <v>2531</v>
      </c>
      <c r="D177" s="31" t="s">
        <v>13</v>
      </c>
      <c r="E177" s="31" t="s">
        <v>36</v>
      </c>
      <c r="G177" s="31" t="s">
        <v>3173</v>
      </c>
      <c r="J177" s="31" t="s">
        <v>582</v>
      </c>
      <c r="M177" s="31" t="s">
        <v>101</v>
      </c>
      <c r="U177" s="152"/>
      <c r="V177" s="152"/>
      <c r="W177" s="152"/>
    </row>
    <row r="178" spans="1:23" ht="13.25" customHeight="1" x14ac:dyDescent="0.25">
      <c r="A178" s="34" t="s">
        <v>583</v>
      </c>
      <c r="B178" s="34" t="s">
        <v>629</v>
      </c>
      <c r="C178" s="34" t="s">
        <v>22</v>
      </c>
      <c r="D178" s="34" t="s">
        <v>13</v>
      </c>
      <c r="E178" s="34" t="s">
        <v>3200</v>
      </c>
      <c r="F178" s="34" t="s">
        <v>584</v>
      </c>
      <c r="G178" s="34"/>
      <c r="H178" s="34"/>
      <c r="I178" s="34"/>
      <c r="J178" s="34" t="s">
        <v>585</v>
      </c>
      <c r="K178" s="34"/>
      <c r="L178" s="34"/>
      <c r="M178" s="34" t="s">
        <v>737</v>
      </c>
      <c r="N178" s="34"/>
      <c r="O178" s="43"/>
      <c r="P178" s="34" t="s">
        <v>2228</v>
      </c>
      <c r="Q178" s="49">
        <v>6500</v>
      </c>
      <c r="R178" s="48">
        <f>IFERROR(Q178/VLOOKUP(P178,'Exchange rates to USD'!$L$2:$N$225,3,FALSE),"")</f>
        <v>288.7514951797109</v>
      </c>
      <c r="U178" s="152"/>
      <c r="V178" s="152"/>
      <c r="W178" s="152"/>
    </row>
    <row r="179" spans="1:23" ht="13.25" customHeight="1" x14ac:dyDescent="0.25">
      <c r="A179" s="31" t="s">
        <v>569</v>
      </c>
      <c r="B179" s="31" t="s">
        <v>630</v>
      </c>
      <c r="C179" s="31" t="s">
        <v>2531</v>
      </c>
      <c r="D179" s="31" t="s">
        <v>13</v>
      </c>
      <c r="E179" s="31" t="s">
        <v>161</v>
      </c>
      <c r="F179" s="59">
        <v>72000000</v>
      </c>
      <c r="G179" s="31" t="s">
        <v>3173</v>
      </c>
      <c r="J179" s="31" t="s">
        <v>2415</v>
      </c>
      <c r="K179" s="31" t="s">
        <v>2416</v>
      </c>
      <c r="M179" s="31" t="s">
        <v>113</v>
      </c>
      <c r="N179" s="31" t="s">
        <v>2417</v>
      </c>
      <c r="O179" s="42">
        <v>44174</v>
      </c>
      <c r="P179" s="31" t="s">
        <v>2227</v>
      </c>
      <c r="Q179" s="32">
        <v>450</v>
      </c>
      <c r="R179" s="48">
        <f>IFERROR(Q179/VLOOKUP(P179,'Exchange rates to USD'!$L$2:$N$225,3,FALSE),"")</f>
        <v>66.394359185565278</v>
      </c>
      <c r="U179" s="152"/>
      <c r="V179" s="152"/>
      <c r="W179" s="152"/>
    </row>
    <row r="180" spans="1:23" ht="13.25" customHeight="1" x14ac:dyDescent="0.25">
      <c r="A180" s="31" t="s">
        <v>570</v>
      </c>
      <c r="B180" s="31" t="s">
        <v>630</v>
      </c>
      <c r="C180" s="31" t="s">
        <v>2531</v>
      </c>
      <c r="D180" s="31" t="s">
        <v>13</v>
      </c>
      <c r="E180" s="31" t="s">
        <v>2412</v>
      </c>
      <c r="F180" s="60">
        <v>32000000</v>
      </c>
      <c r="G180" s="31" t="s">
        <v>3173</v>
      </c>
      <c r="H180" s="31" t="s">
        <v>25</v>
      </c>
      <c r="J180" s="31" t="s">
        <v>2418</v>
      </c>
      <c r="K180" s="31" t="s">
        <v>2416</v>
      </c>
      <c r="M180" s="31" t="s">
        <v>113</v>
      </c>
      <c r="N180" s="31" t="s">
        <v>2419</v>
      </c>
      <c r="O180" s="42">
        <v>44174</v>
      </c>
      <c r="P180" s="31" t="s">
        <v>2227</v>
      </c>
      <c r="Q180" s="32">
        <v>200</v>
      </c>
      <c r="R180" s="48">
        <f>IFERROR(Q180/VLOOKUP(P180,'Exchange rates to USD'!$L$2:$N$225,3,FALSE),"")</f>
        <v>29.508604082473454</v>
      </c>
      <c r="U180" s="152"/>
      <c r="V180" s="152"/>
      <c r="W180" s="152"/>
    </row>
    <row r="181" spans="1:23" ht="13.25" customHeight="1" x14ac:dyDescent="0.25">
      <c r="A181" s="31" t="s">
        <v>571</v>
      </c>
      <c r="B181" s="31" t="s">
        <v>630</v>
      </c>
      <c r="C181" s="31" t="s">
        <v>2531</v>
      </c>
      <c r="D181" s="31" t="s">
        <v>13</v>
      </c>
      <c r="E181" s="31" t="s">
        <v>161</v>
      </c>
      <c r="F181" s="60">
        <v>8000000</v>
      </c>
      <c r="G181" s="31" t="s">
        <v>3173</v>
      </c>
      <c r="J181" s="31" t="s">
        <v>2420</v>
      </c>
      <c r="K181" s="31" t="s">
        <v>2416</v>
      </c>
      <c r="M181" s="31" t="s">
        <v>113</v>
      </c>
      <c r="N181" s="31" t="s">
        <v>2421</v>
      </c>
      <c r="O181" s="42">
        <v>44174</v>
      </c>
      <c r="P181" s="31" t="s">
        <v>2227</v>
      </c>
      <c r="Q181" s="32">
        <v>50</v>
      </c>
      <c r="R181" s="48">
        <f>IFERROR(Q181/VLOOKUP(P181,'Exchange rates to USD'!$L$2:$N$225,3,FALSE),"")</f>
        <v>7.3771510206183635</v>
      </c>
      <c r="U181" s="152"/>
      <c r="V181" s="152"/>
      <c r="W181" s="152"/>
    </row>
    <row r="182" spans="1:23" ht="13.25" customHeight="1" x14ac:dyDescent="0.25">
      <c r="A182" s="31" t="s">
        <v>572</v>
      </c>
      <c r="B182" s="31" t="s">
        <v>630</v>
      </c>
      <c r="C182" s="31" t="s">
        <v>110</v>
      </c>
      <c r="D182" s="31" t="s">
        <v>13</v>
      </c>
      <c r="E182" s="31" t="s">
        <v>14</v>
      </c>
      <c r="F182" s="60">
        <v>32000000</v>
      </c>
      <c r="G182" s="31" t="s">
        <v>3173</v>
      </c>
      <c r="J182" s="31" t="s">
        <v>2422</v>
      </c>
      <c r="K182" s="31" t="s">
        <v>2416</v>
      </c>
      <c r="M182" s="31" t="s">
        <v>113</v>
      </c>
      <c r="O182" s="42">
        <v>44174</v>
      </c>
      <c r="P182" s="31" t="s">
        <v>2227</v>
      </c>
      <c r="Q182" s="32">
        <v>200</v>
      </c>
      <c r="R182" s="48">
        <f>IFERROR(Q182/VLOOKUP(P182,'Exchange rates to USD'!$L$2:$N$225,3,FALSE),"")</f>
        <v>29.508604082473454</v>
      </c>
      <c r="U182" s="152"/>
      <c r="V182" s="152"/>
      <c r="W182" s="152"/>
    </row>
    <row r="183" spans="1:23" ht="13.25" customHeight="1" x14ac:dyDescent="0.25">
      <c r="A183" s="31" t="s">
        <v>573</v>
      </c>
      <c r="B183" s="31" t="s">
        <v>630</v>
      </c>
      <c r="C183" s="31" t="s">
        <v>2531</v>
      </c>
      <c r="D183" s="31" t="s">
        <v>23</v>
      </c>
      <c r="E183" s="31" t="s">
        <v>3200</v>
      </c>
      <c r="F183" s="60">
        <v>32000000</v>
      </c>
      <c r="G183" s="31" t="s">
        <v>809</v>
      </c>
      <c r="H183" s="31" t="s">
        <v>41</v>
      </c>
      <c r="J183" s="31" t="s">
        <v>2423</v>
      </c>
      <c r="K183" s="31" t="s">
        <v>2416</v>
      </c>
      <c r="M183" s="31" t="s">
        <v>113</v>
      </c>
      <c r="N183" s="31" t="s">
        <v>2424</v>
      </c>
      <c r="O183" s="42">
        <v>44174</v>
      </c>
      <c r="P183" s="31" t="s">
        <v>2227</v>
      </c>
      <c r="Q183" s="32">
        <v>200</v>
      </c>
      <c r="R183" s="48">
        <f>IFERROR(Q183/VLOOKUP(P183,'Exchange rates to USD'!$L$2:$N$225,3,FALSE),"")</f>
        <v>29.508604082473454</v>
      </c>
      <c r="U183" s="152"/>
      <c r="V183" s="152"/>
      <c r="W183" s="152"/>
    </row>
    <row r="184" spans="1:23" ht="13.25" customHeight="1" x14ac:dyDescent="0.25">
      <c r="A184" s="31" t="s">
        <v>574</v>
      </c>
      <c r="B184" s="31" t="s">
        <v>630</v>
      </c>
      <c r="C184" s="31" t="s">
        <v>2531</v>
      </c>
      <c r="D184" s="31" t="s">
        <v>39</v>
      </c>
      <c r="E184" s="31" t="s">
        <v>36</v>
      </c>
      <c r="F184" s="60">
        <v>56000000</v>
      </c>
      <c r="G184" s="31" t="s">
        <v>3173</v>
      </c>
      <c r="H184" s="31" t="s">
        <v>25</v>
      </c>
      <c r="J184" s="31" t="s">
        <v>2425</v>
      </c>
      <c r="K184" s="31" t="s">
        <v>2416</v>
      </c>
      <c r="M184" s="31" t="s">
        <v>113</v>
      </c>
      <c r="N184" s="31" t="s">
        <v>2426</v>
      </c>
      <c r="O184" s="42">
        <v>44174</v>
      </c>
      <c r="P184" s="31" t="s">
        <v>2227</v>
      </c>
      <c r="Q184" s="32">
        <v>350</v>
      </c>
      <c r="R184" s="48">
        <f>IFERROR(Q184/VLOOKUP(P184,'Exchange rates to USD'!$L$2:$N$225,3,FALSE),"")</f>
        <v>51.640057144328544</v>
      </c>
      <c r="U184" s="152"/>
      <c r="V184" s="152"/>
      <c r="W184" s="152"/>
    </row>
    <row r="185" spans="1:23" ht="13.25" customHeight="1" x14ac:dyDescent="0.25">
      <c r="A185" s="31" t="s">
        <v>575</v>
      </c>
      <c r="B185" s="31" t="s">
        <v>630</v>
      </c>
      <c r="C185" s="31" t="s">
        <v>2531</v>
      </c>
      <c r="D185" s="31" t="s">
        <v>39</v>
      </c>
      <c r="E185" s="31" t="s">
        <v>161</v>
      </c>
      <c r="F185" s="60">
        <v>48000000</v>
      </c>
      <c r="G185" s="31" t="s">
        <v>3173</v>
      </c>
      <c r="J185" s="31" t="s">
        <v>2427</v>
      </c>
      <c r="K185" s="31" t="s">
        <v>2416</v>
      </c>
      <c r="M185" s="31" t="s">
        <v>113</v>
      </c>
      <c r="N185" s="31" t="s">
        <v>2428</v>
      </c>
      <c r="O185" s="42">
        <v>44174</v>
      </c>
      <c r="P185" s="31" t="s">
        <v>2227</v>
      </c>
      <c r="Q185" s="32">
        <v>300</v>
      </c>
      <c r="R185" s="48">
        <f>IFERROR(Q185/VLOOKUP(P185,'Exchange rates to USD'!$L$2:$N$225,3,FALSE),"")</f>
        <v>44.262906123710181</v>
      </c>
      <c r="U185" s="152"/>
      <c r="V185" s="152"/>
      <c r="W185" s="152"/>
    </row>
    <row r="186" spans="1:23" ht="13.25" customHeight="1" x14ac:dyDescent="0.25">
      <c r="A186" s="31" t="s">
        <v>576</v>
      </c>
      <c r="B186" s="31" t="s">
        <v>630</v>
      </c>
      <c r="C186" s="31" t="s">
        <v>110</v>
      </c>
      <c r="D186" s="31" t="s">
        <v>13</v>
      </c>
      <c r="E186" s="31" t="s">
        <v>88</v>
      </c>
      <c r="F186" s="60">
        <v>32000000</v>
      </c>
      <c r="G186" s="31" t="s">
        <v>3173</v>
      </c>
      <c r="J186" s="31" t="s">
        <v>2429</v>
      </c>
      <c r="K186" s="31" t="s">
        <v>2416</v>
      </c>
      <c r="M186" s="31" t="s">
        <v>871</v>
      </c>
      <c r="N186" s="31" t="s">
        <v>2430</v>
      </c>
      <c r="O186" s="42">
        <v>44174</v>
      </c>
      <c r="P186" s="31" t="s">
        <v>2227</v>
      </c>
      <c r="Q186" s="32">
        <v>200</v>
      </c>
      <c r="R186" s="48">
        <f>IFERROR(Q186/VLOOKUP(P186,'Exchange rates to USD'!$L$2:$N$225,3,FALSE),"")</f>
        <v>29.508604082473454</v>
      </c>
      <c r="U186" s="152"/>
      <c r="V186" s="152"/>
      <c r="W186" s="152"/>
    </row>
    <row r="187" spans="1:23" ht="13.25" customHeight="1" x14ac:dyDescent="0.25">
      <c r="A187" s="31" t="s">
        <v>876</v>
      </c>
      <c r="B187" s="31" t="s">
        <v>630</v>
      </c>
      <c r="C187" s="31" t="s">
        <v>2531</v>
      </c>
      <c r="D187" s="31" t="s">
        <v>13</v>
      </c>
      <c r="E187" s="31" t="s">
        <v>161</v>
      </c>
      <c r="F187" s="60">
        <v>52000000</v>
      </c>
      <c r="G187" s="31" t="s">
        <v>3173</v>
      </c>
      <c r="J187" s="31" t="s">
        <v>2431</v>
      </c>
      <c r="K187" s="31" t="s">
        <v>2416</v>
      </c>
      <c r="M187" s="31" t="s">
        <v>113</v>
      </c>
      <c r="N187" s="31" t="s">
        <v>2432</v>
      </c>
      <c r="O187" s="42">
        <v>44174</v>
      </c>
      <c r="P187" s="31" t="s">
        <v>2227</v>
      </c>
      <c r="Q187" s="32">
        <v>325</v>
      </c>
      <c r="R187" s="48">
        <f>IFERROR(Q187/VLOOKUP(P187,'Exchange rates to USD'!$L$2:$N$225,3,FALSE),"")</f>
        <v>47.951481634019366</v>
      </c>
      <c r="U187" s="152"/>
      <c r="V187" s="152"/>
      <c r="W187" s="152"/>
    </row>
    <row r="188" spans="1:23" ht="13.25" customHeight="1" x14ac:dyDescent="0.25">
      <c r="A188" s="31" t="s">
        <v>877</v>
      </c>
      <c r="B188" s="31" t="s">
        <v>630</v>
      </c>
      <c r="C188" s="31" t="s">
        <v>2531</v>
      </c>
      <c r="D188" s="31" t="s">
        <v>13</v>
      </c>
      <c r="E188" s="31" t="s">
        <v>88</v>
      </c>
      <c r="F188" s="60" t="s">
        <v>2436</v>
      </c>
      <c r="G188" s="31" t="s">
        <v>3173</v>
      </c>
      <c r="J188" s="31" t="s">
        <v>2434</v>
      </c>
      <c r="K188" s="31" t="s">
        <v>2416</v>
      </c>
      <c r="M188" s="31" t="s">
        <v>113</v>
      </c>
      <c r="N188" s="31" t="s">
        <v>2435</v>
      </c>
      <c r="O188" s="42">
        <v>44174</v>
      </c>
      <c r="P188" s="31" t="s">
        <v>2227</v>
      </c>
      <c r="Q188" s="32" t="s">
        <v>2433</v>
      </c>
      <c r="R188" s="32">
        <v>26</v>
      </c>
      <c r="U188" s="152"/>
      <c r="V188" s="152"/>
      <c r="W188" s="152"/>
    </row>
    <row r="189" spans="1:23" ht="13.25" customHeight="1" x14ac:dyDescent="0.25">
      <c r="A189" s="31" t="s">
        <v>878</v>
      </c>
      <c r="B189" s="31" t="s">
        <v>630</v>
      </c>
      <c r="C189" s="31" t="s">
        <v>2531</v>
      </c>
      <c r="D189" s="31" t="s">
        <v>13</v>
      </c>
      <c r="E189" s="31" t="s">
        <v>14</v>
      </c>
      <c r="F189" s="60">
        <v>960000</v>
      </c>
      <c r="G189" s="31" t="s">
        <v>3173</v>
      </c>
      <c r="J189" s="31" t="s">
        <v>2437</v>
      </c>
      <c r="K189" s="31" t="s">
        <v>2416</v>
      </c>
      <c r="M189" s="31" t="s">
        <v>113</v>
      </c>
      <c r="N189" s="31" t="s">
        <v>2438</v>
      </c>
      <c r="O189" s="42">
        <v>44174</v>
      </c>
      <c r="P189" s="31" t="s">
        <v>2227</v>
      </c>
      <c r="Q189" s="32">
        <v>6</v>
      </c>
      <c r="R189" s="48">
        <f>IFERROR(Q189/VLOOKUP(P189,'Exchange rates to USD'!$L$2:$N$225,3,FALSE),"")</f>
        <v>0.88525812247420366</v>
      </c>
      <c r="U189" s="152"/>
      <c r="V189" s="152"/>
      <c r="W189" s="152"/>
    </row>
    <row r="190" spans="1:23" ht="13.25" customHeight="1" x14ac:dyDescent="0.25">
      <c r="A190" s="31" t="s">
        <v>879</v>
      </c>
      <c r="B190" s="31" t="s">
        <v>630</v>
      </c>
      <c r="C190" s="31" t="s">
        <v>2531</v>
      </c>
      <c r="D190" s="31" t="s">
        <v>39</v>
      </c>
      <c r="E190" s="31" t="s">
        <v>3200</v>
      </c>
      <c r="F190" s="60">
        <v>16000000</v>
      </c>
      <c r="G190" s="31" t="s">
        <v>3173</v>
      </c>
      <c r="J190" s="31" t="s">
        <v>2439</v>
      </c>
      <c r="K190" s="31" t="s">
        <v>2416</v>
      </c>
      <c r="M190" s="31" t="s">
        <v>871</v>
      </c>
      <c r="N190" s="31" t="s">
        <v>2440</v>
      </c>
      <c r="O190" s="42">
        <v>44174</v>
      </c>
      <c r="P190" s="31" t="s">
        <v>2227</v>
      </c>
      <c r="Q190" s="32">
        <v>100</v>
      </c>
      <c r="R190" s="48">
        <f>IFERROR(Q190/VLOOKUP(P190,'Exchange rates to USD'!$L$2:$N$225,3,FALSE),"")</f>
        <v>14.754302041236727</v>
      </c>
      <c r="U190" s="152"/>
      <c r="V190" s="152"/>
      <c r="W190" s="152"/>
    </row>
    <row r="191" spans="1:23" ht="13.25" customHeight="1" x14ac:dyDescent="0.25">
      <c r="A191" s="31" t="s">
        <v>880</v>
      </c>
      <c r="B191" s="31" t="s">
        <v>630</v>
      </c>
      <c r="C191" s="31" t="s">
        <v>2531</v>
      </c>
      <c r="D191" s="31" t="s">
        <v>23</v>
      </c>
      <c r="E191" s="31" t="s">
        <v>3200</v>
      </c>
      <c r="F191" s="60">
        <v>40000000</v>
      </c>
      <c r="G191" s="31" t="s">
        <v>3173</v>
      </c>
      <c r="J191" s="31" t="s">
        <v>2441</v>
      </c>
      <c r="K191" s="31" t="s">
        <v>2416</v>
      </c>
      <c r="M191" s="31" t="s">
        <v>871</v>
      </c>
      <c r="N191" s="31" t="s">
        <v>2442</v>
      </c>
      <c r="O191" s="42">
        <v>44174</v>
      </c>
      <c r="P191" s="31" t="s">
        <v>2227</v>
      </c>
      <c r="Q191" s="32">
        <v>250</v>
      </c>
      <c r="R191" s="48">
        <f>IFERROR(Q191/VLOOKUP(P191,'Exchange rates to USD'!$L$2:$N$225,3,FALSE),"")</f>
        <v>36.885755103091817</v>
      </c>
      <c r="U191" s="152"/>
      <c r="V191" s="152"/>
      <c r="W191" s="152"/>
    </row>
    <row r="192" spans="1:23" ht="13.25" customHeight="1" x14ac:dyDescent="0.25">
      <c r="A192" s="31" t="s">
        <v>881</v>
      </c>
      <c r="B192" s="31" t="s">
        <v>630</v>
      </c>
      <c r="C192" s="31" t="s">
        <v>2531</v>
      </c>
      <c r="D192" s="31" t="s">
        <v>13</v>
      </c>
      <c r="E192" s="31" t="s">
        <v>98</v>
      </c>
      <c r="F192" s="60">
        <v>133280000</v>
      </c>
      <c r="G192" s="31" t="s">
        <v>3173</v>
      </c>
      <c r="H192" s="31" t="s">
        <v>111</v>
      </c>
      <c r="I192" s="31" t="s">
        <v>25</v>
      </c>
      <c r="J192" s="31" t="s">
        <v>2443</v>
      </c>
      <c r="K192" s="31" t="s">
        <v>2416</v>
      </c>
      <c r="M192" s="31" t="s">
        <v>113</v>
      </c>
      <c r="N192" s="31" t="s">
        <v>2444</v>
      </c>
      <c r="O192" s="42">
        <v>44174</v>
      </c>
      <c r="P192" s="31" t="s">
        <v>2227</v>
      </c>
      <c r="Q192" s="32">
        <v>833</v>
      </c>
      <c r="R192" s="48">
        <f>IFERROR(Q192/VLOOKUP(P192,'Exchange rates to USD'!$L$2:$N$225,3,FALSE),"")</f>
        <v>122.90333600350193</v>
      </c>
      <c r="U192" s="152"/>
      <c r="V192" s="152"/>
      <c r="W192" s="152"/>
    </row>
    <row r="193" spans="1:23" ht="13.25" customHeight="1" x14ac:dyDescent="0.25">
      <c r="A193" s="31" t="s">
        <v>2445</v>
      </c>
      <c r="B193" s="31" t="s">
        <v>630</v>
      </c>
      <c r="C193" s="31" t="s">
        <v>30</v>
      </c>
      <c r="D193" s="31" t="s">
        <v>23</v>
      </c>
      <c r="E193" s="31" t="s">
        <v>3200</v>
      </c>
      <c r="F193" s="60">
        <v>16320000</v>
      </c>
      <c r="G193" s="31" t="s">
        <v>3173</v>
      </c>
      <c r="H193" s="31" t="s">
        <v>111</v>
      </c>
      <c r="I193" s="31" t="s">
        <v>25</v>
      </c>
      <c r="J193" s="31" t="s">
        <v>2446</v>
      </c>
      <c r="K193" s="31" t="s">
        <v>2416</v>
      </c>
      <c r="M193" s="31" t="s">
        <v>113</v>
      </c>
      <c r="N193" s="31" t="s">
        <v>2447</v>
      </c>
      <c r="O193" s="42">
        <v>44174</v>
      </c>
      <c r="P193" s="31" t="s">
        <v>2227</v>
      </c>
      <c r="Q193" s="32">
        <v>102</v>
      </c>
      <c r="R193" s="48">
        <f>IFERROR(Q193/VLOOKUP(P193,'Exchange rates to USD'!$L$2:$N$225,3,FALSE),"")</f>
        <v>15.049388082061462</v>
      </c>
      <c r="U193" s="152"/>
      <c r="V193" s="152"/>
      <c r="W193" s="152"/>
    </row>
    <row r="194" spans="1:23" ht="13.25" customHeight="1" x14ac:dyDescent="0.25">
      <c r="A194" s="31" t="s">
        <v>1607</v>
      </c>
      <c r="B194" s="31" t="s">
        <v>630</v>
      </c>
      <c r="C194" s="31" t="s">
        <v>2531</v>
      </c>
      <c r="D194" s="31" t="s">
        <v>23</v>
      </c>
      <c r="E194" s="31" t="s">
        <v>3200</v>
      </c>
      <c r="F194" s="60">
        <v>4800000</v>
      </c>
      <c r="J194" s="31" t="s">
        <v>2448</v>
      </c>
      <c r="K194" s="31" t="s">
        <v>2416</v>
      </c>
      <c r="M194" s="31" t="s">
        <v>737</v>
      </c>
      <c r="N194" s="31" t="s">
        <v>2449</v>
      </c>
      <c r="O194" s="42">
        <v>44174</v>
      </c>
      <c r="P194" s="31" t="s">
        <v>2227</v>
      </c>
      <c r="Q194" s="32">
        <v>30</v>
      </c>
      <c r="R194" s="48">
        <f>IFERROR(Q194/VLOOKUP(P194,'Exchange rates to USD'!$L$2:$N$225,3,FALSE),"")</f>
        <v>4.4262906123710186</v>
      </c>
      <c r="U194" s="152"/>
      <c r="V194" s="152"/>
      <c r="W194" s="152"/>
    </row>
    <row r="195" spans="1:23" ht="13.25" customHeight="1" x14ac:dyDescent="0.25">
      <c r="A195" s="31" t="s">
        <v>1608</v>
      </c>
      <c r="B195" s="31" t="s">
        <v>630</v>
      </c>
      <c r="C195" s="31" t="s">
        <v>2531</v>
      </c>
      <c r="D195" s="31" t="s">
        <v>23</v>
      </c>
      <c r="E195" s="31" t="s">
        <v>3200</v>
      </c>
      <c r="F195" s="60">
        <v>16000000</v>
      </c>
      <c r="J195" s="31" t="s">
        <v>2450</v>
      </c>
      <c r="K195" s="31" t="s">
        <v>2416</v>
      </c>
      <c r="M195" s="31" t="s">
        <v>737</v>
      </c>
      <c r="N195" s="31" t="s">
        <v>2451</v>
      </c>
      <c r="O195" s="42">
        <v>44174</v>
      </c>
      <c r="P195" s="31" t="s">
        <v>2227</v>
      </c>
      <c r="Q195" s="32">
        <v>100</v>
      </c>
      <c r="R195" s="48">
        <f>IFERROR(Q195/VLOOKUP(P195,'Exchange rates to USD'!$L$2:$N$225,3,FALSE),"")</f>
        <v>14.754302041236727</v>
      </c>
      <c r="U195" s="152"/>
      <c r="V195" s="152"/>
      <c r="W195" s="152"/>
    </row>
    <row r="196" spans="1:23" ht="13.25" customHeight="1" x14ac:dyDescent="0.25">
      <c r="A196" s="31" t="s">
        <v>1609</v>
      </c>
      <c r="B196" s="31" t="s">
        <v>630</v>
      </c>
      <c r="C196" s="31" t="s">
        <v>2531</v>
      </c>
      <c r="D196" s="31" t="s">
        <v>39</v>
      </c>
      <c r="E196" s="31" t="s">
        <v>3200</v>
      </c>
      <c r="F196" s="60">
        <v>4000000</v>
      </c>
      <c r="G196" s="31" t="s">
        <v>3173</v>
      </c>
      <c r="H196" s="31" t="s">
        <v>41</v>
      </c>
      <c r="I196" s="31" t="s">
        <v>207</v>
      </c>
      <c r="J196" s="31" t="s">
        <v>2452</v>
      </c>
      <c r="K196" s="31" t="s">
        <v>2416</v>
      </c>
      <c r="M196" s="31" t="s">
        <v>113</v>
      </c>
      <c r="O196" s="42">
        <v>44174</v>
      </c>
      <c r="P196" s="31" t="s">
        <v>2227</v>
      </c>
      <c r="Q196" s="32">
        <v>25</v>
      </c>
      <c r="R196" s="48">
        <f>IFERROR(Q196/VLOOKUP(P196,'Exchange rates to USD'!$L$2:$N$225,3,FALSE),"")</f>
        <v>3.6885755103091817</v>
      </c>
      <c r="U196" s="152"/>
      <c r="V196" s="152"/>
      <c r="W196" s="152"/>
    </row>
    <row r="197" spans="1:23" ht="13.25" customHeight="1" x14ac:dyDescent="0.25">
      <c r="A197" s="31" t="s">
        <v>1610</v>
      </c>
      <c r="B197" s="31" t="s">
        <v>630</v>
      </c>
      <c r="C197" s="31" t="s">
        <v>2531</v>
      </c>
      <c r="D197" s="31" t="s">
        <v>39</v>
      </c>
      <c r="E197" s="31" t="s">
        <v>3200</v>
      </c>
      <c r="F197" s="60">
        <v>4000000</v>
      </c>
      <c r="J197" s="31" t="s">
        <v>2453</v>
      </c>
      <c r="K197" s="31" t="s">
        <v>2416</v>
      </c>
      <c r="M197" s="31" t="s">
        <v>737</v>
      </c>
      <c r="N197" s="31" t="s">
        <v>2454</v>
      </c>
      <c r="O197" s="42">
        <v>44174</v>
      </c>
      <c r="P197" s="31" t="s">
        <v>2227</v>
      </c>
      <c r="Q197" s="32">
        <v>25</v>
      </c>
      <c r="R197" s="48">
        <f>IFERROR(Q197/VLOOKUP(P197,'Exchange rates to USD'!$L$2:$N$225,3,FALSE),"")</f>
        <v>3.6885755103091817</v>
      </c>
      <c r="U197" s="152"/>
      <c r="V197" s="152"/>
      <c r="W197" s="152"/>
    </row>
    <row r="198" spans="1:23" ht="13.25" customHeight="1" x14ac:dyDescent="0.25">
      <c r="A198" s="31" t="s">
        <v>2404</v>
      </c>
      <c r="B198" s="31" t="s">
        <v>630</v>
      </c>
      <c r="C198" s="31" t="s">
        <v>2531</v>
      </c>
      <c r="D198" s="31" t="s">
        <v>39</v>
      </c>
      <c r="E198" s="31" t="s">
        <v>3200</v>
      </c>
      <c r="F198" s="60">
        <v>4000000</v>
      </c>
      <c r="J198" s="31" t="s">
        <v>2455</v>
      </c>
      <c r="K198" s="31" t="s">
        <v>2416</v>
      </c>
      <c r="M198" s="31" t="s">
        <v>737</v>
      </c>
      <c r="N198" s="31" t="s">
        <v>2454</v>
      </c>
      <c r="O198" s="42">
        <v>44174</v>
      </c>
      <c r="P198" s="31" t="s">
        <v>2227</v>
      </c>
      <c r="Q198" s="32">
        <v>25</v>
      </c>
      <c r="R198" s="48">
        <f>IFERROR(Q198/VLOOKUP(P198,'Exchange rates to USD'!$L$2:$N$225,3,FALSE),"")</f>
        <v>3.6885755103091817</v>
      </c>
      <c r="U198" s="152"/>
      <c r="V198" s="152"/>
      <c r="W198" s="152"/>
    </row>
    <row r="199" spans="1:23" ht="13.25" customHeight="1" x14ac:dyDescent="0.25">
      <c r="A199" s="31" t="s">
        <v>2405</v>
      </c>
      <c r="B199" s="31" t="s">
        <v>630</v>
      </c>
      <c r="C199" s="31" t="s">
        <v>2531</v>
      </c>
      <c r="D199" s="31" t="s">
        <v>23</v>
      </c>
      <c r="E199" s="31" t="s">
        <v>3200</v>
      </c>
      <c r="F199" s="60">
        <v>32000000</v>
      </c>
      <c r="G199" s="31" t="s">
        <v>3173</v>
      </c>
      <c r="H199" s="31" t="s">
        <v>41</v>
      </c>
      <c r="I199" s="31" t="s">
        <v>207</v>
      </c>
      <c r="J199" s="31" t="s">
        <v>2456</v>
      </c>
      <c r="K199" s="31" t="s">
        <v>2416</v>
      </c>
      <c r="M199" s="31" t="s">
        <v>113</v>
      </c>
      <c r="N199" s="31" t="s">
        <v>2457</v>
      </c>
      <c r="O199" s="42">
        <v>44174</v>
      </c>
      <c r="P199" s="31" t="s">
        <v>2227</v>
      </c>
      <c r="Q199" s="32">
        <v>200</v>
      </c>
      <c r="R199" s="48">
        <f>IFERROR(Q199/VLOOKUP(P199,'Exchange rates to USD'!$L$2:$N$225,3,FALSE),"")</f>
        <v>29.508604082473454</v>
      </c>
      <c r="U199" s="152"/>
      <c r="V199" s="152"/>
      <c r="W199" s="152"/>
    </row>
    <row r="200" spans="1:23" ht="13.25" customHeight="1" x14ac:dyDescent="0.25">
      <c r="A200" s="31" t="s">
        <v>2406</v>
      </c>
      <c r="B200" s="31" t="s">
        <v>630</v>
      </c>
      <c r="C200" s="31" t="s">
        <v>2530</v>
      </c>
      <c r="D200" s="31" t="s">
        <v>23</v>
      </c>
      <c r="E200" s="31" t="s">
        <v>3200</v>
      </c>
      <c r="F200" s="60">
        <v>16000000</v>
      </c>
      <c r="G200" s="31" t="s">
        <v>41</v>
      </c>
      <c r="J200" s="31" t="s">
        <v>2458</v>
      </c>
      <c r="K200" s="31" t="s">
        <v>2416</v>
      </c>
      <c r="M200" s="31" t="s">
        <v>113</v>
      </c>
      <c r="O200" s="42">
        <v>44174</v>
      </c>
      <c r="P200" s="31" t="s">
        <v>2227</v>
      </c>
      <c r="Q200" s="32">
        <v>100</v>
      </c>
      <c r="R200" s="48">
        <f>IFERROR(Q200/VLOOKUP(P200,'Exchange rates to USD'!$L$2:$N$225,3,FALSE),"")</f>
        <v>14.754302041236727</v>
      </c>
      <c r="U200" s="152"/>
      <c r="V200" s="152"/>
      <c r="W200" s="152"/>
    </row>
    <row r="201" spans="1:23" ht="13.25" customHeight="1" x14ac:dyDescent="0.25">
      <c r="A201" s="31" t="s">
        <v>2407</v>
      </c>
      <c r="B201" s="31" t="s">
        <v>630</v>
      </c>
      <c r="C201" s="31" t="s">
        <v>2530</v>
      </c>
      <c r="D201" s="31" t="s">
        <v>23</v>
      </c>
      <c r="E201" s="31" t="s">
        <v>3200</v>
      </c>
      <c r="F201" s="60">
        <v>608000</v>
      </c>
      <c r="G201" s="31" t="s">
        <v>111</v>
      </c>
      <c r="H201" s="31" t="s">
        <v>207</v>
      </c>
      <c r="J201" s="31" t="s">
        <v>2459</v>
      </c>
      <c r="K201" s="31" t="s">
        <v>2416</v>
      </c>
      <c r="M201" s="31" t="s">
        <v>113</v>
      </c>
      <c r="O201" s="42">
        <v>44174</v>
      </c>
      <c r="P201" s="31" t="s">
        <v>2227</v>
      </c>
      <c r="Q201" s="32">
        <v>3.8</v>
      </c>
      <c r="R201" s="48">
        <f>IFERROR(Q201/VLOOKUP(P201,'Exchange rates to USD'!$L$2:$N$225,3,FALSE),"")</f>
        <v>0.56066347756699564</v>
      </c>
      <c r="U201" s="152"/>
      <c r="V201" s="152"/>
      <c r="W201" s="152"/>
    </row>
    <row r="202" spans="1:23" ht="13.25" customHeight="1" x14ac:dyDescent="0.25">
      <c r="A202" s="31" t="s">
        <v>2408</v>
      </c>
      <c r="B202" s="31" t="s">
        <v>630</v>
      </c>
      <c r="C202" s="31" t="s">
        <v>2530</v>
      </c>
      <c r="D202" s="31" t="s">
        <v>23</v>
      </c>
      <c r="E202" s="31" t="s">
        <v>3200</v>
      </c>
      <c r="F202" s="60">
        <v>24000000</v>
      </c>
      <c r="G202" s="31" t="s">
        <v>44</v>
      </c>
      <c r="H202" s="31" t="s">
        <v>670</v>
      </c>
      <c r="J202" s="31" t="s">
        <v>2460</v>
      </c>
      <c r="K202" s="31" t="s">
        <v>2416</v>
      </c>
      <c r="M202" s="31" t="s">
        <v>113</v>
      </c>
      <c r="N202" s="31" t="s">
        <v>2461</v>
      </c>
      <c r="O202" s="42">
        <v>44174</v>
      </c>
      <c r="P202" s="31" t="s">
        <v>2227</v>
      </c>
      <c r="Q202" s="32">
        <v>150</v>
      </c>
      <c r="R202" s="48">
        <f>IFERROR(Q202/VLOOKUP(P202,'Exchange rates to USD'!$L$2:$N$225,3,FALSE),"")</f>
        <v>22.13145306185509</v>
      </c>
      <c r="U202" s="152"/>
      <c r="V202" s="152"/>
      <c r="W202" s="152"/>
    </row>
    <row r="203" spans="1:23" ht="13.25" customHeight="1" x14ac:dyDescent="0.25">
      <c r="A203" s="31" t="s">
        <v>2409</v>
      </c>
      <c r="B203" s="31" t="s">
        <v>630</v>
      </c>
      <c r="C203" s="31" t="s">
        <v>2530</v>
      </c>
      <c r="D203" s="31" t="s">
        <v>23</v>
      </c>
      <c r="E203" s="31" t="s">
        <v>3200</v>
      </c>
      <c r="F203" s="60">
        <v>71040000</v>
      </c>
      <c r="G203" s="31" t="s">
        <v>41</v>
      </c>
      <c r="J203" s="31" t="s">
        <v>2462</v>
      </c>
      <c r="K203" s="31" t="s">
        <v>2416</v>
      </c>
      <c r="M203" s="31" t="s">
        <v>113</v>
      </c>
      <c r="N203" s="31" t="s">
        <v>2463</v>
      </c>
      <c r="O203" s="42">
        <v>44174</v>
      </c>
      <c r="P203" s="31" t="s">
        <v>2227</v>
      </c>
      <c r="Q203" s="32">
        <v>444</v>
      </c>
      <c r="R203" s="48">
        <f>IFERROR(Q203/VLOOKUP(P203,'Exchange rates to USD'!$L$2:$N$225,3,FALSE),"")</f>
        <v>65.509101063091066</v>
      </c>
      <c r="U203" s="152"/>
      <c r="V203" s="152"/>
      <c r="W203" s="152"/>
    </row>
    <row r="204" spans="1:23" ht="13.25" customHeight="1" x14ac:dyDescent="0.25">
      <c r="A204" s="31" t="s">
        <v>2410</v>
      </c>
      <c r="B204" s="31" t="s">
        <v>630</v>
      </c>
      <c r="C204" s="31" t="s">
        <v>2531</v>
      </c>
      <c r="D204" s="31" t="s">
        <v>13</v>
      </c>
      <c r="E204" s="31" t="s">
        <v>88</v>
      </c>
      <c r="F204" s="60">
        <v>14400000</v>
      </c>
      <c r="G204" s="31" t="s">
        <v>41</v>
      </c>
      <c r="J204" s="31" t="s">
        <v>2464</v>
      </c>
      <c r="K204" s="31" t="s">
        <v>2416</v>
      </c>
      <c r="M204" s="31" t="s">
        <v>113</v>
      </c>
      <c r="N204" s="31" t="s">
        <v>2465</v>
      </c>
      <c r="O204" s="42">
        <v>44174</v>
      </c>
      <c r="P204" s="31" t="s">
        <v>2227</v>
      </c>
      <c r="Q204" s="32">
        <v>90</v>
      </c>
      <c r="R204" s="48">
        <f>IFERROR(Q204/VLOOKUP(P204,'Exchange rates to USD'!$L$2:$N$225,3,FALSE),"")</f>
        <v>13.278871837113055</v>
      </c>
      <c r="S204" s="38"/>
      <c r="T204" s="38"/>
      <c r="U204" s="152"/>
      <c r="V204" s="152"/>
      <c r="W204" s="152"/>
    </row>
    <row r="205" spans="1:23" ht="13.25" customHeight="1" x14ac:dyDescent="0.25">
      <c r="A205" s="34" t="s">
        <v>2411</v>
      </c>
      <c r="B205" s="34" t="s">
        <v>630</v>
      </c>
      <c r="C205" s="34" t="s">
        <v>2531</v>
      </c>
      <c r="D205" s="34" t="s">
        <v>13</v>
      </c>
      <c r="E205" s="34" t="s">
        <v>98</v>
      </c>
      <c r="F205" s="49">
        <v>112000000</v>
      </c>
      <c r="G205" s="34" t="s">
        <v>3173</v>
      </c>
      <c r="H205" s="34" t="s">
        <v>111</v>
      </c>
      <c r="I205" s="34" t="s">
        <v>25</v>
      </c>
      <c r="J205" s="34" t="s">
        <v>2466</v>
      </c>
      <c r="K205" s="34" t="s">
        <v>2467</v>
      </c>
      <c r="L205" s="34"/>
      <c r="M205" s="34" t="s">
        <v>113</v>
      </c>
      <c r="N205" s="34"/>
      <c r="O205" s="43">
        <v>44174</v>
      </c>
      <c r="P205" s="34" t="s">
        <v>2227</v>
      </c>
      <c r="Q205" s="49">
        <v>700</v>
      </c>
      <c r="R205" s="22">
        <f>IFERROR(Q205/VLOOKUP(P205,'Exchange rates to USD'!$L$2:$N$225,3,FALSE),"")</f>
        <v>103.28011428865709</v>
      </c>
      <c r="S205" s="38"/>
      <c r="T205" s="38"/>
      <c r="U205" s="152"/>
      <c r="V205" s="152"/>
      <c r="W205" s="152"/>
    </row>
    <row r="206" spans="1:23" ht="13.25" customHeight="1" x14ac:dyDescent="0.25">
      <c r="A206" s="31" t="s">
        <v>818</v>
      </c>
      <c r="B206" s="31" t="s">
        <v>631</v>
      </c>
      <c r="C206" s="12" t="s">
        <v>2530</v>
      </c>
      <c r="G206" s="31" t="s">
        <v>3173</v>
      </c>
      <c r="H206" s="31" t="s">
        <v>44</v>
      </c>
      <c r="J206" s="31" t="s">
        <v>819</v>
      </c>
      <c r="K206" s="31" t="s">
        <v>1611</v>
      </c>
      <c r="M206" s="31" t="s">
        <v>113</v>
      </c>
      <c r="N206" s="31" t="s">
        <v>1612</v>
      </c>
      <c r="O206" s="42">
        <v>44141</v>
      </c>
      <c r="R206" s="47" t="str">
        <f>IFERROR(Q206/VLOOKUP(P206,'Exchange rates to USD'!$L$2:$N$225,3,FALSE),"")</f>
        <v/>
      </c>
      <c r="S206" s="38"/>
      <c r="T206" s="38"/>
      <c r="U206" s="152"/>
      <c r="V206" s="152"/>
      <c r="W206" s="152"/>
    </row>
    <row r="207" spans="1:23" ht="13.25" customHeight="1" x14ac:dyDescent="0.25">
      <c r="A207" s="31" t="s">
        <v>1613</v>
      </c>
      <c r="B207" s="31" t="s">
        <v>631</v>
      </c>
      <c r="C207" s="31" t="s">
        <v>84</v>
      </c>
      <c r="D207" s="31" t="s">
        <v>872</v>
      </c>
      <c r="E207" s="31" t="s">
        <v>3200</v>
      </c>
      <c r="F207" s="31" t="s">
        <v>1614</v>
      </c>
      <c r="G207" s="31" t="s">
        <v>44</v>
      </c>
      <c r="J207" s="31" t="s">
        <v>1615</v>
      </c>
      <c r="K207" s="31" t="s">
        <v>1616</v>
      </c>
      <c r="L207" s="31" t="s">
        <v>1617</v>
      </c>
      <c r="M207" s="31" t="s">
        <v>113</v>
      </c>
      <c r="O207" s="42">
        <v>44141</v>
      </c>
      <c r="P207" s="31" t="s">
        <v>669</v>
      </c>
      <c r="Q207" s="135">
        <v>0.15</v>
      </c>
      <c r="R207" s="89">
        <f>IFERROR(Q207/VLOOKUP(P207,'Exchange rates to USD'!$L$2:$N$225,3,FALSE),"")</f>
        <v>0.16540034116112823</v>
      </c>
      <c r="S207" s="38"/>
      <c r="T207" s="38"/>
      <c r="U207" s="152"/>
      <c r="V207" s="152"/>
      <c r="W207" s="152"/>
    </row>
    <row r="208" spans="1:23" ht="13.25" customHeight="1" x14ac:dyDescent="0.25">
      <c r="A208" s="31" t="s">
        <v>1618</v>
      </c>
      <c r="B208" s="31" t="s">
        <v>631</v>
      </c>
      <c r="C208" s="31" t="s">
        <v>22</v>
      </c>
      <c r="D208" s="31" t="s">
        <v>39</v>
      </c>
      <c r="E208" s="31" t="s">
        <v>619</v>
      </c>
      <c r="F208" s="31" t="s">
        <v>2627</v>
      </c>
      <c r="G208" s="31" t="s">
        <v>111</v>
      </c>
      <c r="J208" s="31" t="s">
        <v>1619</v>
      </c>
      <c r="K208" s="31" t="s">
        <v>1620</v>
      </c>
      <c r="L208" s="31" t="s">
        <v>1621</v>
      </c>
      <c r="M208" s="31" t="s">
        <v>113</v>
      </c>
      <c r="O208" s="42">
        <v>44141</v>
      </c>
      <c r="P208" s="31" t="s">
        <v>669</v>
      </c>
      <c r="Q208" s="136">
        <v>1.4</v>
      </c>
      <c r="R208" s="48">
        <f>IFERROR(Q208/VLOOKUP(P208,'Exchange rates to USD'!$L$2:$N$225,3,FALSE),"")</f>
        <v>1.5437365175038635</v>
      </c>
      <c r="S208" s="38"/>
      <c r="T208" s="38"/>
      <c r="U208" s="152"/>
      <c r="V208" s="152"/>
      <c r="W208" s="152"/>
    </row>
    <row r="209" spans="1:23" ht="13.25" customHeight="1" x14ac:dyDescent="0.25">
      <c r="A209" s="31" t="s">
        <v>1622</v>
      </c>
      <c r="B209" s="31" t="s">
        <v>631</v>
      </c>
      <c r="C209" s="31" t="s">
        <v>22</v>
      </c>
      <c r="D209" s="31" t="s">
        <v>23</v>
      </c>
      <c r="E209" s="31" t="s">
        <v>98</v>
      </c>
      <c r="F209" s="31" t="s">
        <v>2862</v>
      </c>
      <c r="G209" s="31" t="s">
        <v>44</v>
      </c>
      <c r="J209" s="31" t="s">
        <v>1623</v>
      </c>
      <c r="K209" s="31" t="s">
        <v>1624</v>
      </c>
      <c r="L209" s="31" t="s">
        <v>1625</v>
      </c>
      <c r="M209" s="31" t="s">
        <v>113</v>
      </c>
      <c r="O209" s="42">
        <v>44141</v>
      </c>
      <c r="P209" s="31" t="s">
        <v>669</v>
      </c>
      <c r="Q209" s="136">
        <v>9.5</v>
      </c>
      <c r="R209" s="91">
        <f>IFERROR(Q209/VLOOKUP(P209,'Exchange rates to USD'!$L$2:$N$225,3,FALSE),"")</f>
        <v>10.475354940204788</v>
      </c>
      <c r="S209" s="38"/>
      <c r="T209" s="38"/>
      <c r="U209" s="152"/>
      <c r="V209" s="152"/>
      <c r="W209" s="152"/>
    </row>
    <row r="210" spans="1:23" ht="13.25" customHeight="1" x14ac:dyDescent="0.25">
      <c r="A210" s="31" t="s">
        <v>1626</v>
      </c>
      <c r="B210" s="31" t="s">
        <v>631</v>
      </c>
      <c r="C210" s="31" t="s">
        <v>22</v>
      </c>
      <c r="D210" s="31" t="s">
        <v>13</v>
      </c>
      <c r="E210" s="31" t="s">
        <v>88</v>
      </c>
      <c r="F210" s="31" t="s">
        <v>1627</v>
      </c>
      <c r="G210" s="31" t="s">
        <v>44</v>
      </c>
      <c r="J210" s="31" t="s">
        <v>1628</v>
      </c>
      <c r="K210" s="31" t="s">
        <v>1629</v>
      </c>
      <c r="M210" s="31" t="s">
        <v>871</v>
      </c>
      <c r="O210" s="42">
        <v>44141</v>
      </c>
      <c r="P210" s="31" t="s">
        <v>669</v>
      </c>
      <c r="Q210" s="32">
        <v>200.5</v>
      </c>
      <c r="R210" s="48">
        <f>IFERROR(Q210/VLOOKUP(P210,'Exchange rates to USD'!$L$2:$N$225,3,FALSE),"")</f>
        <v>221.08512268537476</v>
      </c>
      <c r="S210" s="38"/>
      <c r="T210" s="38"/>
      <c r="U210" s="152"/>
      <c r="V210" s="152"/>
      <c r="W210" s="152"/>
    </row>
    <row r="211" spans="1:23" ht="13.25" customHeight="1" x14ac:dyDescent="0.25">
      <c r="A211" s="31" t="s">
        <v>1630</v>
      </c>
      <c r="B211" s="31" t="s">
        <v>631</v>
      </c>
      <c r="C211" s="31" t="s">
        <v>22</v>
      </c>
      <c r="D211" s="31" t="s">
        <v>13</v>
      </c>
      <c r="E211" s="31" t="s">
        <v>161</v>
      </c>
      <c r="F211" s="31" t="s">
        <v>1631</v>
      </c>
      <c r="G211" s="31" t="s">
        <v>3173</v>
      </c>
      <c r="H211" s="31" t="s">
        <v>809</v>
      </c>
      <c r="J211" s="31" t="s">
        <v>1632</v>
      </c>
      <c r="K211" s="31" t="s">
        <v>1629</v>
      </c>
      <c r="L211" s="31" t="s">
        <v>1633</v>
      </c>
      <c r="M211" s="31" t="s">
        <v>113</v>
      </c>
      <c r="O211" s="42">
        <v>44141</v>
      </c>
      <c r="P211" s="31" t="s">
        <v>669</v>
      </c>
      <c r="Q211" s="32">
        <v>73</v>
      </c>
      <c r="R211" s="48">
        <f>IFERROR(Q211/VLOOKUP(P211,'Exchange rates to USD'!$L$2:$N$225,3,FALSE),"")</f>
        <v>80.494832698415749</v>
      </c>
      <c r="S211" s="38"/>
      <c r="T211" s="38"/>
      <c r="U211" s="152"/>
      <c r="V211" s="152"/>
      <c r="W211" s="152"/>
    </row>
    <row r="212" spans="1:23" ht="13.25" customHeight="1" x14ac:dyDescent="0.25">
      <c r="A212" s="38" t="s">
        <v>1634</v>
      </c>
      <c r="B212" s="38" t="s">
        <v>631</v>
      </c>
      <c r="C212" s="38" t="s">
        <v>22</v>
      </c>
      <c r="D212" s="38" t="s">
        <v>872</v>
      </c>
      <c r="E212" s="38" t="s">
        <v>36</v>
      </c>
      <c r="F212" s="38" t="s">
        <v>2628</v>
      </c>
      <c r="G212" s="38" t="s">
        <v>25</v>
      </c>
      <c r="H212" s="38" t="s">
        <v>3173</v>
      </c>
      <c r="I212" s="38"/>
      <c r="J212" s="38" t="s">
        <v>1635</v>
      </c>
      <c r="K212" s="38" t="s">
        <v>1636</v>
      </c>
      <c r="L212" s="38" t="s">
        <v>1637</v>
      </c>
      <c r="M212" s="38" t="s">
        <v>113</v>
      </c>
      <c r="N212" s="38"/>
      <c r="O212" s="45">
        <v>44141</v>
      </c>
      <c r="P212" s="38" t="s">
        <v>669</v>
      </c>
      <c r="Q212" s="133">
        <v>0.4</v>
      </c>
      <c r="R212" s="89">
        <f>IFERROR(Q212/VLOOKUP(P212,'Exchange rates to USD'!$L$2:$N$225,3,FALSE),"")</f>
        <v>0.44106757642967531</v>
      </c>
      <c r="S212" s="38"/>
      <c r="T212" s="38"/>
      <c r="U212" s="152"/>
      <c r="V212" s="152"/>
      <c r="W212" s="152"/>
    </row>
    <row r="213" spans="1:23" x14ac:dyDescent="0.25">
      <c r="A213" s="38" t="s">
        <v>2626</v>
      </c>
      <c r="B213" s="38" t="s">
        <v>631</v>
      </c>
      <c r="C213" s="38" t="s">
        <v>22</v>
      </c>
      <c r="D213" s="38"/>
      <c r="E213" s="38" t="s">
        <v>36</v>
      </c>
      <c r="F213" s="38" t="s">
        <v>2629</v>
      </c>
      <c r="G213" s="38" t="s">
        <v>25</v>
      </c>
      <c r="H213" s="38" t="s">
        <v>3173</v>
      </c>
      <c r="I213" s="38"/>
      <c r="J213" s="38" t="s">
        <v>2630</v>
      </c>
      <c r="K213" s="137" t="s">
        <v>2631</v>
      </c>
      <c r="L213" s="134" t="s">
        <v>2632</v>
      </c>
      <c r="M213" s="38" t="s">
        <v>113</v>
      </c>
      <c r="N213" s="38"/>
      <c r="O213" s="45">
        <v>44141</v>
      </c>
      <c r="P213" s="38" t="s">
        <v>669</v>
      </c>
      <c r="Q213" s="60">
        <v>4</v>
      </c>
      <c r="R213" s="48">
        <f>IFERROR(Q213/VLOOKUP(P213,'Exchange rates to USD'!$L$2:$N$225,3,FALSE),"")</f>
        <v>4.4106757642967533</v>
      </c>
      <c r="S213" s="38"/>
      <c r="T213" s="38"/>
      <c r="U213" s="152"/>
      <c r="V213" s="152"/>
      <c r="W213" s="152"/>
    </row>
    <row r="214" spans="1:23" ht="12" x14ac:dyDescent="0.3">
      <c r="A214" s="34" t="s">
        <v>2863</v>
      </c>
      <c r="B214" s="34" t="s">
        <v>631</v>
      </c>
      <c r="C214" s="34" t="s">
        <v>12</v>
      </c>
      <c r="D214" s="34" t="s">
        <v>13</v>
      </c>
      <c r="E214" s="34" t="s">
        <v>14</v>
      </c>
      <c r="F214" s="34"/>
      <c r="G214" s="34" t="s">
        <v>25</v>
      </c>
      <c r="H214" s="34" t="s">
        <v>3173</v>
      </c>
      <c r="I214" s="34"/>
      <c r="J214" s="34" t="s">
        <v>2864</v>
      </c>
      <c r="K214" s="138" t="s">
        <v>2865</v>
      </c>
      <c r="L214" s="138" t="s">
        <v>2866</v>
      </c>
      <c r="M214" s="34" t="s">
        <v>101</v>
      </c>
      <c r="N214" s="34"/>
      <c r="O214" s="43">
        <v>44265</v>
      </c>
      <c r="P214" s="34"/>
      <c r="Q214" s="90"/>
      <c r="R214" s="34"/>
      <c r="S214" s="38"/>
      <c r="T214" s="38"/>
      <c r="U214" s="152"/>
      <c r="V214" s="152"/>
      <c r="W214" s="152"/>
    </row>
    <row r="215" spans="1:23" ht="13.25" customHeight="1" x14ac:dyDescent="0.25">
      <c r="A215" s="31" t="s">
        <v>671</v>
      </c>
      <c r="B215" s="31" t="s">
        <v>669</v>
      </c>
      <c r="C215" s="31" t="s">
        <v>22</v>
      </c>
      <c r="D215" s="31" t="s">
        <v>23</v>
      </c>
      <c r="E215" s="31" t="s">
        <v>3200</v>
      </c>
      <c r="F215" s="31" t="s">
        <v>2533</v>
      </c>
      <c r="G215" s="31" t="s">
        <v>3173</v>
      </c>
      <c r="J215" s="31" t="s">
        <v>2534</v>
      </c>
      <c r="K215" s="31" t="s">
        <v>700</v>
      </c>
      <c r="M215" s="31" t="s">
        <v>2542</v>
      </c>
      <c r="N215" s="31" t="s">
        <v>702</v>
      </c>
      <c r="P215" s="31" t="s">
        <v>669</v>
      </c>
      <c r="Q215" s="32">
        <v>202000</v>
      </c>
      <c r="R215" s="48">
        <f>IFERROR(Q215/VLOOKUP(P215,'Exchange rates to USD'!$L$2:$N$225,3,FALSE),"")</f>
        <v>222739.12609698603</v>
      </c>
      <c r="S215" s="38"/>
      <c r="T215" s="38"/>
      <c r="U215" s="152"/>
      <c r="V215" s="152"/>
      <c r="W215" s="152"/>
    </row>
    <row r="216" spans="1:23" ht="13.25" customHeight="1" x14ac:dyDescent="0.25">
      <c r="A216" s="31" t="s">
        <v>672</v>
      </c>
      <c r="B216" s="31" t="s">
        <v>669</v>
      </c>
      <c r="C216" s="31" t="s">
        <v>22</v>
      </c>
      <c r="D216" s="31" t="s">
        <v>13</v>
      </c>
      <c r="E216" s="31" t="s">
        <v>3200</v>
      </c>
      <c r="F216" s="31" t="s">
        <v>2538</v>
      </c>
      <c r="G216" s="31" t="s">
        <v>3173</v>
      </c>
      <c r="J216" s="31" t="s">
        <v>2536</v>
      </c>
      <c r="K216" s="31" t="s">
        <v>700</v>
      </c>
      <c r="M216" s="38" t="s">
        <v>2542</v>
      </c>
      <c r="N216" s="31" t="s">
        <v>702</v>
      </c>
      <c r="P216" s="31" t="s">
        <v>669</v>
      </c>
      <c r="Q216" s="32">
        <v>14250</v>
      </c>
      <c r="R216" s="48">
        <f>IFERROR(Q216/VLOOKUP(P216,'Exchange rates to USD'!$L$2:$N$225,3,FALSE),"")</f>
        <v>15713.032410307183</v>
      </c>
      <c r="S216" s="38"/>
      <c r="T216" s="38"/>
      <c r="U216" s="152"/>
      <c r="V216" s="152"/>
      <c r="W216" s="152"/>
    </row>
    <row r="217" spans="1:23" s="152" customFormat="1" ht="13.25" customHeight="1" x14ac:dyDescent="0.25">
      <c r="A217" s="152" t="s">
        <v>2540</v>
      </c>
      <c r="B217" s="152" t="s">
        <v>669</v>
      </c>
      <c r="C217" s="152" t="s">
        <v>22</v>
      </c>
      <c r="D217" s="152" t="s">
        <v>23</v>
      </c>
      <c r="E217" s="152" t="s">
        <v>3200</v>
      </c>
      <c r="F217" s="152" t="s">
        <v>2532</v>
      </c>
      <c r="J217" s="152" t="s">
        <v>2535</v>
      </c>
      <c r="M217" s="38" t="s">
        <v>2543</v>
      </c>
      <c r="O217" s="42"/>
      <c r="P217" s="152" t="s">
        <v>669</v>
      </c>
      <c r="Q217" s="32">
        <v>471000</v>
      </c>
      <c r="R217" s="60">
        <f>IFERROR(Q217/VLOOKUP(P217,'Exchange rates to USD'!$L$2:$N$225,3,FALSE),"")</f>
        <v>519357.07124594267</v>
      </c>
      <c r="S217" s="38"/>
      <c r="T217" s="38"/>
    </row>
    <row r="218" spans="1:23" s="152" customFormat="1" ht="13.25" customHeight="1" x14ac:dyDescent="0.25">
      <c r="A218" s="152" t="s">
        <v>2541</v>
      </c>
      <c r="B218" s="152" t="s">
        <v>669</v>
      </c>
      <c r="C218" s="152" t="s">
        <v>22</v>
      </c>
      <c r="D218" s="152" t="s">
        <v>13</v>
      </c>
      <c r="E218" s="152" t="s">
        <v>3200</v>
      </c>
      <c r="F218" s="152" t="s">
        <v>2539</v>
      </c>
      <c r="J218" s="152" t="s">
        <v>2537</v>
      </c>
      <c r="M218" s="38" t="s">
        <v>2543</v>
      </c>
      <c r="O218" s="42"/>
      <c r="P218" s="152" t="s">
        <v>669</v>
      </c>
      <c r="Q218" s="32">
        <v>33750</v>
      </c>
      <c r="R218" s="60">
        <f>IFERROR(Q218/VLOOKUP(P218,'Exchange rates to USD'!$L$2:$N$225,3,FALSE),"")</f>
        <v>37215.076761253855</v>
      </c>
      <c r="S218" s="38"/>
      <c r="T218" s="38"/>
    </row>
    <row r="219" spans="1:23" ht="13.25" customHeight="1" x14ac:dyDescent="0.25">
      <c r="A219" s="31" t="s">
        <v>673</v>
      </c>
      <c r="B219" s="31" t="s">
        <v>669</v>
      </c>
      <c r="C219" s="31" t="s">
        <v>22</v>
      </c>
      <c r="D219" s="31" t="s">
        <v>23</v>
      </c>
      <c r="E219" s="31" t="s">
        <v>3200</v>
      </c>
      <c r="F219" s="31" t="s">
        <v>682</v>
      </c>
      <c r="G219" s="31" t="s">
        <v>3173</v>
      </c>
      <c r="H219" s="31" t="s">
        <v>111</v>
      </c>
      <c r="I219" s="31" t="s">
        <v>41</v>
      </c>
      <c r="J219" s="31" t="s">
        <v>688</v>
      </c>
      <c r="K219" s="31" t="s">
        <v>700</v>
      </c>
      <c r="M219" s="31" t="s">
        <v>113</v>
      </c>
      <c r="N219" s="31" t="s">
        <v>702</v>
      </c>
      <c r="P219" s="31" t="s">
        <v>669</v>
      </c>
      <c r="Q219" s="32">
        <v>5000</v>
      </c>
      <c r="R219" s="48">
        <f>IFERROR(Q219/VLOOKUP(P219,'Exchange rates to USD'!$L$2:$N$225,3,FALSE),"")</f>
        <v>5513.3447053709415</v>
      </c>
      <c r="S219" s="38"/>
      <c r="T219" s="38"/>
      <c r="U219" s="152"/>
      <c r="V219" s="152"/>
      <c r="W219" s="152"/>
    </row>
    <row r="220" spans="1:23" ht="13.25" customHeight="1" x14ac:dyDescent="0.25">
      <c r="A220" s="31" t="s">
        <v>674</v>
      </c>
      <c r="B220" s="31" t="s">
        <v>669</v>
      </c>
      <c r="C220" s="1" t="s">
        <v>2530</v>
      </c>
      <c r="D220" s="31" t="s">
        <v>23</v>
      </c>
      <c r="E220" s="31" t="s">
        <v>3200</v>
      </c>
      <c r="F220" s="31" t="s">
        <v>683</v>
      </c>
      <c r="J220" s="31" t="s">
        <v>689</v>
      </c>
      <c r="K220" s="31" t="s">
        <v>700</v>
      </c>
      <c r="M220" s="31" t="s">
        <v>113</v>
      </c>
      <c r="N220" s="31" t="s">
        <v>702</v>
      </c>
      <c r="P220" s="31" t="s">
        <v>669</v>
      </c>
      <c r="Q220" s="32">
        <v>5600</v>
      </c>
      <c r="R220" s="48">
        <f>IFERROR(Q220/VLOOKUP(P220,'Exchange rates to USD'!$L$2:$N$225,3,FALSE),"")</f>
        <v>6174.9460700154541</v>
      </c>
      <c r="U220" s="152"/>
      <c r="V220" s="152"/>
      <c r="W220" s="152"/>
    </row>
    <row r="221" spans="1:23" ht="13.25" customHeight="1" x14ac:dyDescent="0.25">
      <c r="A221" s="31" t="s">
        <v>675</v>
      </c>
      <c r="B221" s="31" t="s">
        <v>669</v>
      </c>
      <c r="C221" s="1" t="s">
        <v>2530</v>
      </c>
      <c r="D221" s="31" t="s">
        <v>13</v>
      </c>
      <c r="E221" s="31" t="s">
        <v>88</v>
      </c>
      <c r="F221" s="31" t="s">
        <v>684</v>
      </c>
      <c r="G221" s="31" t="s">
        <v>3173</v>
      </c>
      <c r="H221" s="31" t="s">
        <v>685</v>
      </c>
      <c r="I221" s="31" t="s">
        <v>670</v>
      </c>
      <c r="J221" s="31" t="s">
        <v>701</v>
      </c>
      <c r="K221" s="31" t="s">
        <v>700</v>
      </c>
      <c r="M221" s="31" t="s">
        <v>113</v>
      </c>
      <c r="N221" s="31" t="s">
        <v>702</v>
      </c>
      <c r="P221" s="31" t="s">
        <v>669</v>
      </c>
      <c r="Q221" s="32">
        <v>7500</v>
      </c>
      <c r="R221" s="48">
        <f>IFERROR(Q221/VLOOKUP(P221,'Exchange rates to USD'!$L$2:$N$225,3,FALSE),"")</f>
        <v>8270.0170580564118</v>
      </c>
      <c r="U221" s="152"/>
      <c r="V221" s="152"/>
      <c r="W221" s="152"/>
    </row>
    <row r="222" spans="1:23" ht="13.25" customHeight="1" x14ac:dyDescent="0.25">
      <c r="A222" s="31" t="s">
        <v>676</v>
      </c>
      <c r="B222" s="31" t="s">
        <v>669</v>
      </c>
      <c r="C222" s="31" t="s">
        <v>84</v>
      </c>
      <c r="D222" s="31" t="s">
        <v>23</v>
      </c>
      <c r="E222" s="31" t="s">
        <v>3200</v>
      </c>
      <c r="F222" s="31" t="s">
        <v>686</v>
      </c>
      <c r="G222" s="31" t="s">
        <v>3173</v>
      </c>
      <c r="J222" s="31" t="s">
        <v>690</v>
      </c>
      <c r="K222" s="31" t="s">
        <v>700</v>
      </c>
      <c r="M222" s="31" t="s">
        <v>113</v>
      </c>
      <c r="N222" s="31" t="s">
        <v>702</v>
      </c>
      <c r="P222" s="31" t="s">
        <v>669</v>
      </c>
      <c r="Q222" s="32">
        <v>10000</v>
      </c>
      <c r="R222" s="48">
        <f>IFERROR(Q222/VLOOKUP(P222,'Exchange rates to USD'!$L$2:$N$225,3,FALSE),"")</f>
        <v>11026.689410741883</v>
      </c>
      <c r="U222" s="152"/>
      <c r="V222" s="152"/>
      <c r="W222" s="152"/>
    </row>
    <row r="223" spans="1:23" ht="13.25" customHeight="1" x14ac:dyDescent="0.25">
      <c r="A223" s="31" t="s">
        <v>677</v>
      </c>
      <c r="B223" s="31" t="s">
        <v>669</v>
      </c>
      <c r="C223" s="1" t="s">
        <v>2530</v>
      </c>
      <c r="D223" s="31" t="s">
        <v>23</v>
      </c>
      <c r="E223" s="31" t="s">
        <v>3200</v>
      </c>
      <c r="F223" s="31" t="s">
        <v>687</v>
      </c>
      <c r="G223" s="31" t="s">
        <v>3173</v>
      </c>
      <c r="J223" s="31" t="s">
        <v>691</v>
      </c>
      <c r="K223" s="31" t="s">
        <v>700</v>
      </c>
      <c r="M223" s="31" t="s">
        <v>113</v>
      </c>
      <c r="N223" s="31" t="s">
        <v>702</v>
      </c>
      <c r="P223" s="31" t="s">
        <v>669</v>
      </c>
      <c r="Q223" s="32">
        <v>1900</v>
      </c>
      <c r="R223" s="48">
        <f>IFERROR(Q223/VLOOKUP(P223,'Exchange rates to USD'!$L$2:$N$225,3,FALSE),"")</f>
        <v>2095.0709880409577</v>
      </c>
      <c r="U223" s="152"/>
      <c r="V223" s="152"/>
      <c r="W223" s="152"/>
    </row>
    <row r="224" spans="1:23" ht="13.25" customHeight="1" x14ac:dyDescent="0.25">
      <c r="A224" s="31" t="s">
        <v>678</v>
      </c>
      <c r="B224" s="31" t="s">
        <v>669</v>
      </c>
      <c r="C224" s="31" t="s">
        <v>2531</v>
      </c>
      <c r="D224" s="31" t="s">
        <v>23</v>
      </c>
      <c r="E224" s="31" t="s">
        <v>3200</v>
      </c>
      <c r="G224" s="31" t="s">
        <v>207</v>
      </c>
      <c r="H224" s="31" t="s">
        <v>3173</v>
      </c>
      <c r="J224" s="31" t="s">
        <v>692</v>
      </c>
      <c r="K224" s="31" t="s">
        <v>700</v>
      </c>
      <c r="M224" s="31" t="s">
        <v>113</v>
      </c>
      <c r="N224" s="31" t="s">
        <v>702</v>
      </c>
      <c r="P224" s="31" t="s">
        <v>669</v>
      </c>
      <c r="Q224" s="32">
        <v>0</v>
      </c>
      <c r="R224" s="48">
        <f>IFERROR(Q224/VLOOKUP(P224,'Exchange rates to USD'!$L$2:$N$225,3,FALSE),"")</f>
        <v>0</v>
      </c>
      <c r="U224" s="152"/>
      <c r="V224" s="152"/>
      <c r="W224" s="152"/>
    </row>
    <row r="225" spans="1:23" ht="13.25" customHeight="1" x14ac:dyDescent="0.25">
      <c r="A225" s="31" t="s">
        <v>679</v>
      </c>
      <c r="B225" s="31" t="s">
        <v>669</v>
      </c>
      <c r="C225" s="31" t="s">
        <v>22</v>
      </c>
      <c r="D225" s="31" t="s">
        <v>23</v>
      </c>
      <c r="E225" s="31" t="s">
        <v>3200</v>
      </c>
      <c r="F225" s="31" t="s">
        <v>694</v>
      </c>
      <c r="J225" s="31" t="s">
        <v>693</v>
      </c>
      <c r="K225" s="31" t="s">
        <v>699</v>
      </c>
      <c r="M225" s="31" t="s">
        <v>737</v>
      </c>
      <c r="N225" s="31" t="s">
        <v>703</v>
      </c>
      <c r="P225" s="31" t="s">
        <v>669</v>
      </c>
      <c r="Q225" s="32">
        <v>240000</v>
      </c>
      <c r="R225" s="48">
        <f>IFERROR(Q225/VLOOKUP(P225,'Exchange rates to USD'!$L$2:$N$225,3,FALSE),"")</f>
        <v>264640.54585780518</v>
      </c>
      <c r="U225" s="152"/>
      <c r="V225" s="152"/>
      <c r="W225" s="152"/>
    </row>
    <row r="226" spans="1:23" ht="13.25" customHeight="1" x14ac:dyDescent="0.25">
      <c r="A226" s="31" t="s">
        <v>680</v>
      </c>
      <c r="B226" s="31" t="s">
        <v>669</v>
      </c>
      <c r="C226" s="31" t="s">
        <v>22</v>
      </c>
      <c r="D226" s="31" t="s">
        <v>23</v>
      </c>
      <c r="E226" s="31" t="s">
        <v>3200</v>
      </c>
      <c r="F226" s="31" t="s">
        <v>695</v>
      </c>
      <c r="J226" s="31" t="s">
        <v>696</v>
      </c>
      <c r="K226" s="31" t="s">
        <v>699</v>
      </c>
      <c r="M226" s="31" t="s">
        <v>737</v>
      </c>
      <c r="N226" s="31" t="s">
        <v>703</v>
      </c>
      <c r="P226" s="31" t="s">
        <v>669</v>
      </c>
      <c r="Q226" s="32">
        <v>200000</v>
      </c>
      <c r="R226" s="48">
        <f>IFERROR(Q226/VLOOKUP(P226,'Exchange rates to USD'!$L$2:$N$225,3,FALSE),"")</f>
        <v>220533.78821483767</v>
      </c>
      <c r="U226" s="152"/>
      <c r="V226" s="152"/>
      <c r="W226" s="152"/>
    </row>
    <row r="227" spans="1:23" ht="13.25" customHeight="1" x14ac:dyDescent="0.25">
      <c r="A227" s="31" t="s">
        <v>681</v>
      </c>
      <c r="B227" s="31" t="s">
        <v>669</v>
      </c>
      <c r="C227" s="31" t="s">
        <v>22</v>
      </c>
      <c r="D227" s="31" t="s">
        <v>23</v>
      </c>
      <c r="E227" s="31" t="s">
        <v>3200</v>
      </c>
      <c r="F227" s="31" t="s">
        <v>694</v>
      </c>
      <c r="J227" s="31" t="s">
        <v>697</v>
      </c>
      <c r="K227" s="31" t="s">
        <v>699</v>
      </c>
      <c r="M227" s="31" t="s">
        <v>737</v>
      </c>
      <c r="N227" s="31" t="s">
        <v>703</v>
      </c>
      <c r="P227" s="31" t="s">
        <v>669</v>
      </c>
      <c r="Q227" s="32">
        <v>240000</v>
      </c>
      <c r="R227" s="48">
        <f>IFERROR(Q227/VLOOKUP(P227,'Exchange rates to USD'!$L$2:$N$225,3,FALSE),"")</f>
        <v>264640.54585780518</v>
      </c>
      <c r="U227" s="152"/>
      <c r="V227" s="152"/>
      <c r="W227" s="152"/>
    </row>
    <row r="228" spans="1:23" ht="13.25" customHeight="1" x14ac:dyDescent="0.25">
      <c r="A228" s="34" t="s">
        <v>1638</v>
      </c>
      <c r="B228" s="34" t="s">
        <v>669</v>
      </c>
      <c r="C228" s="34" t="s">
        <v>110</v>
      </c>
      <c r="D228" s="34" t="s">
        <v>1639</v>
      </c>
      <c r="E228" s="34" t="s">
        <v>3200</v>
      </c>
      <c r="F228" s="34" t="s">
        <v>1640</v>
      </c>
      <c r="G228" s="34" t="s">
        <v>3173</v>
      </c>
      <c r="H228" s="34" t="s">
        <v>25</v>
      </c>
      <c r="I228" s="34" t="s">
        <v>111</v>
      </c>
      <c r="J228" s="34" t="s">
        <v>1641</v>
      </c>
      <c r="K228" s="34" t="s">
        <v>1642</v>
      </c>
      <c r="L228" s="34"/>
      <c r="M228" s="34" t="s">
        <v>113</v>
      </c>
      <c r="N228" s="34"/>
      <c r="O228" s="43"/>
      <c r="P228" s="34" t="s">
        <v>669</v>
      </c>
      <c r="Q228" s="49">
        <v>1000</v>
      </c>
      <c r="R228" s="22">
        <f>IFERROR(Q228/VLOOKUP(P228,'Exchange rates to USD'!$L$2:$N$225,3,FALSE),"")</f>
        <v>1102.6689410741883</v>
      </c>
      <c r="U228" s="152"/>
      <c r="V228" s="152"/>
      <c r="W228" s="152"/>
    </row>
    <row r="229" spans="1:23" ht="13.25" customHeight="1" x14ac:dyDescent="0.25">
      <c r="A229" s="31" t="s">
        <v>567</v>
      </c>
      <c r="B229" s="31" t="s">
        <v>632</v>
      </c>
      <c r="C229" s="1" t="s">
        <v>2530</v>
      </c>
      <c r="D229" s="31" t="s">
        <v>23</v>
      </c>
      <c r="E229" s="31" t="s">
        <v>3200</v>
      </c>
      <c r="F229" s="31" t="s">
        <v>817</v>
      </c>
      <c r="G229" s="31" t="s">
        <v>3173</v>
      </c>
      <c r="H229" s="31" t="s">
        <v>41</v>
      </c>
      <c r="J229" s="31" t="s">
        <v>816</v>
      </c>
      <c r="K229" s="31" t="s">
        <v>568</v>
      </c>
      <c r="M229" s="31" t="s">
        <v>113</v>
      </c>
      <c r="P229" s="39" t="s">
        <v>669</v>
      </c>
      <c r="Q229" s="21">
        <v>5500</v>
      </c>
      <c r="R229" s="48">
        <f>IFERROR(Q229/VLOOKUP(P229,'Exchange rates to USD'!$L$2:$N$225,3,FALSE),"")</f>
        <v>6064.6791759080352</v>
      </c>
      <c r="T229" s="32"/>
      <c r="U229" s="152"/>
      <c r="V229" s="152"/>
      <c r="W229" s="152"/>
    </row>
    <row r="230" spans="1:23" ht="13.25" customHeight="1" x14ac:dyDescent="0.25">
      <c r="A230" s="31" t="s">
        <v>810</v>
      </c>
      <c r="B230" s="31" t="s">
        <v>632</v>
      </c>
      <c r="C230" s="31" t="s">
        <v>22</v>
      </c>
      <c r="D230" s="31" t="s">
        <v>13</v>
      </c>
      <c r="E230" s="31" t="s">
        <v>161</v>
      </c>
      <c r="F230" s="31" t="s">
        <v>2671</v>
      </c>
      <c r="G230" s="31" t="s">
        <v>3173</v>
      </c>
      <c r="H230" s="31" t="s">
        <v>25</v>
      </c>
      <c r="J230" s="31" t="s">
        <v>2637</v>
      </c>
      <c r="M230" s="31" t="s">
        <v>113</v>
      </c>
      <c r="O230" s="42">
        <v>44203</v>
      </c>
      <c r="P230" s="39" t="s">
        <v>669</v>
      </c>
      <c r="Q230" s="21">
        <v>45</v>
      </c>
      <c r="R230" s="48">
        <f>IFERROR(Q230/VLOOKUP(P230,'Exchange rates to USD'!$L$2:$N$225,3,FALSE),"")</f>
        <v>49.62010234833847</v>
      </c>
      <c r="U230" s="152"/>
      <c r="V230" s="152"/>
      <c r="W230" s="152"/>
    </row>
    <row r="231" spans="1:23" ht="13.25" customHeight="1" x14ac:dyDescent="0.25">
      <c r="A231" s="31" t="s">
        <v>811</v>
      </c>
      <c r="B231" s="31" t="s">
        <v>632</v>
      </c>
      <c r="C231" s="31" t="s">
        <v>110</v>
      </c>
      <c r="D231" s="31" t="s">
        <v>13</v>
      </c>
      <c r="E231" s="31" t="s">
        <v>14</v>
      </c>
      <c r="F231" s="31" t="s">
        <v>2670</v>
      </c>
      <c r="G231" s="31" t="s">
        <v>3173</v>
      </c>
      <c r="H231" s="31" t="s">
        <v>25</v>
      </c>
      <c r="J231" s="31" t="s">
        <v>2674</v>
      </c>
      <c r="M231" s="31" t="s">
        <v>113</v>
      </c>
      <c r="O231" s="42">
        <v>44203</v>
      </c>
      <c r="P231" s="39" t="s">
        <v>669</v>
      </c>
      <c r="Q231" s="21">
        <f>20+20</f>
        <v>40</v>
      </c>
      <c r="R231" s="48">
        <f>IFERROR(Q231/VLOOKUP(P231,'Exchange rates to USD'!$L$2:$N$225,3,FALSE),"")</f>
        <v>44.10675764296753</v>
      </c>
      <c r="U231" s="152"/>
      <c r="V231" s="152"/>
      <c r="W231" s="152"/>
    </row>
    <row r="232" spans="1:23" ht="13.25" customHeight="1" x14ac:dyDescent="0.25">
      <c r="A232" s="31" t="s">
        <v>812</v>
      </c>
      <c r="B232" s="31" t="s">
        <v>632</v>
      </c>
      <c r="C232" s="31" t="s">
        <v>22</v>
      </c>
      <c r="D232" s="31" t="s">
        <v>13</v>
      </c>
      <c r="E232" s="31" t="s">
        <v>191</v>
      </c>
      <c r="F232" s="31" t="s">
        <v>2672</v>
      </c>
      <c r="G232" s="31" t="s">
        <v>41</v>
      </c>
      <c r="H232" s="31" t="s">
        <v>670</v>
      </c>
      <c r="J232" s="31" t="s">
        <v>2673</v>
      </c>
      <c r="M232" s="31" t="s">
        <v>113</v>
      </c>
      <c r="O232" s="42">
        <v>44203</v>
      </c>
      <c r="P232" s="39" t="s">
        <v>669</v>
      </c>
      <c r="Q232" s="21">
        <v>33.9</v>
      </c>
      <c r="R232" s="48">
        <f>IFERROR(Q232/VLOOKUP(P232,'Exchange rates to USD'!$L$2:$N$225,3,FALSE),"")</f>
        <v>37.380477102414979</v>
      </c>
      <c r="U232" s="152"/>
      <c r="V232" s="152"/>
      <c r="W232" s="152"/>
    </row>
    <row r="233" spans="1:23" ht="13.25" customHeight="1" x14ac:dyDescent="0.25">
      <c r="A233" s="31" t="s">
        <v>813</v>
      </c>
      <c r="B233" s="31" t="s">
        <v>632</v>
      </c>
      <c r="C233" s="31" t="s">
        <v>2530</v>
      </c>
      <c r="D233" s="31" t="s">
        <v>13</v>
      </c>
      <c r="E233" s="31" t="s">
        <v>161</v>
      </c>
      <c r="F233" s="31" t="s">
        <v>2634</v>
      </c>
      <c r="G233" s="31" t="s">
        <v>3173</v>
      </c>
      <c r="J233" s="31" t="s">
        <v>2635</v>
      </c>
      <c r="K233" s="64" t="s">
        <v>2636</v>
      </c>
      <c r="M233" s="31" t="s">
        <v>871</v>
      </c>
      <c r="O233" s="42">
        <v>44203</v>
      </c>
      <c r="P233" s="39" t="s">
        <v>669</v>
      </c>
      <c r="Q233" s="21">
        <v>5</v>
      </c>
      <c r="R233" s="48">
        <f>IFERROR(Q233/VLOOKUP(P233,'Exchange rates to USD'!$L$2:$N$225,3,FALSE),"")</f>
        <v>5.5133447053709412</v>
      </c>
      <c r="U233" s="152"/>
      <c r="V233" s="152"/>
      <c r="W233" s="152"/>
    </row>
    <row r="234" spans="1:23" ht="13.25" customHeight="1" x14ac:dyDescent="0.25">
      <c r="A234" s="31" t="s">
        <v>814</v>
      </c>
      <c r="B234" s="31" t="s">
        <v>632</v>
      </c>
      <c r="C234" s="31" t="s">
        <v>22</v>
      </c>
      <c r="D234" s="31" t="s">
        <v>13</v>
      </c>
      <c r="E234" s="31" t="s">
        <v>36</v>
      </c>
      <c r="F234" s="31" t="s">
        <v>2675</v>
      </c>
      <c r="G234" s="31" t="s">
        <v>3173</v>
      </c>
      <c r="H234" s="31" t="s">
        <v>25</v>
      </c>
      <c r="J234" s="31" t="s">
        <v>2676</v>
      </c>
      <c r="M234" s="31" t="s">
        <v>113</v>
      </c>
      <c r="O234" s="42">
        <v>44203</v>
      </c>
      <c r="P234" s="39" t="s">
        <v>669</v>
      </c>
      <c r="Q234" s="21">
        <v>118</v>
      </c>
      <c r="R234" s="48">
        <f>IFERROR(Q234/VLOOKUP(P234,'Exchange rates to USD'!$L$2:$N$225,3,FALSE),"")</f>
        <v>130.11493504675423</v>
      </c>
      <c r="U234" s="152"/>
      <c r="V234" s="152"/>
      <c r="W234" s="152"/>
    </row>
    <row r="235" spans="1:23" ht="13.25" customHeight="1" x14ac:dyDescent="0.25">
      <c r="A235" s="31" t="s">
        <v>815</v>
      </c>
      <c r="B235" s="31" t="s">
        <v>632</v>
      </c>
      <c r="C235" s="31" t="s">
        <v>22</v>
      </c>
      <c r="D235" s="31" t="s">
        <v>13</v>
      </c>
      <c r="E235" s="31" t="s">
        <v>36</v>
      </c>
      <c r="F235" s="31" t="s">
        <v>1644</v>
      </c>
      <c r="G235" s="31" t="s">
        <v>3173</v>
      </c>
      <c r="H235" s="31" t="s">
        <v>25</v>
      </c>
      <c r="J235" s="31" t="s">
        <v>2638</v>
      </c>
      <c r="M235" s="31" t="s">
        <v>113</v>
      </c>
      <c r="O235" s="42">
        <v>44203</v>
      </c>
      <c r="P235" s="39" t="s">
        <v>669</v>
      </c>
      <c r="Q235" s="21">
        <v>755.8</v>
      </c>
      <c r="R235" s="48">
        <f>IFERROR(Q235/VLOOKUP(P235,'Exchange rates to USD'!$L$2:$N$225,3,FALSE),"")</f>
        <v>833.39718566387148</v>
      </c>
      <c r="U235" s="152"/>
      <c r="V235" s="152"/>
      <c r="W235" s="152"/>
    </row>
    <row r="236" spans="1:23" ht="13.25" customHeight="1" x14ac:dyDescent="0.25">
      <c r="A236" s="31" t="s">
        <v>1645</v>
      </c>
      <c r="B236" s="31" t="s">
        <v>632</v>
      </c>
      <c r="C236" s="31" t="s">
        <v>22</v>
      </c>
      <c r="D236" s="31" t="s">
        <v>13</v>
      </c>
      <c r="E236" s="31" t="s">
        <v>36</v>
      </c>
      <c r="F236" s="31" t="s">
        <v>2677</v>
      </c>
      <c r="G236" s="31" t="s">
        <v>3173</v>
      </c>
      <c r="H236" s="31" t="s">
        <v>25</v>
      </c>
      <c r="J236" s="31" t="s">
        <v>2678</v>
      </c>
      <c r="M236" s="31" t="s">
        <v>113</v>
      </c>
      <c r="P236" s="39" t="s">
        <v>669</v>
      </c>
      <c r="Q236" s="21">
        <v>2.5</v>
      </c>
      <c r="R236" s="48">
        <f>IFERROR(Q236/VLOOKUP(P236,'Exchange rates to USD'!$L$2:$N$225,3,FALSE),"")</f>
        <v>2.7566723526854706</v>
      </c>
      <c r="U236" s="152"/>
      <c r="V236" s="152"/>
      <c r="W236" s="152"/>
    </row>
    <row r="237" spans="1:23" ht="13.25" customHeight="1" x14ac:dyDescent="0.25">
      <c r="A237" s="31" t="s">
        <v>1646</v>
      </c>
      <c r="B237" s="31" t="s">
        <v>632</v>
      </c>
      <c r="C237" s="31" t="s">
        <v>22</v>
      </c>
      <c r="D237" s="31" t="s">
        <v>23</v>
      </c>
      <c r="F237" s="31" t="s">
        <v>921</v>
      </c>
      <c r="G237" s="31" t="s">
        <v>44</v>
      </c>
      <c r="J237" s="31" t="s">
        <v>1647</v>
      </c>
      <c r="K237" s="31" t="s">
        <v>1648</v>
      </c>
      <c r="M237" s="31" t="s">
        <v>871</v>
      </c>
      <c r="P237" s="39" t="s">
        <v>669</v>
      </c>
      <c r="Q237" s="21">
        <v>100</v>
      </c>
      <c r="R237" s="48">
        <f>IFERROR(Q237/VLOOKUP(P237,'Exchange rates to USD'!$L$2:$N$225,3,FALSE),"")</f>
        <v>110.26689410741884</v>
      </c>
      <c r="U237" s="152"/>
      <c r="V237" s="152"/>
      <c r="W237" s="152"/>
    </row>
    <row r="238" spans="1:23" ht="13.25" customHeight="1" x14ac:dyDescent="0.25">
      <c r="A238" s="31" t="s">
        <v>1649</v>
      </c>
      <c r="B238" s="31" t="s">
        <v>632</v>
      </c>
      <c r="C238" s="31" t="s">
        <v>22</v>
      </c>
      <c r="D238" s="31" t="s">
        <v>13</v>
      </c>
      <c r="E238" s="31" t="s">
        <v>98</v>
      </c>
      <c r="F238" s="31" t="s">
        <v>610</v>
      </c>
      <c r="G238" s="31" t="s">
        <v>3173</v>
      </c>
      <c r="J238" s="31" t="s">
        <v>1650</v>
      </c>
      <c r="K238" s="31" t="s">
        <v>1651</v>
      </c>
      <c r="M238" s="31" t="s">
        <v>113</v>
      </c>
      <c r="N238" s="31" t="s">
        <v>2514</v>
      </c>
      <c r="P238" s="39" t="s">
        <v>669</v>
      </c>
      <c r="Q238" s="21">
        <v>300</v>
      </c>
      <c r="R238" s="48">
        <f>IFERROR(Q238/VLOOKUP(P238,'Exchange rates to USD'!$L$2:$N$225,3,FALSE),"")</f>
        <v>330.80068232225648</v>
      </c>
      <c r="U238" s="152"/>
      <c r="V238" s="152"/>
      <c r="W238" s="152"/>
    </row>
    <row r="239" spans="1:23" ht="13.25" customHeight="1" x14ac:dyDescent="0.25">
      <c r="A239" s="31" t="s">
        <v>1652</v>
      </c>
      <c r="B239" s="31" t="s">
        <v>632</v>
      </c>
      <c r="C239" s="31" t="s">
        <v>22</v>
      </c>
      <c r="D239" s="31" t="s">
        <v>13</v>
      </c>
      <c r="F239" s="31" t="s">
        <v>1643</v>
      </c>
      <c r="G239" s="31" t="s">
        <v>41</v>
      </c>
      <c r="H239" s="31" t="s">
        <v>3173</v>
      </c>
      <c r="J239" s="31" t="s">
        <v>1653</v>
      </c>
      <c r="K239" s="64" t="s">
        <v>2633</v>
      </c>
      <c r="M239" s="31" t="s">
        <v>113</v>
      </c>
      <c r="O239" s="42">
        <v>44203</v>
      </c>
      <c r="P239" s="39" t="s">
        <v>669</v>
      </c>
      <c r="Q239" s="21">
        <v>20</v>
      </c>
      <c r="R239" s="48">
        <f>IFERROR(Q239/VLOOKUP(P239,'Exchange rates to USD'!$L$2:$N$225,3,FALSE),"")</f>
        <v>22.053378821483765</v>
      </c>
      <c r="U239" s="152"/>
      <c r="V239" s="152"/>
      <c r="W239" s="152"/>
    </row>
    <row r="240" spans="1:23" ht="13.25" customHeight="1" x14ac:dyDescent="0.25">
      <c r="A240" s="31" t="s">
        <v>1654</v>
      </c>
      <c r="B240" s="31" t="s">
        <v>632</v>
      </c>
      <c r="C240" s="31" t="s">
        <v>22</v>
      </c>
      <c r="D240" s="31" t="s">
        <v>23</v>
      </c>
      <c r="E240" s="31" t="s">
        <v>3200</v>
      </c>
      <c r="F240" s="31" t="s">
        <v>2681</v>
      </c>
      <c r="G240" s="31" t="s">
        <v>207</v>
      </c>
      <c r="H240" s="31" t="s">
        <v>207</v>
      </c>
      <c r="J240" s="31" t="s">
        <v>2679</v>
      </c>
      <c r="K240" s="31" t="s">
        <v>2680</v>
      </c>
      <c r="M240" s="31" t="s">
        <v>113</v>
      </c>
      <c r="O240" s="42">
        <v>44203</v>
      </c>
      <c r="P240" s="39" t="s">
        <v>669</v>
      </c>
      <c r="Q240" s="21">
        <v>1</v>
      </c>
      <c r="R240" s="48">
        <f>IFERROR(Q240/VLOOKUP(P240,'Exchange rates to USD'!$L$2:$N$225,3,FALSE),"")</f>
        <v>1.1026689410741883</v>
      </c>
      <c r="U240" s="152"/>
      <c r="V240" s="152"/>
      <c r="W240" s="152"/>
    </row>
    <row r="241" spans="1:24" ht="13.25" customHeight="1" x14ac:dyDescent="0.25">
      <c r="A241" s="31" t="s">
        <v>1655</v>
      </c>
      <c r="B241" s="31" t="s">
        <v>632</v>
      </c>
      <c r="C241" s="31" t="s">
        <v>22</v>
      </c>
      <c r="D241" s="31" t="s">
        <v>13</v>
      </c>
      <c r="E241" s="31" t="s">
        <v>14</v>
      </c>
      <c r="F241" s="31" t="s">
        <v>2683</v>
      </c>
      <c r="G241" s="31" t="s">
        <v>3173</v>
      </c>
      <c r="H241" s="31" t="s">
        <v>25</v>
      </c>
      <c r="J241" s="31" t="s">
        <v>2682</v>
      </c>
      <c r="K241" s="64" t="s">
        <v>2686</v>
      </c>
      <c r="M241" s="31" t="s">
        <v>113</v>
      </c>
      <c r="O241" s="42">
        <v>44203</v>
      </c>
      <c r="P241" s="39" t="s">
        <v>669</v>
      </c>
      <c r="Q241" s="21">
        <v>3</v>
      </c>
      <c r="R241" s="48">
        <f>IFERROR(Q241/VLOOKUP(P241,'Exchange rates to USD'!$L$2:$N$225,3,FALSE),"")</f>
        <v>3.308006823222565</v>
      </c>
      <c r="U241" s="152"/>
      <c r="V241" s="152"/>
      <c r="W241" s="152"/>
    </row>
    <row r="242" spans="1:24" ht="13.25" customHeight="1" x14ac:dyDescent="0.25">
      <c r="A242" s="31" t="s">
        <v>1656</v>
      </c>
      <c r="B242" s="31" t="s">
        <v>632</v>
      </c>
      <c r="C242" s="31" t="s">
        <v>22</v>
      </c>
      <c r="D242" s="31" t="s">
        <v>13</v>
      </c>
      <c r="E242" s="31" t="s">
        <v>14</v>
      </c>
      <c r="F242" s="31" t="s">
        <v>1659</v>
      </c>
      <c r="G242" s="31" t="s">
        <v>670</v>
      </c>
      <c r="J242" s="31" t="s">
        <v>2684</v>
      </c>
      <c r="K242" s="64" t="s">
        <v>2685</v>
      </c>
      <c r="M242" s="31" t="s">
        <v>113</v>
      </c>
      <c r="O242" s="42">
        <v>44203</v>
      </c>
      <c r="P242" s="39" t="s">
        <v>669</v>
      </c>
      <c r="Q242" s="21">
        <v>10</v>
      </c>
      <c r="R242" s="48">
        <f>IFERROR(Q242/VLOOKUP(P242,'Exchange rates to USD'!$L$2:$N$225,3,FALSE),"")</f>
        <v>11.026689410741882</v>
      </c>
      <c r="U242" s="152"/>
      <c r="V242" s="152"/>
      <c r="W242" s="152"/>
    </row>
    <row r="243" spans="1:24" ht="13.25" customHeight="1" x14ac:dyDescent="0.25">
      <c r="A243" s="31" t="s">
        <v>1657</v>
      </c>
      <c r="B243" s="31" t="s">
        <v>632</v>
      </c>
      <c r="C243" s="31" t="s">
        <v>12</v>
      </c>
      <c r="D243" s="31" t="s">
        <v>13</v>
      </c>
      <c r="E243" s="31" t="s">
        <v>161</v>
      </c>
      <c r="F243" s="31" t="s">
        <v>2688</v>
      </c>
      <c r="G243" s="31" t="s">
        <v>44</v>
      </c>
      <c r="J243" s="31" t="s">
        <v>2687</v>
      </c>
      <c r="M243" s="31" t="s">
        <v>871</v>
      </c>
      <c r="O243" s="42">
        <v>44203</v>
      </c>
      <c r="P243" s="39" t="s">
        <v>669</v>
      </c>
      <c r="Q243" s="21">
        <v>0.8</v>
      </c>
      <c r="R243" s="48">
        <f>IFERROR(Q243/VLOOKUP(P243,'Exchange rates to USD'!$L$2:$N$225,3,FALSE),"")</f>
        <v>0.88213515285935062</v>
      </c>
      <c r="U243" s="152"/>
      <c r="V243" s="152"/>
      <c r="W243" s="152"/>
    </row>
    <row r="244" spans="1:24" ht="13.25" customHeight="1" x14ac:dyDescent="0.25">
      <c r="A244" s="31" t="s">
        <v>1658</v>
      </c>
      <c r="B244" s="31" t="s">
        <v>632</v>
      </c>
      <c r="C244" s="31" t="s">
        <v>22</v>
      </c>
      <c r="E244" s="31" t="s">
        <v>161</v>
      </c>
      <c r="F244" s="31" t="s">
        <v>2692</v>
      </c>
      <c r="G244" s="31" t="s">
        <v>3173</v>
      </c>
      <c r="J244" s="31" t="s">
        <v>2689</v>
      </c>
      <c r="M244" s="31" t="s">
        <v>871</v>
      </c>
      <c r="O244" s="42">
        <v>44203</v>
      </c>
      <c r="P244" s="39" t="s">
        <v>669</v>
      </c>
      <c r="Q244" s="21">
        <v>340</v>
      </c>
      <c r="R244" s="48">
        <f>IFERROR(Q244/VLOOKUP(P244,'Exchange rates to USD'!$L$2:$N$225,3,FALSE),"")</f>
        <v>374.907439965224</v>
      </c>
      <c r="U244" s="152"/>
      <c r="V244" s="152"/>
      <c r="W244" s="152"/>
    </row>
    <row r="245" spans="1:24" ht="13.25" customHeight="1" x14ac:dyDescent="0.25">
      <c r="A245" s="31" t="s">
        <v>1660</v>
      </c>
      <c r="B245" s="31" t="s">
        <v>632</v>
      </c>
      <c r="C245" s="31" t="s">
        <v>22</v>
      </c>
      <c r="E245" s="31" t="s">
        <v>161</v>
      </c>
      <c r="F245" s="31" t="s">
        <v>2691</v>
      </c>
      <c r="G245" s="31" t="s">
        <v>3173</v>
      </c>
      <c r="J245" s="31" t="s">
        <v>2690</v>
      </c>
      <c r="M245" s="31" t="s">
        <v>871</v>
      </c>
      <c r="O245" s="42">
        <v>44203</v>
      </c>
      <c r="P245" s="39" t="s">
        <v>669</v>
      </c>
      <c r="Q245" s="21">
        <v>2</v>
      </c>
      <c r="R245" s="48">
        <f>IFERROR(Q245/VLOOKUP(P245,'Exchange rates to USD'!$L$2:$N$225,3,FALSE),"")</f>
        <v>2.2053378821483767</v>
      </c>
      <c r="U245" s="152"/>
      <c r="V245" s="152"/>
      <c r="W245" s="152"/>
    </row>
    <row r="246" spans="1:24" ht="13.25" customHeight="1" x14ac:dyDescent="0.25">
      <c r="A246" s="31" t="s">
        <v>1661</v>
      </c>
      <c r="B246" s="31" t="s">
        <v>632</v>
      </c>
      <c r="C246" s="31" t="s">
        <v>22</v>
      </c>
      <c r="E246" s="31" t="s">
        <v>161</v>
      </c>
      <c r="F246" s="31" t="s">
        <v>2694</v>
      </c>
      <c r="G246" s="31" t="s">
        <v>3173</v>
      </c>
      <c r="J246" s="31" t="s">
        <v>2693</v>
      </c>
      <c r="M246" s="31" t="s">
        <v>871</v>
      </c>
      <c r="O246" s="42">
        <v>44203</v>
      </c>
      <c r="P246" s="39" t="s">
        <v>669</v>
      </c>
      <c r="Q246" s="21">
        <v>8</v>
      </c>
      <c r="R246" s="48">
        <f>IFERROR(Q246/VLOOKUP(P246,'Exchange rates to USD'!$L$2:$N$225,3,FALSE),"")</f>
        <v>8.8213515285935067</v>
      </c>
      <c r="U246" s="152"/>
      <c r="V246" s="152"/>
      <c r="W246" s="152"/>
    </row>
    <row r="247" spans="1:24" ht="13.25" customHeight="1" x14ac:dyDescent="0.25">
      <c r="A247" s="38" t="s">
        <v>1662</v>
      </c>
      <c r="B247" s="38" t="s">
        <v>632</v>
      </c>
      <c r="C247" s="38" t="s">
        <v>22</v>
      </c>
      <c r="D247" s="38"/>
      <c r="E247" s="38" t="s">
        <v>161</v>
      </c>
      <c r="F247" s="38" t="s">
        <v>2696</v>
      </c>
      <c r="G247" s="38" t="s">
        <v>3173</v>
      </c>
      <c r="H247" s="38"/>
      <c r="I247" s="38"/>
      <c r="J247" s="38" t="s">
        <v>2695</v>
      </c>
      <c r="K247" s="101" t="s">
        <v>2697</v>
      </c>
      <c r="L247" s="38"/>
      <c r="M247" s="38" t="s">
        <v>871</v>
      </c>
      <c r="N247" s="38"/>
      <c r="O247" s="45">
        <v>44203</v>
      </c>
      <c r="P247" s="102" t="s">
        <v>669</v>
      </c>
      <c r="Q247" s="63">
        <v>12</v>
      </c>
      <c r="R247" s="48">
        <f>IFERROR(Q247/VLOOKUP(P247,'Exchange rates to USD'!$L$2:$N$225,3,FALSE),"")</f>
        <v>13.23202729289026</v>
      </c>
      <c r="U247" s="152"/>
      <c r="V247" s="152"/>
      <c r="W247" s="152"/>
    </row>
    <row r="248" spans="1:24" s="38" customFormat="1" ht="13.25" customHeight="1" x14ac:dyDescent="0.25">
      <c r="A248" s="31" t="s">
        <v>2718</v>
      </c>
      <c r="B248" s="38" t="s">
        <v>632</v>
      </c>
      <c r="C248" s="38" t="s">
        <v>22</v>
      </c>
      <c r="D248" s="38" t="s">
        <v>13</v>
      </c>
      <c r="E248" s="38" t="s">
        <v>258</v>
      </c>
      <c r="F248" s="31" t="s">
        <v>2703</v>
      </c>
      <c r="G248" s="38" t="s">
        <v>3173</v>
      </c>
      <c r="H248" s="38" t="s">
        <v>25</v>
      </c>
      <c r="J248" s="31" t="s">
        <v>2709</v>
      </c>
      <c r="K248" s="31" t="s">
        <v>2708</v>
      </c>
      <c r="L248" s="31"/>
      <c r="M248" s="38" t="s">
        <v>101</v>
      </c>
      <c r="O248" s="42">
        <v>44154</v>
      </c>
      <c r="P248" s="102" t="s">
        <v>669</v>
      </c>
      <c r="Q248" s="21">
        <v>24.8</v>
      </c>
      <c r="R248" s="48">
        <f>IFERROR(Q248/VLOOKUP(P248,'Exchange rates to USD'!$L$2:$N$225,3,FALSE),"")</f>
        <v>27.346189738639872</v>
      </c>
      <c r="U248" s="152"/>
      <c r="V248" s="152"/>
      <c r="W248" s="152"/>
    </row>
    <row r="249" spans="1:24" s="38" customFormat="1" ht="13.25" customHeight="1" x14ac:dyDescent="0.25">
      <c r="A249" s="31" t="s">
        <v>2719</v>
      </c>
      <c r="B249" s="38" t="s">
        <v>632</v>
      </c>
      <c r="C249" s="38" t="s">
        <v>110</v>
      </c>
      <c r="D249" s="38" t="s">
        <v>13</v>
      </c>
      <c r="E249" s="38" t="s">
        <v>258</v>
      </c>
      <c r="F249" s="31" t="s">
        <v>2704</v>
      </c>
      <c r="G249" s="38" t="s">
        <v>3173</v>
      </c>
      <c r="H249" s="38" t="s">
        <v>25</v>
      </c>
      <c r="J249" s="31" t="s">
        <v>2710</v>
      </c>
      <c r="K249" s="31" t="s">
        <v>2708</v>
      </c>
      <c r="L249" s="31"/>
      <c r="M249" s="38" t="s">
        <v>871</v>
      </c>
      <c r="O249" s="42">
        <v>44154</v>
      </c>
      <c r="P249" s="102" t="s">
        <v>669</v>
      </c>
      <c r="Q249" s="21">
        <v>20.75</v>
      </c>
      <c r="R249" s="48">
        <f>IFERROR(Q249/VLOOKUP(P249,'Exchange rates to USD'!$L$2:$N$225,3,FALSE),"")</f>
        <v>22.880380527289407</v>
      </c>
      <c r="U249" s="152"/>
      <c r="V249" s="152"/>
      <c r="W249" s="152"/>
    </row>
    <row r="250" spans="1:24" s="38" customFormat="1" ht="13.25" customHeight="1" x14ac:dyDescent="0.25">
      <c r="A250" s="31" t="s">
        <v>2720</v>
      </c>
      <c r="B250" s="38" t="s">
        <v>632</v>
      </c>
      <c r="C250" s="38" t="s">
        <v>22</v>
      </c>
      <c r="D250" s="38" t="s">
        <v>13</v>
      </c>
      <c r="E250" s="38" t="s">
        <v>172</v>
      </c>
      <c r="F250" s="31" t="s">
        <v>2705</v>
      </c>
      <c r="G250" s="38" t="s">
        <v>3173</v>
      </c>
      <c r="J250" s="31" t="s">
        <v>2711</v>
      </c>
      <c r="K250" s="31" t="s">
        <v>2708</v>
      </c>
      <c r="L250" s="31"/>
      <c r="M250" s="38" t="s">
        <v>101</v>
      </c>
      <c r="O250" s="42">
        <v>44154</v>
      </c>
      <c r="P250" s="102" t="s">
        <v>669</v>
      </c>
      <c r="Q250" s="21">
        <v>2.9</v>
      </c>
      <c r="R250" s="48">
        <f>IFERROR(Q250/VLOOKUP(P250,'Exchange rates to USD'!$L$2:$N$225,3,FALSE),"")</f>
        <v>3.197739929115146</v>
      </c>
      <c r="U250" s="152"/>
      <c r="V250" s="152"/>
      <c r="W250" s="152"/>
    </row>
    <row r="251" spans="1:24" s="38" customFormat="1" ht="13.25" customHeight="1" x14ac:dyDescent="0.25">
      <c r="A251" s="38" t="s">
        <v>2721</v>
      </c>
      <c r="B251" s="38" t="s">
        <v>632</v>
      </c>
      <c r="C251" s="38" t="s">
        <v>22</v>
      </c>
      <c r="D251" s="38" t="s">
        <v>13</v>
      </c>
      <c r="E251" s="38" t="s">
        <v>98</v>
      </c>
      <c r="F251" s="31" t="s">
        <v>1659</v>
      </c>
      <c r="G251" s="38" t="s">
        <v>3173</v>
      </c>
      <c r="H251" s="38" t="s">
        <v>3173</v>
      </c>
      <c r="J251" s="31" t="s">
        <v>2712</v>
      </c>
      <c r="K251" s="31" t="s">
        <v>2708</v>
      </c>
      <c r="L251" s="31"/>
      <c r="M251" s="38" t="s">
        <v>113</v>
      </c>
      <c r="O251" s="42">
        <v>44154</v>
      </c>
      <c r="P251" s="102" t="s">
        <v>669</v>
      </c>
      <c r="Q251" s="21">
        <v>10</v>
      </c>
      <c r="R251" s="48">
        <f>IFERROR(Q251/VLOOKUP(P251,'Exchange rates to USD'!$L$2:$N$225,3,FALSE),"")</f>
        <v>11.026689410741882</v>
      </c>
      <c r="U251" s="152"/>
      <c r="V251" s="152"/>
      <c r="W251" s="152"/>
    </row>
    <row r="252" spans="1:24" s="38" customFormat="1" ht="13.25" customHeight="1" x14ac:dyDescent="0.25">
      <c r="A252" s="31" t="s">
        <v>2722</v>
      </c>
      <c r="B252" s="38" t="s">
        <v>632</v>
      </c>
      <c r="C252" s="38" t="s">
        <v>110</v>
      </c>
      <c r="D252" s="38" t="s">
        <v>23</v>
      </c>
      <c r="F252" s="31" t="s">
        <v>1643</v>
      </c>
      <c r="G252" s="38" t="s">
        <v>3173</v>
      </c>
      <c r="H252" s="38" t="s">
        <v>3173</v>
      </c>
      <c r="I252" s="38" t="s">
        <v>44</v>
      </c>
      <c r="J252" s="31" t="s">
        <v>2713</v>
      </c>
      <c r="K252" s="31" t="s">
        <v>2708</v>
      </c>
      <c r="L252" s="31"/>
      <c r="M252" s="38" t="s">
        <v>113</v>
      </c>
      <c r="O252" s="42">
        <v>44154</v>
      </c>
      <c r="P252" s="102" t="s">
        <v>669</v>
      </c>
      <c r="Q252" s="21">
        <v>20</v>
      </c>
      <c r="R252" s="48">
        <f>IFERROR(Q252/VLOOKUP(P252,'Exchange rates to USD'!$L$2:$N$225,3,FALSE),"")</f>
        <v>22.053378821483765</v>
      </c>
      <c r="U252" s="152"/>
      <c r="V252" s="152"/>
      <c r="W252" s="152"/>
    </row>
    <row r="253" spans="1:24" s="38" customFormat="1" ht="13.25" customHeight="1" x14ac:dyDescent="0.25">
      <c r="A253" s="31" t="s">
        <v>2723</v>
      </c>
      <c r="B253" s="38" t="s">
        <v>632</v>
      </c>
      <c r="C253" s="38" t="s">
        <v>22</v>
      </c>
      <c r="D253" s="38" t="s">
        <v>13</v>
      </c>
      <c r="E253" s="38" t="s">
        <v>172</v>
      </c>
      <c r="F253" s="31" t="s">
        <v>2706</v>
      </c>
      <c r="G253" s="38" t="s">
        <v>3173</v>
      </c>
      <c r="J253" s="31" t="s">
        <v>2714</v>
      </c>
      <c r="K253" s="31" t="s">
        <v>2708</v>
      </c>
      <c r="L253" s="64" t="s">
        <v>2715</v>
      </c>
      <c r="M253" s="38" t="s">
        <v>101</v>
      </c>
      <c r="O253" s="42">
        <v>44154</v>
      </c>
      <c r="P253" s="102" t="s">
        <v>669</v>
      </c>
      <c r="Q253" s="21">
        <v>700</v>
      </c>
      <c r="R253" s="48">
        <f>IFERROR(Q253/VLOOKUP(P253,'Exchange rates to USD'!$L$2:$N$225,3,FALSE),"")</f>
        <v>771.86825875193176</v>
      </c>
      <c r="U253" s="152"/>
      <c r="V253" s="152"/>
      <c r="W253" s="152"/>
    </row>
    <row r="254" spans="1:24" s="38" customFormat="1" ht="13.25" customHeight="1" x14ac:dyDescent="0.25">
      <c r="A254" s="34" t="s">
        <v>2724</v>
      </c>
      <c r="B254" s="34" t="s">
        <v>632</v>
      </c>
      <c r="C254" s="34" t="s">
        <v>22</v>
      </c>
      <c r="D254" s="34" t="s">
        <v>13</v>
      </c>
      <c r="E254" s="34" t="s">
        <v>172</v>
      </c>
      <c r="F254" s="34" t="s">
        <v>2707</v>
      </c>
      <c r="G254" s="34" t="s">
        <v>3173</v>
      </c>
      <c r="H254" s="153"/>
      <c r="I254" s="34"/>
      <c r="J254" s="34" t="s">
        <v>2716</v>
      </c>
      <c r="K254" s="34" t="s">
        <v>2708</v>
      </c>
      <c r="L254" s="100" t="s">
        <v>2717</v>
      </c>
      <c r="M254" s="34" t="s">
        <v>101</v>
      </c>
      <c r="N254" s="34"/>
      <c r="O254" s="43">
        <v>44154</v>
      </c>
      <c r="P254" s="41" t="s">
        <v>669</v>
      </c>
      <c r="Q254" s="61">
        <v>599.999999</v>
      </c>
      <c r="R254" s="22">
        <f>IFERROR(Q254/VLOOKUP(P254,'Exchange rates to USD'!$L$2:$N$225,3,FALSE),"")</f>
        <v>661.60136354184408</v>
      </c>
      <c r="U254" s="152"/>
      <c r="V254" s="152"/>
      <c r="W254" s="152"/>
    </row>
    <row r="255" spans="1:24" ht="13.25" customHeight="1" x14ac:dyDescent="0.25">
      <c r="A255" s="46" t="s">
        <v>547</v>
      </c>
      <c r="B255" s="31" t="s">
        <v>633</v>
      </c>
      <c r="C255" s="31" t="s">
        <v>110</v>
      </c>
      <c r="D255" s="31" t="s">
        <v>13</v>
      </c>
      <c r="E255" s="31" t="s">
        <v>98</v>
      </c>
      <c r="F255" s="31" t="s">
        <v>2895</v>
      </c>
      <c r="G255" s="31" t="s">
        <v>3173</v>
      </c>
      <c r="H255" s="31" t="s">
        <v>25</v>
      </c>
      <c r="J255" s="31" t="s">
        <v>882</v>
      </c>
      <c r="K255" s="31" t="s">
        <v>548</v>
      </c>
      <c r="M255" s="31" t="s">
        <v>113</v>
      </c>
      <c r="N255" s="31" t="s">
        <v>883</v>
      </c>
      <c r="O255" s="42">
        <v>44266</v>
      </c>
      <c r="P255" s="31" t="s">
        <v>669</v>
      </c>
      <c r="Q255" s="32">
        <v>690</v>
      </c>
      <c r="R255" s="48">
        <f>IFERROR(Q255/VLOOKUP(P255,'Exchange rates to USD'!$L$2:$N$225,3,FALSE),"")</f>
        <v>760.84156934118994</v>
      </c>
      <c r="U255" s="152"/>
      <c r="V255" s="152"/>
      <c r="W255" s="152"/>
      <c r="X255" s="32"/>
    </row>
    <row r="256" spans="1:24" ht="13.25" customHeight="1" x14ac:dyDescent="0.25">
      <c r="A256" s="38" t="s">
        <v>549</v>
      </c>
      <c r="B256" s="31" t="s">
        <v>633</v>
      </c>
      <c r="C256" s="31" t="s">
        <v>110</v>
      </c>
      <c r="D256" s="31" t="s">
        <v>13</v>
      </c>
      <c r="E256" s="31" t="s">
        <v>36</v>
      </c>
      <c r="F256" s="31" t="s">
        <v>2896</v>
      </c>
      <c r="G256" s="31" t="s">
        <v>3173</v>
      </c>
      <c r="H256" s="31" t="s">
        <v>25</v>
      </c>
      <c r="J256" s="31" t="s">
        <v>554</v>
      </c>
      <c r="M256" s="31" t="s">
        <v>113</v>
      </c>
      <c r="O256" s="42">
        <v>44266</v>
      </c>
      <c r="P256" s="31" t="s">
        <v>669</v>
      </c>
      <c r="Q256" s="32">
        <v>150</v>
      </c>
      <c r="R256" s="48">
        <f>IFERROR(Q256/VLOOKUP(P256,'Exchange rates to USD'!$L$2:$N$225,3,FALSE),"")</f>
        <v>165.40034116112824</v>
      </c>
      <c r="U256" s="152"/>
      <c r="V256" s="152"/>
      <c r="W256" s="152"/>
    </row>
    <row r="257" spans="1:23" ht="13.25" customHeight="1" x14ac:dyDescent="0.25">
      <c r="A257" s="38" t="s">
        <v>550</v>
      </c>
      <c r="B257" s="31" t="s">
        <v>633</v>
      </c>
      <c r="C257" s="31" t="s">
        <v>2530</v>
      </c>
      <c r="D257" s="31" t="s">
        <v>13</v>
      </c>
      <c r="E257" s="31" t="s">
        <v>36</v>
      </c>
      <c r="F257" s="31" t="s">
        <v>921</v>
      </c>
      <c r="G257" s="31" t="s">
        <v>3173</v>
      </c>
      <c r="H257" s="31" t="s">
        <v>25</v>
      </c>
      <c r="J257" s="31" t="s">
        <v>2898</v>
      </c>
      <c r="M257" s="31" t="s">
        <v>113</v>
      </c>
      <c r="N257" s="31" t="s">
        <v>2897</v>
      </c>
      <c r="O257" s="42">
        <v>44266</v>
      </c>
      <c r="P257" s="31" t="s">
        <v>669</v>
      </c>
      <c r="Q257" s="32">
        <v>100</v>
      </c>
      <c r="R257" s="48">
        <f>IFERROR(Q257/VLOOKUP(P257,'Exchange rates to USD'!$L$2:$N$225,3,FALSE),"")</f>
        <v>110.26689410741884</v>
      </c>
      <c r="U257" s="152"/>
      <c r="V257" s="152"/>
      <c r="W257" s="152"/>
    </row>
    <row r="258" spans="1:23" ht="13.25" customHeight="1" x14ac:dyDescent="0.25">
      <c r="A258" s="38" t="s">
        <v>551</v>
      </c>
      <c r="B258" s="31" t="s">
        <v>633</v>
      </c>
      <c r="C258" s="31" t="s">
        <v>22</v>
      </c>
      <c r="D258" s="31" t="s">
        <v>13</v>
      </c>
      <c r="E258" s="31" t="s">
        <v>36</v>
      </c>
      <c r="F258" s="31" t="s">
        <v>2899</v>
      </c>
      <c r="G258" s="31" t="s">
        <v>3173</v>
      </c>
      <c r="H258" s="31" t="s">
        <v>25</v>
      </c>
      <c r="J258" s="31" t="s">
        <v>557</v>
      </c>
      <c r="K258" s="31" t="s">
        <v>548</v>
      </c>
      <c r="M258" s="31" t="s">
        <v>871</v>
      </c>
      <c r="N258" s="31" t="s">
        <v>883</v>
      </c>
      <c r="O258" s="42">
        <v>44266</v>
      </c>
      <c r="P258" s="31" t="s">
        <v>669</v>
      </c>
      <c r="Q258" s="32">
        <v>5000</v>
      </c>
      <c r="R258" s="48">
        <f>IFERROR(Q258/VLOOKUP(P258,'Exchange rates to USD'!$L$2:$N$225,3,FALSE),"")</f>
        <v>5513.3447053709415</v>
      </c>
      <c r="U258" s="152"/>
      <c r="V258" s="152"/>
      <c r="W258" s="152"/>
    </row>
    <row r="259" spans="1:23" ht="13.25" customHeight="1" x14ac:dyDescent="0.25">
      <c r="A259" s="38" t="s">
        <v>552</v>
      </c>
      <c r="B259" s="31" t="s">
        <v>633</v>
      </c>
      <c r="C259" s="31" t="s">
        <v>22</v>
      </c>
      <c r="D259" s="31" t="s">
        <v>13</v>
      </c>
      <c r="E259" s="31" t="s">
        <v>172</v>
      </c>
      <c r="F259" s="31" t="s">
        <v>2900</v>
      </c>
      <c r="G259" s="31" t="s">
        <v>3173</v>
      </c>
      <c r="J259" s="31" t="s">
        <v>1663</v>
      </c>
      <c r="K259" s="31" t="s">
        <v>559</v>
      </c>
      <c r="M259" s="31" t="s">
        <v>871</v>
      </c>
      <c r="N259" s="31" t="s">
        <v>885</v>
      </c>
      <c r="O259" s="42" t="s">
        <v>884</v>
      </c>
      <c r="P259" s="152" t="s">
        <v>669</v>
      </c>
      <c r="Q259" s="32">
        <v>7000</v>
      </c>
      <c r="R259" s="48">
        <f>IFERROR(Q259/VLOOKUP(P259,'Exchange rates to USD'!$L$2:$N$225,3,FALSE),"")</f>
        <v>7718.6825875193181</v>
      </c>
      <c r="U259" s="152"/>
      <c r="V259" s="152"/>
      <c r="W259" s="152"/>
    </row>
    <row r="260" spans="1:23" ht="13.25" customHeight="1" x14ac:dyDescent="0.25">
      <c r="A260" s="38" t="s">
        <v>553</v>
      </c>
      <c r="B260" s="31" t="s">
        <v>633</v>
      </c>
      <c r="C260" s="31" t="s">
        <v>22</v>
      </c>
      <c r="D260" s="31" t="s">
        <v>13</v>
      </c>
      <c r="E260" s="31" t="s">
        <v>36</v>
      </c>
      <c r="F260" s="31" t="s">
        <v>2901</v>
      </c>
      <c r="G260" s="31" t="s">
        <v>3173</v>
      </c>
      <c r="H260" s="31" t="s">
        <v>25</v>
      </c>
      <c r="J260" s="31" t="s">
        <v>562</v>
      </c>
      <c r="K260" s="31" t="s">
        <v>563</v>
      </c>
      <c r="M260" s="31" t="s">
        <v>113</v>
      </c>
      <c r="N260" s="64" t="s">
        <v>563</v>
      </c>
      <c r="O260" s="42">
        <v>44266</v>
      </c>
      <c r="P260" s="31" t="s">
        <v>669</v>
      </c>
      <c r="Q260" s="32">
        <v>60</v>
      </c>
      <c r="R260" s="48">
        <f>IFERROR(Q260/VLOOKUP(P260,'Exchange rates to USD'!$L$2:$N$225,3,FALSE),"")</f>
        <v>66.160136464451298</v>
      </c>
      <c r="U260" s="152"/>
      <c r="V260" s="152"/>
      <c r="W260" s="152"/>
    </row>
    <row r="261" spans="1:23" ht="13.25" customHeight="1" x14ac:dyDescent="0.25">
      <c r="A261" s="38" t="s">
        <v>555</v>
      </c>
      <c r="B261" s="31" t="s">
        <v>633</v>
      </c>
      <c r="C261" s="31" t="s">
        <v>22</v>
      </c>
      <c r="D261" s="31" t="s">
        <v>13</v>
      </c>
      <c r="E261" s="31" t="s">
        <v>161</v>
      </c>
      <c r="F261" s="31" t="s">
        <v>886</v>
      </c>
      <c r="G261" s="31" t="s">
        <v>3173</v>
      </c>
      <c r="H261" s="31" t="s">
        <v>25</v>
      </c>
      <c r="J261" s="31" t="s">
        <v>887</v>
      </c>
      <c r="K261" s="31" t="s">
        <v>888</v>
      </c>
      <c r="L261" s="31" t="s">
        <v>888</v>
      </c>
      <c r="M261" s="31" t="s">
        <v>113</v>
      </c>
      <c r="N261" s="31" t="s">
        <v>889</v>
      </c>
      <c r="O261" s="42" t="s">
        <v>884</v>
      </c>
      <c r="P261" s="31" t="s">
        <v>669</v>
      </c>
      <c r="Q261" s="32">
        <v>4000</v>
      </c>
      <c r="R261" s="48">
        <f>IFERROR(Q261/VLOOKUP(P261,'Exchange rates to USD'!$L$2:$N$225,3,FALSE),"")</f>
        <v>4410.6757642967532</v>
      </c>
      <c r="U261" s="152"/>
      <c r="V261" s="152"/>
      <c r="W261" s="152"/>
    </row>
    <row r="262" spans="1:23" ht="13.25" customHeight="1" x14ac:dyDescent="0.25">
      <c r="A262" s="38" t="s">
        <v>556</v>
      </c>
      <c r="B262" s="31" t="s">
        <v>633</v>
      </c>
      <c r="C262" s="31" t="s">
        <v>22</v>
      </c>
      <c r="D262" s="31" t="s">
        <v>13</v>
      </c>
      <c r="E262" s="31" t="s">
        <v>161</v>
      </c>
      <c r="F262" s="31" t="s">
        <v>891</v>
      </c>
      <c r="G262" s="31" t="s">
        <v>3173</v>
      </c>
      <c r="H262" s="31" t="s">
        <v>25</v>
      </c>
      <c r="J262" s="31" t="s">
        <v>892</v>
      </c>
      <c r="K262" s="31" t="s">
        <v>888</v>
      </c>
      <c r="L262" s="31" t="s">
        <v>888</v>
      </c>
      <c r="M262" s="31" t="s">
        <v>113</v>
      </c>
      <c r="N262" s="31" t="s">
        <v>889</v>
      </c>
      <c r="O262" s="42" t="s">
        <v>884</v>
      </c>
      <c r="P262" s="31" t="s">
        <v>669</v>
      </c>
      <c r="Q262" s="32">
        <v>500</v>
      </c>
      <c r="R262" s="48">
        <f>IFERROR(Q262/VLOOKUP(P262,'Exchange rates to USD'!$L$2:$N$225,3,FALSE),"")</f>
        <v>551.33447053709415</v>
      </c>
      <c r="U262" s="152"/>
      <c r="V262" s="152"/>
      <c r="W262" s="152"/>
    </row>
    <row r="263" spans="1:23" ht="13.25" customHeight="1" x14ac:dyDescent="0.25">
      <c r="A263" s="38" t="s">
        <v>558</v>
      </c>
      <c r="B263" s="31" t="s">
        <v>633</v>
      </c>
      <c r="C263" s="31" t="s">
        <v>22</v>
      </c>
      <c r="D263" s="31" t="s">
        <v>13</v>
      </c>
      <c r="E263" s="31" t="s">
        <v>161</v>
      </c>
      <c r="F263" s="31" t="s">
        <v>894</v>
      </c>
      <c r="G263" s="31" t="s">
        <v>3173</v>
      </c>
      <c r="H263" s="31" t="s">
        <v>25</v>
      </c>
      <c r="J263" s="31" t="s">
        <v>895</v>
      </c>
      <c r="K263" s="31" t="s">
        <v>888</v>
      </c>
      <c r="L263" s="31" t="s">
        <v>888</v>
      </c>
      <c r="M263" s="31" t="s">
        <v>113</v>
      </c>
      <c r="N263" s="31" t="s">
        <v>889</v>
      </c>
      <c r="O263" s="42" t="s">
        <v>884</v>
      </c>
      <c r="P263" s="31" t="s">
        <v>669</v>
      </c>
      <c r="Q263" s="32">
        <v>200</v>
      </c>
      <c r="R263" s="48">
        <f>IFERROR(Q263/VLOOKUP(P263,'Exchange rates to USD'!$L$2:$N$225,3,FALSE),"")</f>
        <v>220.53378821483767</v>
      </c>
      <c r="U263" s="152"/>
      <c r="V263" s="152"/>
      <c r="W263" s="152"/>
    </row>
    <row r="264" spans="1:23" ht="13.25" customHeight="1" x14ac:dyDescent="0.25">
      <c r="A264" s="38" t="s">
        <v>560</v>
      </c>
      <c r="B264" s="31" t="s">
        <v>633</v>
      </c>
      <c r="C264" s="31" t="s">
        <v>22</v>
      </c>
      <c r="D264" s="31" t="s">
        <v>13</v>
      </c>
      <c r="E264" s="31" t="s">
        <v>161</v>
      </c>
      <c r="F264" s="31" t="s">
        <v>897</v>
      </c>
      <c r="G264" s="31" t="s">
        <v>3173</v>
      </c>
      <c r="H264" s="31" t="s">
        <v>25</v>
      </c>
      <c r="J264" s="31" t="s">
        <v>898</v>
      </c>
      <c r="K264" s="31" t="s">
        <v>888</v>
      </c>
      <c r="L264" s="31" t="s">
        <v>888</v>
      </c>
      <c r="M264" s="31" t="s">
        <v>113</v>
      </c>
      <c r="N264" s="31" t="s">
        <v>889</v>
      </c>
      <c r="O264" s="42" t="s">
        <v>884</v>
      </c>
      <c r="P264" s="31" t="s">
        <v>669</v>
      </c>
      <c r="Q264" s="32">
        <v>2000</v>
      </c>
      <c r="R264" s="48">
        <f>IFERROR(Q264/VLOOKUP(P264,'Exchange rates to USD'!$L$2:$N$225,3,FALSE),"")</f>
        <v>2205.3378821483766</v>
      </c>
      <c r="U264" s="152"/>
      <c r="V264" s="152"/>
      <c r="W264" s="152"/>
    </row>
    <row r="265" spans="1:23" ht="13.25" customHeight="1" x14ac:dyDescent="0.25">
      <c r="A265" s="38" t="s">
        <v>561</v>
      </c>
      <c r="B265" s="31" t="s">
        <v>633</v>
      </c>
      <c r="C265" s="31" t="s">
        <v>2531</v>
      </c>
      <c r="D265" s="31" t="s">
        <v>13</v>
      </c>
      <c r="E265" s="31" t="s">
        <v>3200</v>
      </c>
      <c r="F265" s="31" t="s">
        <v>900</v>
      </c>
      <c r="G265" s="31" t="s">
        <v>41</v>
      </c>
      <c r="H265" s="31" t="s">
        <v>3173</v>
      </c>
      <c r="J265" s="31" t="s">
        <v>901</v>
      </c>
      <c r="K265" s="31" t="s">
        <v>888</v>
      </c>
      <c r="M265" s="31" t="s">
        <v>113</v>
      </c>
      <c r="N265" s="31" t="s">
        <v>889</v>
      </c>
      <c r="O265" s="42" t="s">
        <v>884</v>
      </c>
      <c r="P265" s="31" t="s">
        <v>669</v>
      </c>
      <c r="Q265" s="32">
        <v>650</v>
      </c>
      <c r="R265" s="48">
        <f>IFERROR(Q265/VLOOKUP(P265,'Exchange rates to USD'!$L$2:$N$225,3,FALSE),"")</f>
        <v>716.73481169822242</v>
      </c>
      <c r="U265" s="152"/>
      <c r="V265" s="152"/>
      <c r="W265" s="152"/>
    </row>
    <row r="266" spans="1:23" ht="13.25" customHeight="1" x14ac:dyDescent="0.25">
      <c r="A266" s="38" t="s">
        <v>564</v>
      </c>
      <c r="B266" s="31" t="s">
        <v>633</v>
      </c>
      <c r="C266" s="31" t="s">
        <v>22</v>
      </c>
      <c r="D266" s="31" t="s">
        <v>13</v>
      </c>
      <c r="E266" s="31" t="s">
        <v>3200</v>
      </c>
      <c r="F266" s="31" t="s">
        <v>903</v>
      </c>
      <c r="G266" s="31" t="s">
        <v>41</v>
      </c>
      <c r="H266" s="31" t="s">
        <v>809</v>
      </c>
      <c r="J266" s="31" t="s">
        <v>904</v>
      </c>
      <c r="K266" s="31" t="s">
        <v>888</v>
      </c>
      <c r="M266" s="31" t="s">
        <v>113</v>
      </c>
      <c r="N266" s="31" t="s">
        <v>889</v>
      </c>
      <c r="O266" s="42">
        <v>44266</v>
      </c>
      <c r="P266" s="31" t="s">
        <v>669</v>
      </c>
      <c r="Q266" s="32">
        <v>300</v>
      </c>
      <c r="R266" s="48">
        <f>IFERROR(Q266/VLOOKUP(P266,'Exchange rates to USD'!$L$2:$N$225,3,FALSE),"")</f>
        <v>330.80068232225648</v>
      </c>
      <c r="U266" s="152"/>
      <c r="V266" s="152"/>
      <c r="W266" s="152"/>
    </row>
    <row r="267" spans="1:23" ht="13.25" customHeight="1" x14ac:dyDescent="0.25">
      <c r="A267" s="38" t="s">
        <v>2329</v>
      </c>
      <c r="B267" s="31" t="s">
        <v>633</v>
      </c>
      <c r="C267" s="31" t="s">
        <v>22</v>
      </c>
      <c r="D267" s="31" t="s">
        <v>13</v>
      </c>
      <c r="E267" s="31" t="s">
        <v>619</v>
      </c>
      <c r="F267" s="31" t="s">
        <v>903</v>
      </c>
      <c r="G267" s="31" t="s">
        <v>670</v>
      </c>
      <c r="H267" s="31" t="s">
        <v>41</v>
      </c>
      <c r="I267" s="31" t="s">
        <v>809</v>
      </c>
      <c r="J267" s="31" t="s">
        <v>907</v>
      </c>
      <c r="K267" s="31" t="s">
        <v>888</v>
      </c>
      <c r="M267" s="31" t="s">
        <v>113</v>
      </c>
      <c r="N267" s="31" t="s">
        <v>889</v>
      </c>
      <c r="O267" s="42">
        <v>44266</v>
      </c>
      <c r="P267" s="31" t="s">
        <v>669</v>
      </c>
      <c r="Q267" s="32">
        <v>300</v>
      </c>
      <c r="R267" s="48">
        <f>IFERROR(Q267/VLOOKUP(P267,'Exchange rates to USD'!$L$2:$N$225,3,FALSE),"")</f>
        <v>330.80068232225648</v>
      </c>
      <c r="U267" s="152"/>
      <c r="V267" s="152"/>
      <c r="W267" s="152"/>
    </row>
    <row r="268" spans="1:23" ht="13.25" customHeight="1" x14ac:dyDescent="0.25">
      <c r="A268" s="38" t="s">
        <v>565</v>
      </c>
      <c r="B268" s="31" t="s">
        <v>633</v>
      </c>
      <c r="C268" s="1" t="s">
        <v>22</v>
      </c>
      <c r="D268" s="31" t="s">
        <v>13</v>
      </c>
      <c r="E268" s="31" t="s">
        <v>98</v>
      </c>
      <c r="F268" s="31" t="s">
        <v>909</v>
      </c>
      <c r="G268" s="31" t="s">
        <v>3173</v>
      </c>
      <c r="J268" s="31" t="s">
        <v>910</v>
      </c>
      <c r="K268" s="31" t="s">
        <v>888</v>
      </c>
      <c r="M268" s="31" t="s">
        <v>113</v>
      </c>
      <c r="N268" s="31" t="s">
        <v>889</v>
      </c>
      <c r="O268" s="42">
        <v>44266</v>
      </c>
      <c r="P268" s="31" t="s">
        <v>669</v>
      </c>
      <c r="Q268" s="32">
        <v>1200</v>
      </c>
      <c r="R268" s="48">
        <f>IFERROR(Q268/VLOOKUP(P268,'Exchange rates to USD'!$L$2:$N$225,3,FALSE),"")</f>
        <v>1323.2027292890259</v>
      </c>
      <c r="U268" s="152"/>
      <c r="V268" s="152"/>
      <c r="W268" s="152"/>
    </row>
    <row r="269" spans="1:23" ht="13.25" customHeight="1" x14ac:dyDescent="0.25">
      <c r="A269" s="38" t="s">
        <v>566</v>
      </c>
      <c r="B269" s="31" t="s">
        <v>633</v>
      </c>
      <c r="C269" s="1" t="s">
        <v>22</v>
      </c>
      <c r="D269" s="31" t="s">
        <v>13</v>
      </c>
      <c r="E269" s="31" t="s">
        <v>98</v>
      </c>
      <c r="F269" s="31" t="s">
        <v>912</v>
      </c>
      <c r="G269" s="31" t="s">
        <v>111</v>
      </c>
      <c r="H269" s="31" t="s">
        <v>3173</v>
      </c>
      <c r="I269" s="31" t="s">
        <v>44</v>
      </c>
      <c r="J269" s="31" t="s">
        <v>913</v>
      </c>
      <c r="M269" s="31" t="s">
        <v>113</v>
      </c>
      <c r="N269" s="31" t="s">
        <v>889</v>
      </c>
      <c r="O269" s="42">
        <v>44266</v>
      </c>
      <c r="P269" s="31" t="s">
        <v>669</v>
      </c>
      <c r="Q269" s="32">
        <v>226</v>
      </c>
      <c r="R269" s="48">
        <f>IFERROR(Q269/VLOOKUP(P269,'Exchange rates to USD'!$L$2:$N$225,3,FALSE),"")</f>
        <v>249.20318068276654</v>
      </c>
      <c r="U269" s="152"/>
      <c r="V269" s="152"/>
      <c r="W269" s="152"/>
    </row>
    <row r="270" spans="1:23" ht="13.25" customHeight="1" x14ac:dyDescent="0.25">
      <c r="A270" s="38" t="s">
        <v>890</v>
      </c>
      <c r="B270" s="31" t="s">
        <v>633</v>
      </c>
      <c r="C270" s="1" t="s">
        <v>22</v>
      </c>
      <c r="D270" s="31" t="s">
        <v>13</v>
      </c>
      <c r="E270" s="31" t="s">
        <v>98</v>
      </c>
      <c r="F270" s="31" t="s">
        <v>915</v>
      </c>
      <c r="G270" s="31" t="s">
        <v>111</v>
      </c>
      <c r="H270" s="31" t="s">
        <v>3173</v>
      </c>
      <c r="I270" s="31" t="s">
        <v>44</v>
      </c>
      <c r="J270" s="31" t="s">
        <v>916</v>
      </c>
      <c r="K270" s="31" t="s">
        <v>888</v>
      </c>
      <c r="M270" s="31" t="s">
        <v>113</v>
      </c>
      <c r="N270" s="31" t="s">
        <v>889</v>
      </c>
      <c r="O270" s="42">
        <v>44266</v>
      </c>
      <c r="P270" s="31" t="s">
        <v>669</v>
      </c>
      <c r="Q270" s="32">
        <v>274</v>
      </c>
      <c r="R270" s="48">
        <f>IFERROR(Q270/VLOOKUP(P270,'Exchange rates to USD'!$L$2:$N$225,3,FALSE),"")</f>
        <v>302.13128985432758</v>
      </c>
      <c r="U270" s="152"/>
      <c r="V270" s="152"/>
      <c r="W270" s="152"/>
    </row>
    <row r="271" spans="1:23" ht="13.25" customHeight="1" x14ac:dyDescent="0.25">
      <c r="A271" s="38" t="s">
        <v>893</v>
      </c>
      <c r="B271" s="31" t="s">
        <v>633</v>
      </c>
      <c r="C271" s="1" t="s">
        <v>2530</v>
      </c>
      <c r="D271" s="31" t="s">
        <v>13</v>
      </c>
      <c r="E271" s="31" t="s">
        <v>88</v>
      </c>
      <c r="F271" s="31" t="s">
        <v>918</v>
      </c>
      <c r="G271" s="31" t="s">
        <v>41</v>
      </c>
      <c r="H271" s="31" t="s">
        <v>3173</v>
      </c>
      <c r="I271" s="31" t="s">
        <v>809</v>
      </c>
      <c r="J271" s="31" t="s">
        <v>919</v>
      </c>
      <c r="K271" s="31" t="s">
        <v>888</v>
      </c>
      <c r="M271" s="31" t="s">
        <v>113</v>
      </c>
      <c r="N271" s="31" t="s">
        <v>889</v>
      </c>
      <c r="O271" s="42" t="s">
        <v>884</v>
      </c>
      <c r="P271" s="31" t="s">
        <v>669</v>
      </c>
      <c r="Q271" s="32">
        <v>400</v>
      </c>
      <c r="R271" s="48">
        <f>IFERROR(Q271/VLOOKUP(P271,'Exchange rates to USD'!$L$2:$N$225,3,FALSE),"")</f>
        <v>441.06757642967534</v>
      </c>
      <c r="U271" s="152"/>
      <c r="V271" s="152"/>
      <c r="W271" s="152"/>
    </row>
    <row r="272" spans="1:23" ht="13.25" customHeight="1" x14ac:dyDescent="0.25">
      <c r="A272" s="38" t="s">
        <v>896</v>
      </c>
      <c r="B272" s="31" t="s">
        <v>633</v>
      </c>
      <c r="C272" s="1" t="s">
        <v>22</v>
      </c>
      <c r="D272" s="31" t="s">
        <v>13</v>
      </c>
      <c r="E272" s="31" t="s">
        <v>88</v>
      </c>
      <c r="F272" s="31" t="s">
        <v>921</v>
      </c>
      <c r="G272" s="31" t="s">
        <v>3173</v>
      </c>
      <c r="H272" s="31" t="s">
        <v>41</v>
      </c>
      <c r="J272" s="31" t="s">
        <v>922</v>
      </c>
      <c r="K272" s="64" t="s">
        <v>888</v>
      </c>
      <c r="M272" s="31" t="s">
        <v>113</v>
      </c>
      <c r="N272" s="31" t="s">
        <v>889</v>
      </c>
      <c r="O272" s="132">
        <v>44266</v>
      </c>
      <c r="P272" s="31" t="s">
        <v>669</v>
      </c>
      <c r="Q272" s="32">
        <v>100</v>
      </c>
      <c r="R272" s="48">
        <f>IFERROR(Q272/VLOOKUP(P272,'Exchange rates to USD'!$L$2:$N$225,3,FALSE),"")</f>
        <v>110.26689410741884</v>
      </c>
      <c r="U272" s="152"/>
      <c r="V272" s="152"/>
      <c r="W272" s="152"/>
    </row>
    <row r="273" spans="1:23" ht="13.25" customHeight="1" x14ac:dyDescent="0.25">
      <c r="A273" s="38" t="s">
        <v>899</v>
      </c>
      <c r="B273" s="31" t="s">
        <v>633</v>
      </c>
      <c r="C273" s="1" t="s">
        <v>2530</v>
      </c>
      <c r="D273" s="31" t="s">
        <v>13</v>
      </c>
      <c r="E273" s="31" t="s">
        <v>88</v>
      </c>
      <c r="F273" s="31" t="s">
        <v>924</v>
      </c>
      <c r="G273" s="31" t="s">
        <v>44</v>
      </c>
      <c r="J273" s="31" t="s">
        <v>925</v>
      </c>
      <c r="K273" s="31" t="s">
        <v>888</v>
      </c>
      <c r="M273" s="31" t="s">
        <v>737</v>
      </c>
      <c r="N273" s="31" t="s">
        <v>889</v>
      </c>
      <c r="O273" s="132">
        <v>44266</v>
      </c>
      <c r="P273" s="31" t="s">
        <v>669</v>
      </c>
      <c r="Q273" s="32">
        <v>250</v>
      </c>
      <c r="R273" s="48">
        <f>IFERROR(Q273/VLOOKUP(P273,'Exchange rates to USD'!$L$2:$N$225,3,FALSE),"")</f>
        <v>275.66723526854707</v>
      </c>
      <c r="U273" s="152"/>
      <c r="V273" s="152"/>
      <c r="W273" s="152"/>
    </row>
    <row r="274" spans="1:23" ht="13.25" customHeight="1" x14ac:dyDescent="0.25">
      <c r="A274" s="38" t="s">
        <v>902</v>
      </c>
      <c r="B274" s="31" t="s">
        <v>633</v>
      </c>
      <c r="C274" s="1" t="s">
        <v>22</v>
      </c>
      <c r="D274" s="31" t="s">
        <v>13</v>
      </c>
      <c r="E274" s="31" t="s">
        <v>88</v>
      </c>
      <c r="F274" s="31" t="s">
        <v>924</v>
      </c>
      <c r="G274" s="31" t="s">
        <v>41</v>
      </c>
      <c r="H274" s="31" t="s">
        <v>809</v>
      </c>
      <c r="I274" s="31" t="s">
        <v>44</v>
      </c>
      <c r="J274" s="31" t="s">
        <v>927</v>
      </c>
      <c r="K274" s="31" t="s">
        <v>888</v>
      </c>
      <c r="M274" s="31" t="s">
        <v>113</v>
      </c>
      <c r="N274" s="31" t="s">
        <v>889</v>
      </c>
      <c r="O274" s="132">
        <v>44266</v>
      </c>
      <c r="P274" s="31" t="s">
        <v>669</v>
      </c>
      <c r="Q274" s="32">
        <v>250</v>
      </c>
      <c r="R274" s="48">
        <f>IFERROR(Q274/VLOOKUP(P274,'Exchange rates to USD'!$L$2:$N$225,3,FALSE),"")</f>
        <v>275.66723526854707</v>
      </c>
      <c r="U274" s="152"/>
      <c r="V274" s="152"/>
      <c r="W274" s="152"/>
    </row>
    <row r="275" spans="1:23" ht="13.25" customHeight="1" x14ac:dyDescent="0.25">
      <c r="A275" s="38" t="s">
        <v>905</v>
      </c>
      <c r="B275" s="31" t="s">
        <v>633</v>
      </c>
      <c r="C275" s="1" t="s">
        <v>2530</v>
      </c>
      <c r="D275" s="31" t="s">
        <v>13</v>
      </c>
      <c r="E275" s="31" t="s">
        <v>191</v>
      </c>
      <c r="F275" s="31" t="s">
        <v>930</v>
      </c>
      <c r="G275" s="31" t="s">
        <v>41</v>
      </c>
      <c r="H275" s="31" t="s">
        <v>3173</v>
      </c>
      <c r="I275" s="31" t="s">
        <v>809</v>
      </c>
      <c r="J275" s="31" t="s">
        <v>931</v>
      </c>
      <c r="K275" s="31" t="s">
        <v>888</v>
      </c>
      <c r="M275" s="31" t="s">
        <v>113</v>
      </c>
      <c r="N275" s="31" t="s">
        <v>889</v>
      </c>
      <c r="O275" s="132">
        <v>44266</v>
      </c>
      <c r="P275" s="31" t="s">
        <v>669</v>
      </c>
      <c r="Q275" s="32">
        <v>200</v>
      </c>
      <c r="R275" s="48">
        <f>IFERROR(Q275/VLOOKUP(P275,'Exchange rates to USD'!$L$2:$N$225,3,FALSE),"")</f>
        <v>220.53378821483767</v>
      </c>
      <c r="U275" s="152"/>
      <c r="V275" s="152"/>
      <c r="W275" s="152"/>
    </row>
    <row r="276" spans="1:23" ht="13.25" customHeight="1" x14ac:dyDescent="0.25">
      <c r="A276" s="38" t="s">
        <v>906</v>
      </c>
      <c r="B276" s="31" t="s">
        <v>633</v>
      </c>
      <c r="C276" s="1" t="s">
        <v>22</v>
      </c>
      <c r="D276" s="31" t="s">
        <v>13</v>
      </c>
      <c r="E276" s="31" t="s">
        <v>258</v>
      </c>
      <c r="F276" s="31" t="s">
        <v>933</v>
      </c>
      <c r="G276" s="31" t="s">
        <v>41</v>
      </c>
      <c r="H276" s="31" t="s">
        <v>3173</v>
      </c>
      <c r="J276" s="31" t="s">
        <v>934</v>
      </c>
      <c r="K276" s="31" t="s">
        <v>888</v>
      </c>
      <c r="M276" s="31" t="s">
        <v>113</v>
      </c>
      <c r="N276" s="31" t="s">
        <v>889</v>
      </c>
      <c r="O276" s="42" t="s">
        <v>884</v>
      </c>
      <c r="P276" s="31" t="s">
        <v>669</v>
      </c>
      <c r="Q276" s="32">
        <v>50</v>
      </c>
      <c r="R276" s="48">
        <f>IFERROR(Q276/VLOOKUP(P276,'Exchange rates to USD'!$L$2:$N$225,3,FALSE),"")</f>
        <v>55.133447053709418</v>
      </c>
      <c r="U276" s="152"/>
      <c r="V276" s="152"/>
      <c r="W276" s="152"/>
    </row>
    <row r="277" spans="1:23" ht="13.25" customHeight="1" x14ac:dyDescent="0.25">
      <c r="A277" s="38" t="s">
        <v>908</v>
      </c>
      <c r="B277" s="31" t="s">
        <v>633</v>
      </c>
      <c r="C277" s="1" t="s">
        <v>2530</v>
      </c>
      <c r="D277" s="31" t="s">
        <v>13</v>
      </c>
      <c r="E277" s="31" t="s">
        <v>258</v>
      </c>
      <c r="F277" s="31" t="s">
        <v>930</v>
      </c>
      <c r="G277" s="31" t="s">
        <v>3173</v>
      </c>
      <c r="J277" s="31" t="s">
        <v>936</v>
      </c>
      <c r="K277" s="31" t="s">
        <v>888</v>
      </c>
      <c r="M277" s="31" t="s">
        <v>113</v>
      </c>
      <c r="N277" s="31" t="s">
        <v>889</v>
      </c>
      <c r="O277" s="42" t="s">
        <v>884</v>
      </c>
      <c r="P277" s="31" t="s">
        <v>669</v>
      </c>
      <c r="Q277" s="32">
        <v>200</v>
      </c>
      <c r="R277" s="48">
        <f>IFERROR(Q277/VLOOKUP(P277,'Exchange rates to USD'!$L$2:$N$225,3,FALSE),"")</f>
        <v>220.53378821483767</v>
      </c>
      <c r="U277" s="152"/>
      <c r="V277" s="152"/>
      <c r="W277" s="152"/>
    </row>
    <row r="278" spans="1:23" ht="13.25" customHeight="1" x14ac:dyDescent="0.25">
      <c r="A278" s="38" t="s">
        <v>911</v>
      </c>
      <c r="B278" s="31" t="s">
        <v>633</v>
      </c>
      <c r="C278" s="1" t="s">
        <v>2530</v>
      </c>
      <c r="D278" s="31" t="s">
        <v>13</v>
      </c>
      <c r="E278" s="31" t="s">
        <v>14</v>
      </c>
      <c r="F278" s="31" t="s">
        <v>933</v>
      </c>
      <c r="G278" s="31" t="s">
        <v>809</v>
      </c>
      <c r="J278" s="31" t="s">
        <v>938</v>
      </c>
      <c r="K278" s="31" t="s">
        <v>888</v>
      </c>
      <c r="M278" s="31" t="s">
        <v>113</v>
      </c>
      <c r="N278" s="31" t="s">
        <v>889</v>
      </c>
      <c r="O278" s="42" t="s">
        <v>884</v>
      </c>
      <c r="P278" s="31" t="s">
        <v>669</v>
      </c>
      <c r="Q278" s="32">
        <v>50</v>
      </c>
      <c r="R278" s="48">
        <f>IFERROR(Q278/VLOOKUP(P278,'Exchange rates to USD'!$L$2:$N$225,3,FALSE),"")</f>
        <v>55.133447053709418</v>
      </c>
      <c r="U278" s="152"/>
      <c r="V278" s="152"/>
      <c r="W278" s="152"/>
    </row>
    <row r="279" spans="1:23" ht="13.25" customHeight="1" x14ac:dyDescent="0.25">
      <c r="A279" s="38" t="s">
        <v>914</v>
      </c>
      <c r="B279" s="31" t="s">
        <v>633</v>
      </c>
      <c r="C279" s="1" t="s">
        <v>2530</v>
      </c>
      <c r="D279" s="31" t="s">
        <v>13</v>
      </c>
      <c r="E279" s="31" t="s">
        <v>36</v>
      </c>
      <c r="F279" s="31" t="s">
        <v>909</v>
      </c>
      <c r="G279" s="31" t="s">
        <v>3173</v>
      </c>
      <c r="H279" s="31" t="s">
        <v>25</v>
      </c>
      <c r="J279" s="31" t="s">
        <v>2902</v>
      </c>
      <c r="K279" s="31" t="s">
        <v>888</v>
      </c>
      <c r="L279" s="31" t="s">
        <v>939</v>
      </c>
      <c r="M279" s="31" t="s">
        <v>113</v>
      </c>
      <c r="N279" s="31" t="s">
        <v>889</v>
      </c>
      <c r="O279" s="42" t="s">
        <v>884</v>
      </c>
      <c r="P279" s="31" t="s">
        <v>669</v>
      </c>
      <c r="Q279" s="32">
        <v>1200</v>
      </c>
      <c r="R279" s="48">
        <f>IFERROR(Q279/VLOOKUP(P279,'Exchange rates to USD'!$L$2:$N$225,3,FALSE),"")</f>
        <v>1323.2027292890259</v>
      </c>
      <c r="U279" s="152"/>
      <c r="V279" s="152"/>
      <c r="W279" s="152"/>
    </row>
    <row r="280" spans="1:23" ht="13.25" customHeight="1" x14ac:dyDescent="0.25">
      <c r="A280" s="38" t="s">
        <v>917</v>
      </c>
      <c r="B280" s="31" t="s">
        <v>633</v>
      </c>
      <c r="C280" s="1" t="s">
        <v>22</v>
      </c>
      <c r="D280" s="31" t="s">
        <v>13</v>
      </c>
      <c r="E280" s="31" t="s">
        <v>36</v>
      </c>
      <c r="F280" s="31" t="s">
        <v>940</v>
      </c>
      <c r="G280" s="31" t="s">
        <v>3173</v>
      </c>
      <c r="H280" s="31" t="s">
        <v>25</v>
      </c>
      <c r="J280" s="31" t="s">
        <v>941</v>
      </c>
      <c r="K280" s="31" t="s">
        <v>888</v>
      </c>
      <c r="M280" s="31" t="s">
        <v>113</v>
      </c>
      <c r="N280" s="31" t="s">
        <v>889</v>
      </c>
      <c r="O280" s="42" t="s">
        <v>884</v>
      </c>
      <c r="P280" s="31" t="s">
        <v>669</v>
      </c>
      <c r="Q280" s="32">
        <v>4700</v>
      </c>
      <c r="R280" s="48">
        <f>IFERROR(Q280/VLOOKUP(P280,'Exchange rates to USD'!$L$2:$N$225,3,FALSE),"")</f>
        <v>5182.5440230486847</v>
      </c>
      <c r="U280" s="152"/>
      <c r="V280" s="152"/>
      <c r="W280" s="152"/>
    </row>
    <row r="281" spans="1:23" ht="13.25" customHeight="1" x14ac:dyDescent="0.25">
      <c r="A281" s="38" t="s">
        <v>920</v>
      </c>
      <c r="B281" s="31" t="s">
        <v>633</v>
      </c>
      <c r="C281" s="1" t="s">
        <v>22</v>
      </c>
      <c r="D281" s="31" t="s">
        <v>13</v>
      </c>
      <c r="E281" s="31" t="s">
        <v>36</v>
      </c>
      <c r="F281" s="31" t="s">
        <v>942</v>
      </c>
      <c r="G281" s="31" t="s">
        <v>3173</v>
      </c>
      <c r="H281" s="31" t="s">
        <v>25</v>
      </c>
      <c r="J281" s="31" t="s">
        <v>943</v>
      </c>
      <c r="K281" s="31" t="s">
        <v>888</v>
      </c>
      <c r="M281" s="31" t="s">
        <v>113</v>
      </c>
      <c r="N281" s="31" t="s">
        <v>889</v>
      </c>
      <c r="O281" s="42" t="s">
        <v>884</v>
      </c>
      <c r="P281" s="31" t="s">
        <v>669</v>
      </c>
      <c r="Q281" s="32">
        <v>550</v>
      </c>
      <c r="R281" s="48">
        <f>IFERROR(Q281/VLOOKUP(P281,'Exchange rates to USD'!$L$2:$N$225,3,FALSE),"")</f>
        <v>606.46791759080361</v>
      </c>
      <c r="U281" s="152"/>
      <c r="V281" s="152"/>
      <c r="W281" s="152"/>
    </row>
    <row r="282" spans="1:23" ht="13.25" customHeight="1" x14ac:dyDescent="0.25">
      <c r="A282" s="38" t="s">
        <v>923</v>
      </c>
      <c r="B282" s="31" t="s">
        <v>633</v>
      </c>
      <c r="C282" s="1" t="s">
        <v>22</v>
      </c>
      <c r="D282" s="31" t="s">
        <v>13</v>
      </c>
      <c r="E282" s="31" t="s">
        <v>36</v>
      </c>
      <c r="F282" s="31" t="s">
        <v>687</v>
      </c>
      <c r="G282" s="31" t="s">
        <v>3173</v>
      </c>
      <c r="H282" s="31" t="s">
        <v>25</v>
      </c>
      <c r="J282" s="31" t="s">
        <v>944</v>
      </c>
      <c r="K282" s="31" t="s">
        <v>888</v>
      </c>
      <c r="M282" s="31" t="s">
        <v>113</v>
      </c>
      <c r="N282" s="31" t="s">
        <v>1664</v>
      </c>
      <c r="O282" s="42" t="s">
        <v>884</v>
      </c>
      <c r="P282" s="31" t="s">
        <v>669</v>
      </c>
      <c r="Q282" s="32">
        <v>1900</v>
      </c>
      <c r="R282" s="48">
        <f>IFERROR(Q282/VLOOKUP(P282,'Exchange rates to USD'!$L$2:$N$225,3,FALSE),"")</f>
        <v>2095.0709880409577</v>
      </c>
      <c r="U282" s="152"/>
      <c r="V282" s="152"/>
      <c r="W282" s="152"/>
    </row>
    <row r="283" spans="1:23" ht="13.25" customHeight="1" x14ac:dyDescent="0.25">
      <c r="A283" s="38" t="s">
        <v>926</v>
      </c>
      <c r="B283" s="31" t="s">
        <v>633</v>
      </c>
      <c r="C283" s="1" t="s">
        <v>22</v>
      </c>
      <c r="D283" s="31" t="s">
        <v>13</v>
      </c>
      <c r="E283" s="31" t="s">
        <v>36</v>
      </c>
      <c r="F283" s="31" t="s">
        <v>945</v>
      </c>
      <c r="G283" s="31" t="s">
        <v>3173</v>
      </c>
      <c r="H283" s="31" t="s">
        <v>25</v>
      </c>
      <c r="J283" s="31" t="s">
        <v>946</v>
      </c>
      <c r="K283" s="31" t="s">
        <v>888</v>
      </c>
      <c r="M283" s="31" t="s">
        <v>113</v>
      </c>
      <c r="N283" s="31" t="s">
        <v>889</v>
      </c>
      <c r="O283" s="42" t="s">
        <v>884</v>
      </c>
      <c r="P283" s="31" t="s">
        <v>669</v>
      </c>
      <c r="Q283" s="32">
        <v>180</v>
      </c>
      <c r="R283" s="48">
        <f>IFERROR(Q283/VLOOKUP(P283,'Exchange rates to USD'!$L$2:$N$225,3,FALSE),"")</f>
        <v>198.48040939335388</v>
      </c>
      <c r="U283" s="152"/>
      <c r="V283" s="152"/>
      <c r="W283" s="152"/>
    </row>
    <row r="284" spans="1:23" ht="13.25" customHeight="1" x14ac:dyDescent="0.25">
      <c r="A284" s="38" t="s">
        <v>928</v>
      </c>
      <c r="B284" s="31" t="s">
        <v>633</v>
      </c>
      <c r="C284" s="1" t="s">
        <v>22</v>
      </c>
      <c r="D284" s="31" t="s">
        <v>13</v>
      </c>
      <c r="E284" s="31" t="s">
        <v>14</v>
      </c>
      <c r="F284" s="31" t="s">
        <v>947</v>
      </c>
      <c r="G284" s="31" t="s">
        <v>3173</v>
      </c>
      <c r="H284" s="31" t="s">
        <v>25</v>
      </c>
      <c r="J284" s="31" t="s">
        <v>2903</v>
      </c>
      <c r="K284" s="31" t="s">
        <v>888</v>
      </c>
      <c r="L284" s="31" t="s">
        <v>948</v>
      </c>
      <c r="M284" s="31" t="s">
        <v>113</v>
      </c>
      <c r="N284" s="31" t="s">
        <v>889</v>
      </c>
      <c r="O284" s="42">
        <v>44266</v>
      </c>
      <c r="P284" s="31" t="s">
        <v>669</v>
      </c>
      <c r="Q284" s="32">
        <v>2000</v>
      </c>
      <c r="R284" s="48">
        <f>IFERROR(Q284/VLOOKUP(P284,'Exchange rates to USD'!$L$2:$N$225,3,FALSE),"")</f>
        <v>2205.3378821483766</v>
      </c>
      <c r="U284" s="152"/>
      <c r="V284" s="152"/>
      <c r="W284" s="152"/>
    </row>
    <row r="285" spans="1:23" ht="13.25" customHeight="1" x14ac:dyDescent="0.25">
      <c r="A285" s="38" t="s">
        <v>929</v>
      </c>
      <c r="B285" s="31" t="s">
        <v>633</v>
      </c>
      <c r="C285" s="1" t="s">
        <v>22</v>
      </c>
      <c r="D285" s="31" t="s">
        <v>13</v>
      </c>
      <c r="E285" s="31" t="s">
        <v>14</v>
      </c>
      <c r="F285" s="31" t="s">
        <v>930</v>
      </c>
      <c r="G285" s="31" t="s">
        <v>3173</v>
      </c>
      <c r="J285" s="31" t="s">
        <v>949</v>
      </c>
      <c r="K285" s="31" t="s">
        <v>888</v>
      </c>
      <c r="M285" s="31" t="s">
        <v>113</v>
      </c>
      <c r="N285" s="31" t="s">
        <v>889</v>
      </c>
      <c r="O285" s="42" t="s">
        <v>884</v>
      </c>
      <c r="P285" s="31" t="s">
        <v>669</v>
      </c>
      <c r="Q285" s="32">
        <v>200</v>
      </c>
      <c r="R285" s="48">
        <f>IFERROR(Q285/VLOOKUP(P285,'Exchange rates to USD'!$L$2:$N$225,3,FALSE),"")</f>
        <v>220.53378821483767</v>
      </c>
      <c r="U285" s="152"/>
      <c r="V285" s="152"/>
      <c r="W285" s="152"/>
    </row>
    <row r="286" spans="1:23" ht="13.25" customHeight="1" x14ac:dyDescent="0.25">
      <c r="A286" s="38" t="s">
        <v>932</v>
      </c>
      <c r="B286" s="31" t="s">
        <v>633</v>
      </c>
      <c r="C286" s="1" t="s">
        <v>22</v>
      </c>
      <c r="D286" s="31" t="s">
        <v>13</v>
      </c>
      <c r="E286" s="31" t="s">
        <v>172</v>
      </c>
      <c r="F286" s="31" t="s">
        <v>950</v>
      </c>
      <c r="G286" s="31" t="s">
        <v>3173</v>
      </c>
      <c r="J286" s="31" t="s">
        <v>951</v>
      </c>
      <c r="K286" s="31" t="s">
        <v>888</v>
      </c>
      <c r="M286" s="31" t="s">
        <v>871</v>
      </c>
      <c r="N286" s="31" t="s">
        <v>889</v>
      </c>
      <c r="O286" s="42" t="s">
        <v>884</v>
      </c>
      <c r="P286" s="31" t="s">
        <v>669</v>
      </c>
      <c r="Q286" s="32">
        <v>2600</v>
      </c>
      <c r="R286" s="48">
        <f>IFERROR(Q286/VLOOKUP(P286,'Exchange rates to USD'!$L$2:$N$225,3,FALSE),"")</f>
        <v>2866.9392467928897</v>
      </c>
      <c r="U286" s="152"/>
      <c r="V286" s="152"/>
      <c r="W286" s="152"/>
    </row>
    <row r="287" spans="1:23" ht="13.25" customHeight="1" x14ac:dyDescent="0.25">
      <c r="A287" s="38" t="s">
        <v>935</v>
      </c>
      <c r="B287" s="31" t="s">
        <v>633</v>
      </c>
      <c r="C287" s="1" t="s">
        <v>22</v>
      </c>
      <c r="D287" s="31" t="s">
        <v>13</v>
      </c>
      <c r="E287" s="31" t="s">
        <v>3200</v>
      </c>
      <c r="F287" s="31" t="s">
        <v>952</v>
      </c>
      <c r="G287" s="31" t="s">
        <v>3173</v>
      </c>
      <c r="J287" s="31" t="s">
        <v>953</v>
      </c>
      <c r="K287" s="64" t="s">
        <v>2904</v>
      </c>
      <c r="M287" s="31" t="s">
        <v>113</v>
      </c>
      <c r="N287" s="31" t="s">
        <v>889</v>
      </c>
      <c r="O287" s="42">
        <v>44266</v>
      </c>
      <c r="P287" s="31" t="s">
        <v>669</v>
      </c>
      <c r="Q287" s="32">
        <v>3400</v>
      </c>
      <c r="R287" s="48">
        <f>IFERROR(Q287/VLOOKUP(P287,'Exchange rates to USD'!$L$2:$N$225,3,FALSE),"")</f>
        <v>3749.0743996522401</v>
      </c>
      <c r="U287" s="152"/>
      <c r="V287" s="152"/>
      <c r="W287" s="152"/>
    </row>
    <row r="288" spans="1:23" ht="13.25" customHeight="1" x14ac:dyDescent="0.25">
      <c r="A288" s="153" t="s">
        <v>937</v>
      </c>
      <c r="B288" s="34" t="s">
        <v>633</v>
      </c>
      <c r="C288" s="1" t="s">
        <v>22</v>
      </c>
      <c r="D288" s="34" t="s">
        <v>23</v>
      </c>
      <c r="E288" s="34" t="s">
        <v>3200</v>
      </c>
      <c r="F288" s="34" t="s">
        <v>954</v>
      </c>
      <c r="G288" s="34" t="s">
        <v>3173</v>
      </c>
      <c r="H288" s="34"/>
      <c r="I288" s="34"/>
      <c r="J288" s="34" t="s">
        <v>955</v>
      </c>
      <c r="K288" s="34" t="s">
        <v>888</v>
      </c>
      <c r="L288" s="34"/>
      <c r="M288" s="34" t="s">
        <v>113</v>
      </c>
      <c r="N288" s="34" t="s">
        <v>889</v>
      </c>
      <c r="O288" s="43" t="s">
        <v>884</v>
      </c>
      <c r="P288" s="34" t="s">
        <v>669</v>
      </c>
      <c r="Q288" s="49">
        <v>2500</v>
      </c>
      <c r="R288" s="22">
        <f>IFERROR(Q288/VLOOKUP(P288,'Exchange rates to USD'!$L$2:$N$225,3,FALSE),"")</f>
        <v>2756.6723526854707</v>
      </c>
      <c r="U288" s="152"/>
      <c r="V288" s="152"/>
      <c r="W288" s="152"/>
    </row>
    <row r="289" spans="1:23" s="13" customFormat="1" ht="15" customHeight="1" x14ac:dyDescent="0.25">
      <c r="A289" s="12" t="s">
        <v>515</v>
      </c>
      <c r="B289" s="12" t="s">
        <v>634</v>
      </c>
      <c r="C289" s="12" t="s">
        <v>30</v>
      </c>
      <c r="D289" s="12" t="s">
        <v>13</v>
      </c>
      <c r="E289" s="12" t="s">
        <v>14</v>
      </c>
      <c r="F289" s="12" t="s">
        <v>2236</v>
      </c>
      <c r="G289" s="12" t="s">
        <v>3173</v>
      </c>
      <c r="H289" s="12"/>
      <c r="I289" s="12"/>
      <c r="J289" s="12" t="s">
        <v>516</v>
      </c>
      <c r="K289" s="23" t="s">
        <v>517</v>
      </c>
      <c r="L289" s="14"/>
      <c r="M289" s="51" t="s">
        <v>113</v>
      </c>
      <c r="N289" s="14"/>
      <c r="O289" s="14"/>
      <c r="P289" s="39" t="s">
        <v>669</v>
      </c>
      <c r="Q289" s="40"/>
      <c r="R289" s="47">
        <f>IFERROR(Q289/VLOOKUP(P289,'Exchange rates to USD'!$L$2:$N$225,3,FALSE),"")</f>
        <v>0</v>
      </c>
      <c r="U289" s="152"/>
      <c r="V289" s="152"/>
      <c r="W289" s="152"/>
    </row>
    <row r="290" spans="1:23" s="13" customFormat="1" ht="15" customHeight="1" x14ac:dyDescent="0.25">
      <c r="A290" s="12" t="s">
        <v>518</v>
      </c>
      <c r="B290" s="12" t="s">
        <v>634</v>
      </c>
      <c r="C290" s="12" t="s">
        <v>22</v>
      </c>
      <c r="D290" s="12" t="s">
        <v>13</v>
      </c>
      <c r="E290" s="12" t="s">
        <v>161</v>
      </c>
      <c r="F290" s="24" t="s">
        <v>1667</v>
      </c>
      <c r="G290" s="12" t="s">
        <v>3173</v>
      </c>
      <c r="H290" s="12"/>
      <c r="I290" s="14"/>
      <c r="J290" s="12" t="s">
        <v>519</v>
      </c>
      <c r="K290" s="23" t="s">
        <v>517</v>
      </c>
      <c r="L290" s="14"/>
      <c r="M290" s="51" t="s">
        <v>113</v>
      </c>
      <c r="N290" s="14"/>
      <c r="O290" s="14"/>
      <c r="P290" s="39" t="s">
        <v>669</v>
      </c>
      <c r="Q290" s="19">
        <v>2000</v>
      </c>
      <c r="R290" s="48">
        <f>IFERROR(Q290/VLOOKUP(P290,'Exchange rates to USD'!$L$2:$N$225,3,FALSE),"")</f>
        <v>2205.3378821483766</v>
      </c>
      <c r="T290" s="19"/>
      <c r="U290" s="152"/>
      <c r="V290" s="152"/>
      <c r="W290" s="152"/>
    </row>
    <row r="291" spans="1:23" s="13" customFormat="1" ht="15" customHeight="1" x14ac:dyDescent="0.25">
      <c r="A291" s="12" t="s">
        <v>520</v>
      </c>
      <c r="B291" s="12" t="s">
        <v>634</v>
      </c>
      <c r="C291" s="12" t="s">
        <v>110</v>
      </c>
      <c r="D291" s="12" t="s">
        <v>13</v>
      </c>
      <c r="E291" s="12" t="s">
        <v>172</v>
      </c>
      <c r="F291" s="24" t="s">
        <v>1670</v>
      </c>
      <c r="G291" s="12" t="s">
        <v>3173</v>
      </c>
      <c r="H291" s="12"/>
      <c r="I291" s="12"/>
      <c r="J291" s="12" t="s">
        <v>521</v>
      </c>
      <c r="K291" s="23" t="s">
        <v>522</v>
      </c>
      <c r="L291" s="14"/>
      <c r="M291" s="51" t="s">
        <v>113</v>
      </c>
      <c r="N291" s="14"/>
      <c r="O291" s="14"/>
      <c r="P291" s="39" t="s">
        <v>669</v>
      </c>
      <c r="Q291" s="19">
        <v>1000</v>
      </c>
      <c r="R291" s="48">
        <f>IFERROR(Q291/VLOOKUP(P291,'Exchange rates to USD'!$L$2:$N$225,3,FALSE),"")</f>
        <v>1102.6689410741883</v>
      </c>
      <c r="T291" s="19"/>
      <c r="U291" s="152"/>
      <c r="V291" s="152"/>
      <c r="W291" s="152"/>
    </row>
    <row r="292" spans="1:23" s="13" customFormat="1" ht="15" customHeight="1" x14ac:dyDescent="0.25">
      <c r="A292" s="12" t="s">
        <v>523</v>
      </c>
      <c r="B292" s="12" t="s">
        <v>634</v>
      </c>
      <c r="C292" s="12" t="s">
        <v>2530</v>
      </c>
      <c r="D292" s="12" t="s">
        <v>13</v>
      </c>
      <c r="E292" s="12" t="s">
        <v>14</v>
      </c>
      <c r="F292" s="24" t="s">
        <v>2237</v>
      </c>
      <c r="G292" s="12" t="s">
        <v>3173</v>
      </c>
      <c r="H292" s="12" t="s">
        <v>25</v>
      </c>
      <c r="I292" s="12"/>
      <c r="J292" s="12" t="s">
        <v>524</v>
      </c>
      <c r="K292" s="23" t="s">
        <v>522</v>
      </c>
      <c r="L292" s="14"/>
      <c r="M292" s="51" t="s">
        <v>113</v>
      </c>
      <c r="N292" s="14"/>
      <c r="O292" s="14"/>
      <c r="P292" s="39" t="s">
        <v>669</v>
      </c>
      <c r="Q292" s="19">
        <v>9000</v>
      </c>
      <c r="R292" s="48">
        <f>IFERROR(Q292/VLOOKUP(P292,'Exchange rates to USD'!$L$2:$N$225,3,FALSE),"")</f>
        <v>9924.0204696676938</v>
      </c>
      <c r="T292" s="19"/>
      <c r="U292" s="152"/>
      <c r="V292" s="152"/>
      <c r="W292" s="152"/>
    </row>
    <row r="293" spans="1:23" s="13" customFormat="1" ht="15" customHeight="1" x14ac:dyDescent="0.25">
      <c r="A293" s="12" t="s">
        <v>525</v>
      </c>
      <c r="B293" s="12" t="s">
        <v>634</v>
      </c>
      <c r="C293" s="12" t="s">
        <v>22</v>
      </c>
      <c r="D293" s="12" t="s">
        <v>13</v>
      </c>
      <c r="E293" s="12" t="s">
        <v>88</v>
      </c>
      <c r="F293" s="25" t="s">
        <v>2238</v>
      </c>
      <c r="G293" s="12" t="s">
        <v>3173</v>
      </c>
      <c r="H293" s="14" t="s">
        <v>41</v>
      </c>
      <c r="I293" s="14"/>
      <c r="J293" s="12" t="s">
        <v>526</v>
      </c>
      <c r="K293" s="23" t="s">
        <v>517</v>
      </c>
      <c r="L293" s="14"/>
      <c r="M293" s="51" t="s">
        <v>113</v>
      </c>
      <c r="N293" s="14"/>
      <c r="O293" s="14"/>
      <c r="P293" s="39" t="s">
        <v>669</v>
      </c>
      <c r="Q293" s="19">
        <v>700</v>
      </c>
      <c r="R293" s="48">
        <f>IFERROR(Q293/VLOOKUP(P293,'Exchange rates to USD'!$L$2:$N$225,3,FALSE),"")</f>
        <v>771.86825875193176</v>
      </c>
      <c r="T293" s="19"/>
      <c r="U293" s="152"/>
      <c r="V293" s="152"/>
      <c r="W293" s="152"/>
    </row>
    <row r="294" spans="1:23" s="13" customFormat="1" ht="15" customHeight="1" x14ac:dyDescent="0.25">
      <c r="A294" s="12" t="s">
        <v>527</v>
      </c>
      <c r="B294" s="12" t="s">
        <v>634</v>
      </c>
      <c r="C294" s="12" t="s">
        <v>22</v>
      </c>
      <c r="D294" s="12" t="s">
        <v>13</v>
      </c>
      <c r="E294" s="12" t="s">
        <v>36</v>
      </c>
      <c r="F294" s="24" t="s">
        <v>1665</v>
      </c>
      <c r="G294" s="12" t="s">
        <v>25</v>
      </c>
      <c r="H294" s="12" t="s">
        <v>3173</v>
      </c>
      <c r="I294" s="14"/>
      <c r="J294" s="12" t="s">
        <v>528</v>
      </c>
      <c r="K294" s="23" t="s">
        <v>522</v>
      </c>
      <c r="L294" s="14"/>
      <c r="M294" s="51" t="s">
        <v>113</v>
      </c>
      <c r="N294" s="14"/>
      <c r="O294" s="14"/>
      <c r="P294" s="39" t="s">
        <v>669</v>
      </c>
      <c r="Q294" s="19">
        <v>5000</v>
      </c>
      <c r="R294" s="48">
        <f>IFERROR(Q294/VLOOKUP(P294,'Exchange rates to USD'!$L$2:$N$225,3,FALSE),"")</f>
        <v>5513.3447053709415</v>
      </c>
      <c r="T294" s="19"/>
      <c r="U294" s="152"/>
      <c r="V294" s="152"/>
      <c r="W294" s="152"/>
    </row>
    <row r="295" spans="1:23" s="13" customFormat="1" ht="15" customHeight="1" x14ac:dyDescent="0.25">
      <c r="A295" s="12" t="s">
        <v>529</v>
      </c>
      <c r="B295" s="12" t="s">
        <v>634</v>
      </c>
      <c r="C295" s="31" t="s">
        <v>2531</v>
      </c>
      <c r="D295" s="12" t="s">
        <v>13</v>
      </c>
      <c r="E295" s="12" t="s">
        <v>14</v>
      </c>
      <c r="F295" s="26" t="s">
        <v>2239</v>
      </c>
      <c r="G295" s="12" t="s">
        <v>3173</v>
      </c>
      <c r="H295" s="12" t="s">
        <v>25</v>
      </c>
      <c r="I295" s="14"/>
      <c r="J295" s="12" t="s">
        <v>530</v>
      </c>
      <c r="K295" s="23" t="s">
        <v>517</v>
      </c>
      <c r="L295" s="14"/>
      <c r="M295" s="51" t="s">
        <v>113</v>
      </c>
      <c r="N295" s="14"/>
      <c r="O295" s="14"/>
      <c r="P295" s="39" t="s">
        <v>669</v>
      </c>
      <c r="Q295" s="19">
        <v>11000</v>
      </c>
      <c r="R295" s="48">
        <f>IFERROR(Q295/VLOOKUP(P295,'Exchange rates to USD'!$L$2:$N$225,3,FALSE),"")</f>
        <v>12129.35835181607</v>
      </c>
      <c r="T295" s="19"/>
      <c r="U295" s="152"/>
      <c r="V295" s="152"/>
      <c r="W295" s="152"/>
    </row>
    <row r="296" spans="1:23" s="13" customFormat="1" ht="15" customHeight="1" x14ac:dyDescent="0.25">
      <c r="A296" s="12" t="s">
        <v>531</v>
      </c>
      <c r="B296" s="12" t="s">
        <v>634</v>
      </c>
      <c r="C296" s="12" t="s">
        <v>22</v>
      </c>
      <c r="D296" s="12" t="s">
        <v>13</v>
      </c>
      <c r="E296" s="12" t="s">
        <v>36</v>
      </c>
      <c r="F296" s="27" t="s">
        <v>1666</v>
      </c>
      <c r="G296" s="12" t="s">
        <v>3173</v>
      </c>
      <c r="H296" s="12" t="s">
        <v>25</v>
      </c>
      <c r="I296" s="14"/>
      <c r="J296" s="12" t="s">
        <v>532</v>
      </c>
      <c r="K296" s="23" t="s">
        <v>517</v>
      </c>
      <c r="L296" s="14"/>
      <c r="M296" s="51" t="s">
        <v>113</v>
      </c>
      <c r="N296" s="14"/>
      <c r="O296" s="14"/>
      <c r="P296" s="39" t="s">
        <v>669</v>
      </c>
      <c r="Q296" s="19">
        <v>1200</v>
      </c>
      <c r="R296" s="48">
        <f>IFERROR(Q296/VLOOKUP(P296,'Exchange rates to USD'!$L$2:$N$225,3,FALSE),"")</f>
        <v>1323.2027292890259</v>
      </c>
      <c r="T296" s="19"/>
      <c r="U296" s="152"/>
      <c r="V296" s="152"/>
      <c r="W296" s="152"/>
    </row>
    <row r="297" spans="1:23" s="13" customFormat="1" ht="15" customHeight="1" x14ac:dyDescent="0.25">
      <c r="A297" s="12" t="s">
        <v>533</v>
      </c>
      <c r="B297" s="12" t="s">
        <v>634</v>
      </c>
      <c r="C297" s="12" t="s">
        <v>110</v>
      </c>
      <c r="D297" s="12" t="s">
        <v>13</v>
      </c>
      <c r="E297" s="12" t="s">
        <v>258</v>
      </c>
      <c r="F297" s="27" t="s">
        <v>1670</v>
      </c>
      <c r="G297" s="12" t="s">
        <v>3173</v>
      </c>
      <c r="H297" s="12" t="s">
        <v>25</v>
      </c>
      <c r="I297" s="14"/>
      <c r="J297" s="12" t="s">
        <v>534</v>
      </c>
      <c r="K297" s="23" t="s">
        <v>517</v>
      </c>
      <c r="L297" s="14"/>
      <c r="M297" s="51" t="s">
        <v>113</v>
      </c>
      <c r="N297" s="14"/>
      <c r="O297" s="14"/>
      <c r="P297" s="39" t="s">
        <v>669</v>
      </c>
      <c r="Q297" s="19">
        <v>1000</v>
      </c>
      <c r="R297" s="48">
        <f>IFERROR(Q297/VLOOKUP(P297,'Exchange rates to USD'!$L$2:$N$225,3,FALSE),"")</f>
        <v>1102.6689410741883</v>
      </c>
      <c r="T297" s="19"/>
      <c r="U297" s="152"/>
      <c r="V297" s="152"/>
      <c r="W297" s="152"/>
    </row>
    <row r="298" spans="1:23" s="13" customFormat="1" ht="15" customHeight="1" x14ac:dyDescent="0.25">
      <c r="A298" s="12" t="s">
        <v>535</v>
      </c>
      <c r="B298" s="12" t="s">
        <v>634</v>
      </c>
      <c r="C298" s="12" t="s">
        <v>2530</v>
      </c>
      <c r="D298" s="12" t="s">
        <v>13</v>
      </c>
      <c r="E298" s="12" t="s">
        <v>36</v>
      </c>
      <c r="F298" s="27" t="s">
        <v>2510</v>
      </c>
      <c r="G298" s="12" t="s">
        <v>3173</v>
      </c>
      <c r="H298" s="12" t="s">
        <v>25</v>
      </c>
      <c r="I298" s="14"/>
      <c r="J298" s="12" t="s">
        <v>536</v>
      </c>
      <c r="K298" s="23" t="s">
        <v>517</v>
      </c>
      <c r="L298" s="14"/>
      <c r="M298" s="51" t="s">
        <v>113</v>
      </c>
      <c r="N298" s="14"/>
      <c r="O298" s="14"/>
      <c r="P298" s="39" t="s">
        <v>669</v>
      </c>
      <c r="Q298" s="19">
        <v>2500</v>
      </c>
      <c r="R298" s="48">
        <f>IFERROR(Q298/VLOOKUP(P298,'Exchange rates to USD'!$L$2:$N$225,3,FALSE),"")</f>
        <v>2756.6723526854707</v>
      </c>
      <c r="T298" s="19"/>
      <c r="U298" s="152"/>
      <c r="V298" s="152"/>
      <c r="W298" s="152"/>
    </row>
    <row r="299" spans="1:23" s="13" customFormat="1" ht="15" customHeight="1" x14ac:dyDescent="0.25">
      <c r="A299" s="12" t="s">
        <v>537</v>
      </c>
      <c r="B299" s="12" t="s">
        <v>634</v>
      </c>
      <c r="C299" s="12" t="s">
        <v>22</v>
      </c>
      <c r="D299" s="12" t="s">
        <v>13</v>
      </c>
      <c r="E299" s="12" t="s">
        <v>36</v>
      </c>
      <c r="F299" s="27" t="s">
        <v>2511</v>
      </c>
      <c r="G299" s="12" t="s">
        <v>3173</v>
      </c>
      <c r="H299" s="12" t="s">
        <v>25</v>
      </c>
      <c r="I299" s="14"/>
      <c r="J299" s="14" t="s">
        <v>538</v>
      </c>
      <c r="K299" s="23" t="s">
        <v>517</v>
      </c>
      <c r="L299" s="14"/>
      <c r="M299" s="51" t="s">
        <v>113</v>
      </c>
      <c r="N299" s="14"/>
      <c r="O299" s="14"/>
      <c r="P299" s="39" t="s">
        <v>669</v>
      </c>
      <c r="Q299" s="19">
        <v>2</v>
      </c>
      <c r="R299" s="48">
        <f>IFERROR(Q299/VLOOKUP(P299,'Exchange rates to USD'!$L$2:$N$225,3,FALSE),"")</f>
        <v>2.2053378821483767</v>
      </c>
      <c r="T299" s="19"/>
      <c r="U299" s="152"/>
      <c r="V299" s="152"/>
      <c r="W299" s="152"/>
    </row>
    <row r="300" spans="1:23" s="13" customFormat="1" ht="15" customHeight="1" x14ac:dyDescent="0.25">
      <c r="A300" s="12" t="s">
        <v>539</v>
      </c>
      <c r="B300" s="12" t="s">
        <v>634</v>
      </c>
      <c r="C300" s="12" t="s">
        <v>110</v>
      </c>
      <c r="D300" s="12" t="s">
        <v>13</v>
      </c>
      <c r="E300" s="12" t="s">
        <v>36</v>
      </c>
      <c r="F300" s="27" t="s">
        <v>1667</v>
      </c>
      <c r="G300" s="12" t="s">
        <v>3173</v>
      </c>
      <c r="H300" s="12" t="s">
        <v>25</v>
      </c>
      <c r="I300" s="14"/>
      <c r="J300" s="12" t="s">
        <v>540</v>
      </c>
      <c r="K300" s="23" t="s">
        <v>517</v>
      </c>
      <c r="L300" s="14"/>
      <c r="M300" s="51" t="s">
        <v>113</v>
      </c>
      <c r="N300" s="14"/>
      <c r="O300" s="14"/>
      <c r="P300" s="39" t="s">
        <v>669</v>
      </c>
      <c r="Q300" s="19">
        <v>2000</v>
      </c>
      <c r="R300" s="48">
        <f>IFERROR(Q300/VLOOKUP(P300,'Exchange rates to USD'!$L$2:$N$225,3,FALSE),"")</f>
        <v>2205.3378821483766</v>
      </c>
      <c r="T300" s="19"/>
      <c r="U300" s="152"/>
      <c r="V300" s="152"/>
      <c r="W300" s="152"/>
    </row>
    <row r="301" spans="1:23" s="13" customFormat="1" ht="15" customHeight="1" x14ac:dyDescent="0.25">
      <c r="A301" s="12" t="s">
        <v>541</v>
      </c>
      <c r="B301" s="12" t="s">
        <v>634</v>
      </c>
      <c r="C301" s="31" t="s">
        <v>2531</v>
      </c>
      <c r="D301" s="12" t="s">
        <v>13</v>
      </c>
      <c r="E301" s="12" t="s">
        <v>36</v>
      </c>
      <c r="F301" s="26" t="s">
        <v>1668</v>
      </c>
      <c r="G301" s="12" t="s">
        <v>25</v>
      </c>
      <c r="H301" s="12" t="s">
        <v>3173</v>
      </c>
      <c r="I301" s="14"/>
      <c r="J301" s="12" t="s">
        <v>542</v>
      </c>
      <c r="K301" s="23" t="s">
        <v>517</v>
      </c>
      <c r="L301" s="14"/>
      <c r="M301" s="51" t="s">
        <v>113</v>
      </c>
      <c r="N301" s="14"/>
      <c r="O301" s="14"/>
      <c r="P301" s="39" t="s">
        <v>669</v>
      </c>
      <c r="Q301" s="19">
        <v>2300</v>
      </c>
      <c r="R301" s="48">
        <f>IFERROR(Q301/VLOOKUP(P301,'Exchange rates to USD'!$L$2:$N$225,3,FALSE),"")</f>
        <v>2536.1385644706329</v>
      </c>
      <c r="T301" s="19"/>
      <c r="U301" s="152"/>
      <c r="V301" s="152"/>
      <c r="W301" s="152"/>
    </row>
    <row r="302" spans="1:23" s="13" customFormat="1" ht="15" customHeight="1" x14ac:dyDescent="0.25">
      <c r="A302" s="12" t="s">
        <v>543</v>
      </c>
      <c r="B302" s="12" t="s">
        <v>634</v>
      </c>
      <c r="C302" s="12" t="s">
        <v>30</v>
      </c>
      <c r="D302" s="12" t="s">
        <v>13</v>
      </c>
      <c r="E302" s="12" t="s">
        <v>36</v>
      </c>
      <c r="F302" s="27">
        <v>0</v>
      </c>
      <c r="G302" s="12" t="s">
        <v>25</v>
      </c>
      <c r="H302" s="12" t="s">
        <v>3173</v>
      </c>
      <c r="I302" s="14"/>
      <c r="J302" s="14" t="s">
        <v>544</v>
      </c>
      <c r="K302" s="23" t="s">
        <v>517</v>
      </c>
      <c r="L302" s="14"/>
      <c r="M302" s="51" t="s">
        <v>113</v>
      </c>
      <c r="N302" s="14"/>
      <c r="O302" s="14"/>
      <c r="P302" s="39" t="s">
        <v>669</v>
      </c>
      <c r="Q302" s="19">
        <v>0</v>
      </c>
      <c r="R302" s="48">
        <f>IFERROR(Q302/VLOOKUP(P302,'Exchange rates to USD'!$L$2:$N$225,3,FALSE),"")</f>
        <v>0</v>
      </c>
      <c r="T302" s="19"/>
      <c r="U302" s="152"/>
      <c r="V302" s="152"/>
      <c r="W302" s="152"/>
    </row>
    <row r="303" spans="1:23" s="13" customFormat="1" ht="15" customHeight="1" x14ac:dyDescent="0.25">
      <c r="A303" s="12" t="s">
        <v>545</v>
      </c>
      <c r="B303" s="12" t="s">
        <v>634</v>
      </c>
      <c r="C303" s="12" t="s">
        <v>110</v>
      </c>
      <c r="D303" s="12" t="s">
        <v>13</v>
      </c>
      <c r="E303" s="12" t="s">
        <v>14</v>
      </c>
      <c r="F303" s="27" t="s">
        <v>2240</v>
      </c>
      <c r="G303" s="12" t="s">
        <v>3173</v>
      </c>
      <c r="H303" s="14"/>
      <c r="I303" s="14"/>
      <c r="J303" s="12" t="s">
        <v>546</v>
      </c>
      <c r="K303" s="23" t="s">
        <v>517</v>
      </c>
      <c r="L303" s="14"/>
      <c r="M303" s="51" t="s">
        <v>113</v>
      </c>
      <c r="N303" s="14"/>
      <c r="O303" s="14"/>
      <c r="P303" s="39" t="s">
        <v>669</v>
      </c>
      <c r="Q303" s="19">
        <v>3</v>
      </c>
      <c r="R303" s="48">
        <f>IFERROR(Q303/VLOOKUP(P303,'Exchange rates to USD'!$L$2:$N$225,3,FALSE),"")</f>
        <v>3.308006823222565</v>
      </c>
      <c r="T303" s="19"/>
      <c r="U303" s="152"/>
      <c r="V303" s="152"/>
      <c r="W303" s="152"/>
    </row>
    <row r="304" spans="1:23" s="13" customFormat="1" ht="15" customHeight="1" x14ac:dyDescent="0.25">
      <c r="A304" s="12" t="s">
        <v>2241</v>
      </c>
      <c r="B304" s="12" t="s">
        <v>634</v>
      </c>
      <c r="C304" s="14" t="s">
        <v>2530</v>
      </c>
      <c r="D304" s="12" t="s">
        <v>13</v>
      </c>
      <c r="E304" s="12" t="s">
        <v>172</v>
      </c>
      <c r="F304" s="13" t="s">
        <v>2242</v>
      </c>
      <c r="G304" s="12" t="s">
        <v>3173</v>
      </c>
      <c r="H304" s="12"/>
      <c r="J304" s="14" t="s">
        <v>2243</v>
      </c>
      <c r="K304" s="13" t="s">
        <v>2244</v>
      </c>
      <c r="M304" s="13" t="s">
        <v>101</v>
      </c>
      <c r="P304" s="39" t="s">
        <v>669</v>
      </c>
      <c r="Q304" s="19">
        <v>550</v>
      </c>
      <c r="R304" s="48">
        <f>IFERROR(Q304/VLOOKUP(P304,'Exchange rates to USD'!$L$2:$N$225,3,FALSE),"")</f>
        <v>606.46791759080361</v>
      </c>
      <c r="T304" s="19"/>
      <c r="U304" s="152"/>
      <c r="V304" s="152"/>
      <c r="W304" s="152"/>
    </row>
    <row r="305" spans="1:23" s="13" customFormat="1" ht="15" customHeight="1" x14ac:dyDescent="0.25">
      <c r="A305" s="12" t="s">
        <v>2245</v>
      </c>
      <c r="B305" s="12" t="s">
        <v>634</v>
      </c>
      <c r="C305" s="14" t="s">
        <v>22</v>
      </c>
      <c r="D305" s="12" t="s">
        <v>13</v>
      </c>
      <c r="E305" s="12" t="s">
        <v>172</v>
      </c>
      <c r="F305" s="13" t="s">
        <v>2246</v>
      </c>
      <c r="G305" s="12" t="s">
        <v>3173</v>
      </c>
      <c r="H305" s="12"/>
      <c r="J305" s="14" t="s">
        <v>2247</v>
      </c>
      <c r="K305" s="13" t="s">
        <v>2248</v>
      </c>
      <c r="M305" s="13" t="s">
        <v>101</v>
      </c>
      <c r="P305" s="39" t="s">
        <v>669</v>
      </c>
      <c r="Q305" s="19">
        <v>1800</v>
      </c>
      <c r="R305" s="48">
        <f>IFERROR(Q305/VLOOKUP(P305,'Exchange rates to USD'!$L$2:$N$225,3,FALSE),"")</f>
        <v>1984.804093933539</v>
      </c>
      <c r="T305" s="19"/>
      <c r="U305" s="152"/>
      <c r="V305" s="152"/>
      <c r="W305" s="152"/>
    </row>
    <row r="306" spans="1:23" s="13" customFormat="1" ht="15" customHeight="1" x14ac:dyDescent="0.25">
      <c r="A306" s="12" t="s">
        <v>2249</v>
      </c>
      <c r="B306" s="12" t="s">
        <v>634</v>
      </c>
      <c r="C306" s="14" t="s">
        <v>2530</v>
      </c>
      <c r="D306" s="12" t="s">
        <v>13</v>
      </c>
      <c r="E306" s="12" t="s">
        <v>172</v>
      </c>
      <c r="F306" s="13" t="s">
        <v>2237</v>
      </c>
      <c r="G306" s="12" t="s">
        <v>3173</v>
      </c>
      <c r="H306" s="12"/>
      <c r="J306" s="14" t="s">
        <v>2250</v>
      </c>
      <c r="K306" s="13" t="s">
        <v>2251</v>
      </c>
      <c r="M306" s="13" t="s">
        <v>101</v>
      </c>
      <c r="P306" s="39" t="s">
        <v>669</v>
      </c>
      <c r="Q306" s="19">
        <v>9000</v>
      </c>
      <c r="R306" s="48">
        <f>IFERROR(Q306/VLOOKUP(P306,'Exchange rates to USD'!$L$2:$N$225,3,FALSE),"")</f>
        <v>9924.0204696676938</v>
      </c>
      <c r="T306" s="19"/>
      <c r="U306" s="152"/>
      <c r="V306" s="152"/>
      <c r="W306" s="152"/>
    </row>
    <row r="307" spans="1:23" s="13" customFormat="1" ht="15" customHeight="1" x14ac:dyDescent="0.25">
      <c r="A307" s="12" t="s">
        <v>1669</v>
      </c>
      <c r="B307" s="12" t="s">
        <v>634</v>
      </c>
      <c r="C307" s="14" t="s">
        <v>22</v>
      </c>
      <c r="D307" s="13" t="s">
        <v>13</v>
      </c>
      <c r="E307" s="13" t="s">
        <v>36</v>
      </c>
      <c r="F307" s="27" t="s">
        <v>1670</v>
      </c>
      <c r="G307" s="12" t="s">
        <v>3173</v>
      </c>
      <c r="H307" s="12" t="s">
        <v>25</v>
      </c>
      <c r="J307" s="14" t="s">
        <v>1671</v>
      </c>
      <c r="K307" s="13" t="s">
        <v>1672</v>
      </c>
      <c r="L307" s="52" t="s">
        <v>1672</v>
      </c>
      <c r="M307" s="51" t="s">
        <v>113</v>
      </c>
      <c r="P307" s="39" t="s">
        <v>669</v>
      </c>
      <c r="Q307" s="19">
        <v>1000</v>
      </c>
      <c r="R307" s="48">
        <f>IFERROR(Q307/VLOOKUP(P307,'Exchange rates to USD'!$L$2:$N$225,3,FALSE),"")</f>
        <v>1102.6689410741883</v>
      </c>
      <c r="T307" s="19"/>
      <c r="U307" s="152"/>
      <c r="V307" s="152"/>
      <c r="W307" s="152"/>
    </row>
    <row r="308" spans="1:23" s="13" customFormat="1" ht="15" customHeight="1" x14ac:dyDescent="0.25">
      <c r="A308" s="12" t="s">
        <v>1673</v>
      </c>
      <c r="B308" s="12" t="s">
        <v>634</v>
      </c>
      <c r="C308" s="31" t="s">
        <v>2531</v>
      </c>
      <c r="D308" s="13" t="s">
        <v>13</v>
      </c>
      <c r="E308" s="13" t="s">
        <v>36</v>
      </c>
      <c r="F308" s="27" t="s">
        <v>1670</v>
      </c>
      <c r="G308" s="12" t="s">
        <v>3173</v>
      </c>
      <c r="H308" s="12" t="s">
        <v>25</v>
      </c>
      <c r="J308" s="14" t="s">
        <v>1674</v>
      </c>
      <c r="K308" s="13" t="s">
        <v>1675</v>
      </c>
      <c r="L308" s="52" t="s">
        <v>1672</v>
      </c>
      <c r="M308" s="51" t="s">
        <v>113</v>
      </c>
      <c r="P308" s="39" t="s">
        <v>669</v>
      </c>
      <c r="Q308" s="19">
        <v>1000</v>
      </c>
      <c r="R308" s="48">
        <f>IFERROR(Q308/VLOOKUP(P308,'Exchange rates to USD'!$L$2:$N$225,3,FALSE),"")</f>
        <v>1102.6689410741883</v>
      </c>
      <c r="T308" s="19"/>
      <c r="U308" s="152"/>
      <c r="V308" s="152"/>
      <c r="W308" s="152"/>
    </row>
    <row r="309" spans="1:23" s="13" customFormat="1" ht="12.75" customHeight="1" x14ac:dyDescent="0.25">
      <c r="A309" s="53" t="s">
        <v>1676</v>
      </c>
      <c r="B309" s="53" t="s">
        <v>634</v>
      </c>
      <c r="C309" s="54" t="s">
        <v>22</v>
      </c>
      <c r="D309" s="55" t="s">
        <v>13</v>
      </c>
      <c r="E309" s="55" t="s">
        <v>36</v>
      </c>
      <c r="F309" s="56" t="s">
        <v>1670</v>
      </c>
      <c r="G309" s="53" t="s">
        <v>3173</v>
      </c>
      <c r="H309" s="53" t="s">
        <v>25</v>
      </c>
      <c r="I309" s="55"/>
      <c r="J309" s="54" t="s">
        <v>1677</v>
      </c>
      <c r="K309" s="57" t="s">
        <v>1678</v>
      </c>
      <c r="L309" s="57" t="s">
        <v>1672</v>
      </c>
      <c r="M309" s="58" t="s">
        <v>113</v>
      </c>
      <c r="N309" s="55"/>
      <c r="O309" s="55"/>
      <c r="P309" s="41" t="s">
        <v>669</v>
      </c>
      <c r="Q309" s="22">
        <v>1000</v>
      </c>
      <c r="R309" s="22">
        <f>IFERROR(Q309/VLOOKUP(P309,'Exchange rates to USD'!$L$2:$N$225,3,FALSE),"")</f>
        <v>1102.6689410741883</v>
      </c>
      <c r="T309" s="19"/>
      <c r="U309" s="152"/>
      <c r="V309" s="152"/>
      <c r="W309" s="152"/>
    </row>
    <row r="310" spans="1:23" ht="13.25" customHeight="1" x14ac:dyDescent="0.25">
      <c r="A310" s="31" t="s">
        <v>465</v>
      </c>
      <c r="B310" s="31" t="s">
        <v>635</v>
      </c>
      <c r="C310" s="31" t="s">
        <v>2531</v>
      </c>
      <c r="D310" s="31" t="s">
        <v>23</v>
      </c>
      <c r="E310" s="31" t="s">
        <v>3200</v>
      </c>
      <c r="G310" s="31" t="s">
        <v>3173</v>
      </c>
      <c r="H310" s="31" t="s">
        <v>25</v>
      </c>
      <c r="I310" s="31" t="s">
        <v>44</v>
      </c>
      <c r="J310" s="31" t="s">
        <v>956</v>
      </c>
      <c r="K310" s="31" t="s">
        <v>957</v>
      </c>
      <c r="L310" s="31" t="s">
        <v>958</v>
      </c>
      <c r="M310" s="31" t="s">
        <v>737</v>
      </c>
      <c r="O310" s="42" t="s">
        <v>959</v>
      </c>
      <c r="R310" s="48" t="str">
        <f>IFERROR(Q310/VLOOKUP(P310,'Exchange rates to USD'!$L$2:$N$225,3,FALSE),"")</f>
        <v/>
      </c>
      <c r="U310" s="152"/>
      <c r="V310" s="152"/>
      <c r="W310" s="152"/>
    </row>
    <row r="311" spans="1:23" ht="13.25" customHeight="1" x14ac:dyDescent="0.25">
      <c r="A311" s="31" t="s">
        <v>466</v>
      </c>
      <c r="B311" s="31" t="s">
        <v>635</v>
      </c>
      <c r="C311" s="31" t="s">
        <v>22</v>
      </c>
      <c r="D311" s="31" t="s">
        <v>23</v>
      </c>
      <c r="E311" s="31" t="s">
        <v>3200</v>
      </c>
      <c r="G311" s="31" t="s">
        <v>3173</v>
      </c>
      <c r="H311" s="31" t="s">
        <v>44</v>
      </c>
      <c r="J311" s="31" t="s">
        <v>467</v>
      </c>
      <c r="K311" s="31" t="s">
        <v>468</v>
      </c>
      <c r="M311" s="31" t="s">
        <v>737</v>
      </c>
      <c r="R311" s="48" t="str">
        <f>IFERROR(Q311/VLOOKUP(P311,'Exchange rates to USD'!$L$2:$N$225,3,FALSE),"")</f>
        <v/>
      </c>
      <c r="U311" s="152"/>
      <c r="V311" s="152"/>
      <c r="W311" s="152"/>
    </row>
    <row r="312" spans="1:23" ht="13.25" customHeight="1" x14ac:dyDescent="0.25">
      <c r="A312" s="31" t="s">
        <v>469</v>
      </c>
      <c r="B312" s="31" t="s">
        <v>635</v>
      </c>
      <c r="C312" s="31" t="s">
        <v>22</v>
      </c>
      <c r="D312" s="31" t="s">
        <v>23</v>
      </c>
      <c r="E312" s="31" t="s">
        <v>3200</v>
      </c>
      <c r="F312" s="31" t="s">
        <v>960</v>
      </c>
      <c r="G312" s="31" t="s">
        <v>44</v>
      </c>
      <c r="J312" s="31" t="s">
        <v>961</v>
      </c>
      <c r="K312" s="31" t="s">
        <v>470</v>
      </c>
      <c r="L312" s="31" t="s">
        <v>962</v>
      </c>
      <c r="M312" s="31" t="s">
        <v>737</v>
      </c>
      <c r="O312" s="42" t="s">
        <v>959</v>
      </c>
      <c r="P312" s="31" t="s">
        <v>669</v>
      </c>
      <c r="Q312" s="32">
        <v>1500</v>
      </c>
      <c r="R312" s="48">
        <f>IFERROR(Q312/VLOOKUP(P312,'Exchange rates to USD'!$L$2:$N$225,3,FALSE),"")</f>
        <v>1654.0034116112824</v>
      </c>
      <c r="U312" s="152"/>
      <c r="V312" s="152"/>
      <c r="W312" s="152"/>
    </row>
    <row r="313" spans="1:23" ht="13.25" customHeight="1" x14ac:dyDescent="0.25">
      <c r="A313" s="31" t="s">
        <v>471</v>
      </c>
      <c r="B313" s="31" t="s">
        <v>635</v>
      </c>
      <c r="C313" s="31" t="s">
        <v>22</v>
      </c>
      <c r="D313" s="31" t="s">
        <v>23</v>
      </c>
      <c r="E313" s="31" t="s">
        <v>3200</v>
      </c>
      <c r="F313" s="31" t="s">
        <v>472</v>
      </c>
      <c r="G313" s="31" t="s">
        <v>44</v>
      </c>
      <c r="J313" s="31" t="s">
        <v>473</v>
      </c>
      <c r="K313" s="31" t="s">
        <v>474</v>
      </c>
      <c r="M313" s="31" t="s">
        <v>737</v>
      </c>
      <c r="P313" s="31" t="s">
        <v>669</v>
      </c>
      <c r="Q313" s="32">
        <v>100</v>
      </c>
      <c r="R313" s="48">
        <f>IFERROR(Q313/VLOOKUP(P313,'Exchange rates to USD'!$L$2:$N$225,3,FALSE),"")</f>
        <v>110.26689410741884</v>
      </c>
      <c r="U313" s="152"/>
      <c r="V313" s="152"/>
      <c r="W313" s="152"/>
    </row>
    <row r="314" spans="1:23" ht="13.25" customHeight="1" x14ac:dyDescent="0.25">
      <c r="A314" s="31" t="s">
        <v>475</v>
      </c>
      <c r="B314" s="31" t="s">
        <v>635</v>
      </c>
      <c r="C314" s="31" t="s">
        <v>22</v>
      </c>
      <c r="D314" s="31" t="s">
        <v>13</v>
      </c>
      <c r="E314" s="31" t="s">
        <v>258</v>
      </c>
      <c r="F314" s="31" t="s">
        <v>476</v>
      </c>
      <c r="G314" s="31" t="s">
        <v>3173</v>
      </c>
      <c r="H314" s="31" t="s">
        <v>41</v>
      </c>
      <c r="I314" s="31" t="s">
        <v>670</v>
      </c>
      <c r="J314" s="31" t="s">
        <v>477</v>
      </c>
      <c r="K314" s="31" t="s">
        <v>478</v>
      </c>
      <c r="M314" s="31" t="s">
        <v>737</v>
      </c>
      <c r="P314" s="31" t="s">
        <v>669</v>
      </c>
      <c r="Q314" s="32">
        <v>3.06</v>
      </c>
      <c r="R314" s="48">
        <f>IFERROR(Q314/VLOOKUP(P314,'Exchange rates to USD'!$L$2:$N$225,3,FALSE),"")</f>
        <v>3.3741669596870163</v>
      </c>
      <c r="U314" s="152"/>
      <c r="V314" s="152"/>
      <c r="W314" s="152"/>
    </row>
    <row r="315" spans="1:23" ht="13.25" customHeight="1" x14ac:dyDescent="0.25">
      <c r="A315" s="31" t="s">
        <v>479</v>
      </c>
      <c r="B315" s="31" t="s">
        <v>635</v>
      </c>
      <c r="C315" s="31" t="s">
        <v>22</v>
      </c>
      <c r="D315" s="31" t="s">
        <v>13</v>
      </c>
      <c r="E315" s="31" t="s">
        <v>14</v>
      </c>
      <c r="G315" s="31" t="s">
        <v>3173</v>
      </c>
      <c r="J315" s="31" t="s">
        <v>480</v>
      </c>
      <c r="K315" s="31" t="s">
        <v>481</v>
      </c>
      <c r="M315" s="31" t="s">
        <v>871</v>
      </c>
      <c r="R315" s="48" t="str">
        <f>IFERROR(Q315/VLOOKUP(P315,'Exchange rates to USD'!$L$2:$N$225,3,FALSE),"")</f>
        <v/>
      </c>
      <c r="U315" s="152"/>
      <c r="V315" s="152"/>
      <c r="W315" s="152"/>
    </row>
    <row r="316" spans="1:23" ht="13.25" customHeight="1" x14ac:dyDescent="0.25">
      <c r="A316" s="31" t="s">
        <v>482</v>
      </c>
      <c r="B316" s="31" t="s">
        <v>635</v>
      </c>
      <c r="C316" s="31" t="s">
        <v>30</v>
      </c>
      <c r="D316" s="31" t="s">
        <v>13</v>
      </c>
      <c r="E316" s="31" t="s">
        <v>258</v>
      </c>
      <c r="G316" s="31" t="s">
        <v>25</v>
      </c>
      <c r="H316" s="31" t="s">
        <v>670</v>
      </c>
      <c r="I316" s="31" t="s">
        <v>3173</v>
      </c>
      <c r="J316" s="31" t="s">
        <v>483</v>
      </c>
      <c r="K316" s="31" t="s">
        <v>484</v>
      </c>
      <c r="M316" s="31" t="s">
        <v>737</v>
      </c>
      <c r="R316" s="48" t="str">
        <f>IFERROR(Q316/VLOOKUP(P316,'Exchange rates to USD'!$L$2:$N$225,3,FALSE),"")</f>
        <v/>
      </c>
      <c r="U316" s="152"/>
      <c r="V316" s="152"/>
      <c r="W316" s="152"/>
    </row>
    <row r="317" spans="1:23" ht="13.25" customHeight="1" x14ac:dyDescent="0.25">
      <c r="A317" s="31" t="s">
        <v>485</v>
      </c>
      <c r="B317" s="31" t="s">
        <v>635</v>
      </c>
      <c r="C317" s="31" t="s">
        <v>22</v>
      </c>
      <c r="D317" s="31" t="s">
        <v>13</v>
      </c>
      <c r="E317" s="31" t="s">
        <v>88</v>
      </c>
      <c r="F317" s="31" t="s">
        <v>486</v>
      </c>
      <c r="G317" s="31" t="s">
        <v>41</v>
      </c>
      <c r="H317" s="31" t="s">
        <v>44</v>
      </c>
      <c r="J317" s="31" t="s">
        <v>487</v>
      </c>
      <c r="K317" s="31" t="s">
        <v>488</v>
      </c>
      <c r="M317" s="31" t="s">
        <v>737</v>
      </c>
      <c r="P317" s="31" t="s">
        <v>669</v>
      </c>
      <c r="Q317" s="32">
        <v>10</v>
      </c>
      <c r="R317" s="48">
        <f>IFERROR(Q317/VLOOKUP(P317,'Exchange rates to USD'!$L$2:$N$225,3,FALSE),"")</f>
        <v>11.026689410741882</v>
      </c>
      <c r="U317" s="152"/>
      <c r="V317" s="152"/>
      <c r="W317" s="152"/>
    </row>
    <row r="318" spans="1:23" ht="13.25" customHeight="1" x14ac:dyDescent="0.25">
      <c r="A318" s="31" t="s">
        <v>489</v>
      </c>
      <c r="B318" s="31" t="s">
        <v>635</v>
      </c>
      <c r="C318" s="31" t="s">
        <v>22</v>
      </c>
      <c r="D318" s="31" t="s">
        <v>13</v>
      </c>
      <c r="E318" s="31" t="s">
        <v>88</v>
      </c>
      <c r="G318" s="31" t="s">
        <v>41</v>
      </c>
      <c r="H318" s="31" t="s">
        <v>670</v>
      </c>
      <c r="J318" s="31" t="s">
        <v>490</v>
      </c>
      <c r="K318" s="31" t="s">
        <v>491</v>
      </c>
      <c r="M318" s="31" t="s">
        <v>737</v>
      </c>
      <c r="R318" s="48" t="str">
        <f>IFERROR(Q318/VLOOKUP(P318,'Exchange rates to USD'!$L$2:$N$225,3,FALSE),"")</f>
        <v/>
      </c>
      <c r="U318" s="152"/>
      <c r="V318" s="152"/>
      <c r="W318" s="152"/>
    </row>
    <row r="319" spans="1:23" ht="13.25" customHeight="1" x14ac:dyDescent="0.25">
      <c r="A319" s="31" t="s">
        <v>492</v>
      </c>
      <c r="B319" s="31" t="s">
        <v>635</v>
      </c>
      <c r="C319" s="31" t="s">
        <v>2531</v>
      </c>
      <c r="D319" s="31" t="s">
        <v>13</v>
      </c>
      <c r="E319" s="31" t="s">
        <v>161</v>
      </c>
      <c r="G319" s="31" t="s">
        <v>44</v>
      </c>
      <c r="J319" s="31" t="s">
        <v>493</v>
      </c>
      <c r="K319" s="31" t="s">
        <v>494</v>
      </c>
      <c r="M319" s="31" t="s">
        <v>737</v>
      </c>
      <c r="R319" s="48" t="str">
        <f>IFERROR(Q319/VLOOKUP(P319,'Exchange rates to USD'!$L$2:$N$225,3,FALSE),"")</f>
        <v/>
      </c>
      <c r="U319" s="152"/>
      <c r="V319" s="152"/>
      <c r="W319" s="152"/>
    </row>
    <row r="320" spans="1:23" ht="13.25" customHeight="1" x14ac:dyDescent="0.25">
      <c r="A320" s="31" t="s">
        <v>495</v>
      </c>
      <c r="B320" s="31" t="s">
        <v>635</v>
      </c>
      <c r="C320" s="31" t="s">
        <v>22</v>
      </c>
      <c r="D320" s="31" t="s">
        <v>23</v>
      </c>
      <c r="E320" s="31" t="s">
        <v>3200</v>
      </c>
      <c r="F320" s="31" t="s">
        <v>496</v>
      </c>
      <c r="G320" s="31" t="s">
        <v>44</v>
      </c>
      <c r="J320" s="31" t="s">
        <v>497</v>
      </c>
      <c r="K320" s="31" t="s">
        <v>498</v>
      </c>
      <c r="M320" s="31" t="s">
        <v>737</v>
      </c>
      <c r="P320" s="31" t="s">
        <v>669</v>
      </c>
      <c r="Q320" s="32">
        <v>1250</v>
      </c>
      <c r="R320" s="48">
        <f>IFERROR(Q320/VLOOKUP(P320,'Exchange rates to USD'!$L$2:$N$225,3,FALSE),"")</f>
        <v>1378.3361763427354</v>
      </c>
      <c r="U320" s="152"/>
      <c r="V320" s="152"/>
      <c r="W320" s="152"/>
    </row>
    <row r="321" spans="1:23" ht="13.25" customHeight="1" x14ac:dyDescent="0.25">
      <c r="A321" s="31" t="s">
        <v>499</v>
      </c>
      <c r="B321" s="31" t="s">
        <v>635</v>
      </c>
      <c r="C321" s="31" t="s">
        <v>2531</v>
      </c>
      <c r="D321" s="31" t="s">
        <v>13</v>
      </c>
      <c r="E321" s="31" t="s">
        <v>3200</v>
      </c>
      <c r="G321" s="31" t="s">
        <v>670</v>
      </c>
      <c r="H321" s="31" t="s">
        <v>44</v>
      </c>
      <c r="J321" s="31" t="s">
        <v>500</v>
      </c>
      <c r="K321" s="31" t="s">
        <v>501</v>
      </c>
      <c r="M321" s="31" t="s">
        <v>101</v>
      </c>
      <c r="R321" s="48" t="str">
        <f>IFERROR(Q321/VLOOKUP(P321,'Exchange rates to USD'!$L$2:$N$225,3,FALSE),"")</f>
        <v/>
      </c>
      <c r="U321" s="152"/>
      <c r="V321" s="152"/>
      <c r="W321" s="152"/>
    </row>
    <row r="322" spans="1:23" ht="13.25" customHeight="1" x14ac:dyDescent="0.25">
      <c r="A322" s="31" t="s">
        <v>502</v>
      </c>
      <c r="B322" s="31" t="s">
        <v>635</v>
      </c>
      <c r="C322" s="31" t="s">
        <v>2531</v>
      </c>
      <c r="D322" s="31" t="s">
        <v>23</v>
      </c>
      <c r="E322" s="31" t="s">
        <v>3200</v>
      </c>
      <c r="G322" s="31" t="s">
        <v>25</v>
      </c>
      <c r="H322" s="31" t="s">
        <v>3173</v>
      </c>
      <c r="J322" s="31" t="s">
        <v>503</v>
      </c>
      <c r="K322" s="31" t="s">
        <v>504</v>
      </c>
      <c r="M322" s="31" t="s">
        <v>737</v>
      </c>
      <c r="R322" s="48" t="str">
        <f>IFERROR(Q322/VLOOKUP(P322,'Exchange rates to USD'!$L$2:$N$225,3,FALSE),"")</f>
        <v/>
      </c>
      <c r="U322" s="152"/>
      <c r="V322" s="152"/>
      <c r="W322" s="152"/>
    </row>
    <row r="323" spans="1:23" ht="13.25" customHeight="1" x14ac:dyDescent="0.25">
      <c r="A323" s="31" t="s">
        <v>505</v>
      </c>
      <c r="B323" s="31" t="s">
        <v>635</v>
      </c>
      <c r="C323" s="31" t="s">
        <v>30</v>
      </c>
      <c r="D323" s="31" t="s">
        <v>13</v>
      </c>
      <c r="E323" s="31" t="s">
        <v>258</v>
      </c>
      <c r="F323" s="31">
        <v>0</v>
      </c>
      <c r="G323" s="31" t="s">
        <v>3173</v>
      </c>
      <c r="H323" s="31" t="s">
        <v>25</v>
      </c>
      <c r="I323" s="31" t="s">
        <v>670</v>
      </c>
      <c r="J323" s="31" t="s">
        <v>506</v>
      </c>
      <c r="K323" s="31" t="s">
        <v>507</v>
      </c>
      <c r="M323" s="31" t="s">
        <v>737</v>
      </c>
      <c r="R323" s="48" t="str">
        <f>IFERROR(Q323/VLOOKUP(P323,'Exchange rates to USD'!$L$2:$N$225,3,FALSE),"")</f>
        <v/>
      </c>
      <c r="U323" s="152"/>
      <c r="V323" s="152"/>
      <c r="W323" s="152"/>
    </row>
    <row r="324" spans="1:23" ht="13.25" customHeight="1" x14ac:dyDescent="0.25">
      <c r="A324" s="31" t="s">
        <v>508</v>
      </c>
      <c r="B324" s="31" t="s">
        <v>635</v>
      </c>
      <c r="C324" s="31" t="s">
        <v>30</v>
      </c>
      <c r="D324" s="31" t="s">
        <v>13</v>
      </c>
      <c r="E324" s="31" t="s">
        <v>36</v>
      </c>
      <c r="F324" s="31">
        <v>0</v>
      </c>
      <c r="G324" s="31" t="s">
        <v>3173</v>
      </c>
      <c r="H324" s="31" t="s">
        <v>25</v>
      </c>
      <c r="J324" s="31" t="s">
        <v>509</v>
      </c>
      <c r="K324" s="31" t="s">
        <v>510</v>
      </c>
      <c r="M324" s="31" t="s">
        <v>101</v>
      </c>
      <c r="R324" s="48" t="str">
        <f>IFERROR(Q324/VLOOKUP(P324,'Exchange rates to USD'!$L$2:$N$225,3,FALSE),"")</f>
        <v/>
      </c>
      <c r="U324" s="152"/>
      <c r="V324" s="152"/>
      <c r="W324" s="152"/>
    </row>
    <row r="325" spans="1:23" ht="13.25" customHeight="1" x14ac:dyDescent="0.25">
      <c r="A325" s="31" t="s">
        <v>511</v>
      </c>
      <c r="B325" s="31" t="s">
        <v>635</v>
      </c>
      <c r="C325" s="31" t="s">
        <v>22</v>
      </c>
      <c r="D325" s="31" t="s">
        <v>13</v>
      </c>
      <c r="E325" s="31" t="s">
        <v>88</v>
      </c>
      <c r="F325" s="31" t="s">
        <v>512</v>
      </c>
      <c r="G325" s="31" t="s">
        <v>41</v>
      </c>
      <c r="H325" s="31" t="s">
        <v>44</v>
      </c>
      <c r="J325" s="31" t="s">
        <v>513</v>
      </c>
      <c r="K325" s="31" t="s">
        <v>514</v>
      </c>
      <c r="M325" s="31" t="s">
        <v>737</v>
      </c>
      <c r="P325" s="31" t="s">
        <v>669</v>
      </c>
      <c r="Q325" s="32">
        <v>2</v>
      </c>
      <c r="R325" s="48">
        <f>IFERROR(Q325/VLOOKUP(P325,'Exchange rates to USD'!$L$2:$N$225,3,FALSE),"")</f>
        <v>2.2053378821483767</v>
      </c>
      <c r="U325" s="152"/>
      <c r="V325" s="152"/>
      <c r="W325" s="152"/>
    </row>
    <row r="326" spans="1:23" ht="13.25" customHeight="1" x14ac:dyDescent="0.25">
      <c r="A326" s="31" t="s">
        <v>963</v>
      </c>
      <c r="B326" s="31" t="s">
        <v>635</v>
      </c>
      <c r="C326" s="31" t="s">
        <v>22</v>
      </c>
      <c r="D326" s="31" t="s">
        <v>23</v>
      </c>
      <c r="E326" s="31" t="s">
        <v>161</v>
      </c>
      <c r="G326" s="31" t="s">
        <v>25</v>
      </c>
      <c r="H326" s="31" t="s">
        <v>3173</v>
      </c>
      <c r="I326" s="31" t="s">
        <v>44</v>
      </c>
      <c r="J326" s="31" t="s">
        <v>964</v>
      </c>
      <c r="K326" s="31" t="s">
        <v>965</v>
      </c>
      <c r="M326" s="31" t="s">
        <v>113</v>
      </c>
      <c r="R326" s="48" t="str">
        <f>IFERROR(Q326/VLOOKUP(P326,'Exchange rates to USD'!$L$2:$N$225,3,FALSE),"")</f>
        <v/>
      </c>
      <c r="U326" s="152"/>
      <c r="V326" s="152"/>
      <c r="W326" s="152"/>
    </row>
    <row r="327" spans="1:23" ht="13.25" customHeight="1" x14ac:dyDescent="0.25">
      <c r="A327" s="31" t="s">
        <v>966</v>
      </c>
      <c r="B327" s="31" t="s">
        <v>635</v>
      </c>
      <c r="C327" s="31" t="s">
        <v>2530</v>
      </c>
      <c r="D327" s="31" t="s">
        <v>13</v>
      </c>
      <c r="E327" s="31" t="s">
        <v>36</v>
      </c>
      <c r="G327" s="31" t="s">
        <v>25</v>
      </c>
      <c r="J327" s="31" t="s">
        <v>967</v>
      </c>
      <c r="K327" s="31" t="s">
        <v>968</v>
      </c>
      <c r="M327" s="31" t="s">
        <v>737</v>
      </c>
      <c r="R327" s="48" t="str">
        <f>IFERROR(Q327/VLOOKUP(P327,'Exchange rates to USD'!$L$2:$N$225,3,FALSE),"")</f>
        <v/>
      </c>
      <c r="U327" s="152"/>
      <c r="V327" s="152"/>
      <c r="W327" s="152"/>
    </row>
    <row r="328" spans="1:23" ht="13.25" customHeight="1" x14ac:dyDescent="0.25">
      <c r="A328" s="31" t="s">
        <v>969</v>
      </c>
      <c r="B328" s="31" t="s">
        <v>635</v>
      </c>
      <c r="C328" s="31" t="s">
        <v>2530</v>
      </c>
      <c r="D328" s="31" t="s">
        <v>39</v>
      </c>
      <c r="E328" s="31" t="s">
        <v>36</v>
      </c>
      <c r="G328" s="31" t="s">
        <v>25</v>
      </c>
      <c r="H328" s="31" t="s">
        <v>44</v>
      </c>
      <c r="J328" s="31" t="s">
        <v>970</v>
      </c>
      <c r="K328" s="31" t="s">
        <v>971</v>
      </c>
      <c r="L328" s="31" t="s">
        <v>972</v>
      </c>
      <c r="M328" s="31" t="s">
        <v>113</v>
      </c>
      <c r="N328" s="31" t="s">
        <v>973</v>
      </c>
      <c r="O328" s="42" t="s">
        <v>959</v>
      </c>
      <c r="R328" s="48" t="str">
        <f>IFERROR(Q328/VLOOKUP(P328,'Exchange rates to USD'!$L$2:$N$225,3,FALSE),"")</f>
        <v/>
      </c>
      <c r="U328" s="152"/>
      <c r="V328" s="152"/>
      <c r="W328" s="152"/>
    </row>
    <row r="329" spans="1:23" ht="13.25" customHeight="1" x14ac:dyDescent="0.25">
      <c r="A329" s="31" t="s">
        <v>974</v>
      </c>
      <c r="B329" s="31" t="s">
        <v>635</v>
      </c>
      <c r="C329" s="31" t="s">
        <v>22</v>
      </c>
      <c r="D329" s="31" t="s">
        <v>13</v>
      </c>
      <c r="E329" s="31" t="s">
        <v>161</v>
      </c>
      <c r="F329" s="31" t="s">
        <v>975</v>
      </c>
      <c r="G329" s="31" t="s">
        <v>3173</v>
      </c>
      <c r="H329" s="31" t="s">
        <v>809</v>
      </c>
      <c r="J329" s="31" t="s">
        <v>976</v>
      </c>
      <c r="K329" s="31" t="s">
        <v>977</v>
      </c>
      <c r="M329" s="31" t="s">
        <v>113</v>
      </c>
      <c r="N329" s="31" t="s">
        <v>978</v>
      </c>
      <c r="O329" s="42" t="s">
        <v>959</v>
      </c>
      <c r="P329" s="31" t="s">
        <v>669</v>
      </c>
      <c r="Q329" s="32">
        <v>850</v>
      </c>
      <c r="R329" s="48">
        <f>IFERROR(Q329/VLOOKUP(P329,'Exchange rates to USD'!$L$2:$N$225,3,FALSE),"")</f>
        <v>937.26859991306003</v>
      </c>
      <c r="U329" s="152"/>
      <c r="V329" s="152"/>
      <c r="W329" s="152"/>
    </row>
    <row r="330" spans="1:23" ht="13.25" customHeight="1" x14ac:dyDescent="0.25">
      <c r="A330" s="38" t="s">
        <v>979</v>
      </c>
      <c r="B330" s="38" t="s">
        <v>635</v>
      </c>
      <c r="C330" s="38" t="s">
        <v>2531</v>
      </c>
      <c r="D330" s="38" t="s">
        <v>13</v>
      </c>
      <c r="E330" s="38" t="s">
        <v>36</v>
      </c>
      <c r="F330" s="38" t="s">
        <v>2891</v>
      </c>
      <c r="G330" s="38" t="s">
        <v>3173</v>
      </c>
      <c r="H330" s="38" t="s">
        <v>809</v>
      </c>
      <c r="I330" s="38"/>
      <c r="J330" s="38" t="s">
        <v>980</v>
      </c>
      <c r="K330" s="38" t="s">
        <v>981</v>
      </c>
      <c r="L330" s="38"/>
      <c r="M330" s="38" t="s">
        <v>113</v>
      </c>
      <c r="N330" s="38" t="s">
        <v>982</v>
      </c>
      <c r="O330" s="45">
        <v>44265</v>
      </c>
      <c r="P330" s="38" t="s">
        <v>669</v>
      </c>
      <c r="Q330" s="60">
        <v>63.5</v>
      </c>
      <c r="R330" s="48">
        <f>IFERROR(Q330/VLOOKUP(P330,'Exchange rates to USD'!$L$2:$N$225,3,FALSE),"")</f>
        <v>70.019477758210954</v>
      </c>
      <c r="U330" s="152"/>
      <c r="V330" s="152"/>
      <c r="W330" s="152"/>
    </row>
    <row r="331" spans="1:23" s="152" customFormat="1" ht="13.25" customHeight="1" x14ac:dyDescent="0.25">
      <c r="A331" s="38" t="s">
        <v>2889</v>
      </c>
      <c r="B331" s="38" t="s">
        <v>635</v>
      </c>
      <c r="C331" s="38" t="s">
        <v>2530</v>
      </c>
      <c r="D331" s="38" t="s">
        <v>13</v>
      </c>
      <c r="E331" s="38" t="s">
        <v>191</v>
      </c>
      <c r="F331" s="38" t="s">
        <v>3150</v>
      </c>
      <c r="G331" s="38" t="s">
        <v>41</v>
      </c>
      <c r="H331" s="38" t="s">
        <v>809</v>
      </c>
      <c r="I331" s="38"/>
      <c r="J331" s="155" t="s">
        <v>3152</v>
      </c>
      <c r="K331" s="157" t="s">
        <v>2892</v>
      </c>
      <c r="L331" s="38"/>
      <c r="M331" s="38" t="s">
        <v>113</v>
      </c>
      <c r="N331" s="159" t="s">
        <v>2893</v>
      </c>
      <c r="O331" s="45">
        <v>44265</v>
      </c>
      <c r="P331" s="38" t="s">
        <v>669</v>
      </c>
      <c r="Q331" s="60">
        <v>391</v>
      </c>
      <c r="R331" s="48">
        <f>IFERROR(Q331/VLOOKUP(P331,'Exchange rates to USD'!$L$2:$N$225,3,FALSE),"")</f>
        <v>431.14355596000763</v>
      </c>
    </row>
    <row r="332" spans="1:23" s="152" customFormat="1" ht="13.25" customHeight="1" x14ac:dyDescent="0.25">
      <c r="A332" s="153" t="s">
        <v>2890</v>
      </c>
      <c r="B332" s="153" t="s">
        <v>635</v>
      </c>
      <c r="C332" s="153" t="s">
        <v>2530</v>
      </c>
      <c r="D332" s="153" t="s">
        <v>13</v>
      </c>
      <c r="E332" s="153" t="s">
        <v>14</v>
      </c>
      <c r="F332" s="153" t="s">
        <v>3151</v>
      </c>
      <c r="G332" s="153" t="s">
        <v>3173</v>
      </c>
      <c r="H332" s="153" t="s">
        <v>25</v>
      </c>
      <c r="I332" s="153"/>
      <c r="J332" s="156" t="s">
        <v>3153</v>
      </c>
      <c r="K332" s="154" t="s">
        <v>2892</v>
      </c>
      <c r="L332" s="153"/>
      <c r="M332" s="153" t="s">
        <v>113</v>
      </c>
      <c r="N332" s="158" t="s">
        <v>2894</v>
      </c>
      <c r="O332" s="43">
        <v>44265</v>
      </c>
      <c r="P332" s="153" t="s">
        <v>669</v>
      </c>
      <c r="Q332" s="49">
        <v>356</v>
      </c>
      <c r="R332" s="148">
        <f>IFERROR(Q332/VLOOKUP(P332,'Exchange rates to USD'!$L$2:$N$225,3,FALSE),"")</f>
        <v>392.55014302241102</v>
      </c>
    </row>
    <row r="333" spans="1:23" ht="13.25" customHeight="1" x14ac:dyDescent="0.25">
      <c r="A333" s="31" t="s">
        <v>424</v>
      </c>
      <c r="B333" s="31" t="s">
        <v>636</v>
      </c>
      <c r="C333" s="31" t="s">
        <v>110</v>
      </c>
      <c r="D333" s="31" t="s">
        <v>23</v>
      </c>
      <c r="E333" s="31" t="s">
        <v>3200</v>
      </c>
      <c r="F333" s="31" t="s">
        <v>1679</v>
      </c>
      <c r="G333" s="31" t="s">
        <v>44</v>
      </c>
      <c r="J333" s="31" t="s">
        <v>425</v>
      </c>
      <c r="K333" s="31" t="s">
        <v>426</v>
      </c>
      <c r="M333" s="31" t="s">
        <v>737</v>
      </c>
      <c r="O333" s="42">
        <v>44131</v>
      </c>
      <c r="P333" s="31" t="s">
        <v>2226</v>
      </c>
      <c r="Q333" s="32">
        <v>32000</v>
      </c>
      <c r="R333" s="48">
        <f>IFERROR(Q333/VLOOKUP(P333,'Exchange rates to USD'!$L$2:$N$225,3,FALSE),"")</f>
        <v>117.38514189810724</v>
      </c>
      <c r="U333" s="152"/>
      <c r="V333" s="152"/>
      <c r="W333" s="152"/>
    </row>
    <row r="334" spans="1:23" ht="13.25" customHeight="1" x14ac:dyDescent="0.25">
      <c r="A334" s="31" t="s">
        <v>427</v>
      </c>
      <c r="B334" s="31" t="s">
        <v>636</v>
      </c>
      <c r="C334" s="31" t="s">
        <v>22</v>
      </c>
      <c r="D334" s="31" t="s">
        <v>23</v>
      </c>
      <c r="E334" s="31" t="s">
        <v>3200</v>
      </c>
      <c r="F334" s="31" t="s">
        <v>1681</v>
      </c>
      <c r="G334" s="31" t="s">
        <v>207</v>
      </c>
      <c r="J334" s="31" t="s">
        <v>2594</v>
      </c>
      <c r="K334" s="31" t="s">
        <v>2595</v>
      </c>
      <c r="M334" s="31" t="s">
        <v>737</v>
      </c>
      <c r="O334" s="42">
        <v>44203</v>
      </c>
      <c r="P334" s="31" t="s">
        <v>2226</v>
      </c>
      <c r="Q334" s="32">
        <v>7000</v>
      </c>
      <c r="R334" s="48">
        <f>IFERROR(Q334/VLOOKUP(P334,'Exchange rates to USD'!$L$2:$N$225,3,FALSE),"")</f>
        <v>25.677999790210958</v>
      </c>
      <c r="U334" s="152"/>
      <c r="V334" s="152"/>
      <c r="W334" s="152"/>
    </row>
    <row r="335" spans="1:23" ht="13.25" customHeight="1" x14ac:dyDescent="0.25">
      <c r="A335" s="31" t="s">
        <v>428</v>
      </c>
      <c r="B335" s="31" t="s">
        <v>636</v>
      </c>
      <c r="C335" s="31" t="s">
        <v>22</v>
      </c>
      <c r="D335" s="31" t="s">
        <v>13</v>
      </c>
      <c r="E335" s="31" t="s">
        <v>14</v>
      </c>
      <c r="F335" s="31" t="s">
        <v>1680</v>
      </c>
      <c r="G335" s="31" t="s">
        <v>3173</v>
      </c>
      <c r="J335" s="31" t="s">
        <v>429</v>
      </c>
      <c r="K335" s="31" t="s">
        <v>426</v>
      </c>
      <c r="M335" s="31" t="s">
        <v>113</v>
      </c>
      <c r="O335" s="42">
        <v>44131</v>
      </c>
      <c r="P335" s="31" t="s">
        <v>2226</v>
      </c>
      <c r="Q335" s="32">
        <v>7300</v>
      </c>
      <c r="R335" s="48">
        <f>IFERROR(Q335/VLOOKUP(P335,'Exchange rates to USD'!$L$2:$N$225,3,FALSE),"")</f>
        <v>26.778485495505713</v>
      </c>
      <c r="U335" s="152"/>
      <c r="V335" s="152"/>
      <c r="W335" s="152"/>
    </row>
    <row r="336" spans="1:23" ht="13.25" customHeight="1" x14ac:dyDescent="0.25">
      <c r="A336" s="31" t="s">
        <v>430</v>
      </c>
      <c r="B336" s="31" t="s">
        <v>636</v>
      </c>
      <c r="C336" s="31" t="s">
        <v>84</v>
      </c>
      <c r="D336" s="31" t="s">
        <v>23</v>
      </c>
      <c r="E336" s="31" t="s">
        <v>3200</v>
      </c>
      <c r="F336" s="31" t="s">
        <v>1681</v>
      </c>
      <c r="G336" s="31" t="s">
        <v>44</v>
      </c>
      <c r="J336" s="31" t="s">
        <v>431</v>
      </c>
      <c r="K336" s="31" t="s">
        <v>426</v>
      </c>
      <c r="M336" s="31" t="s">
        <v>737</v>
      </c>
      <c r="O336" s="42">
        <v>44131</v>
      </c>
      <c r="P336" s="31" t="s">
        <v>2226</v>
      </c>
      <c r="Q336" s="32">
        <v>7000</v>
      </c>
      <c r="R336" s="48">
        <f>IFERROR(Q336/VLOOKUP(P336,'Exchange rates to USD'!$L$2:$N$225,3,FALSE),"")</f>
        <v>25.677999790210958</v>
      </c>
      <c r="U336" s="152"/>
      <c r="V336" s="152"/>
      <c r="W336" s="152"/>
    </row>
    <row r="337" spans="1:23" ht="13.25" customHeight="1" x14ac:dyDescent="0.25">
      <c r="A337" s="31" t="s">
        <v>432</v>
      </c>
      <c r="B337" s="31" t="s">
        <v>636</v>
      </c>
      <c r="C337" s="31" t="s">
        <v>22</v>
      </c>
      <c r="D337" s="31" t="s">
        <v>39</v>
      </c>
      <c r="E337" s="31" t="s">
        <v>36</v>
      </c>
      <c r="F337" s="31" t="s">
        <v>1682</v>
      </c>
      <c r="G337" s="31" t="s">
        <v>3173</v>
      </c>
      <c r="J337" s="31" t="s">
        <v>433</v>
      </c>
      <c r="K337" s="31" t="s">
        <v>434</v>
      </c>
      <c r="M337" s="31" t="s">
        <v>871</v>
      </c>
      <c r="O337" s="42">
        <v>44131</v>
      </c>
      <c r="P337" s="31" t="s">
        <v>2226</v>
      </c>
      <c r="Q337" s="32">
        <v>140000</v>
      </c>
      <c r="R337" s="48">
        <f>IFERROR(Q337/VLOOKUP(P337,'Exchange rates to USD'!$L$2:$N$225,3,FALSE),"")</f>
        <v>513.55999580421917</v>
      </c>
      <c r="U337" s="152"/>
      <c r="V337" s="152"/>
      <c r="W337" s="152"/>
    </row>
    <row r="338" spans="1:23" ht="13.25" customHeight="1" x14ac:dyDescent="0.25">
      <c r="A338" s="31" t="s">
        <v>435</v>
      </c>
      <c r="B338" s="31" t="s">
        <v>636</v>
      </c>
      <c r="C338" s="31" t="s">
        <v>22</v>
      </c>
      <c r="D338" s="31" t="s">
        <v>39</v>
      </c>
      <c r="E338" s="31" t="s">
        <v>36</v>
      </c>
      <c r="F338" s="31" t="s">
        <v>1683</v>
      </c>
      <c r="G338" s="31" t="s">
        <v>3173</v>
      </c>
      <c r="J338" s="31" t="s">
        <v>436</v>
      </c>
      <c r="K338" s="31" t="s">
        <v>434</v>
      </c>
      <c r="M338" s="31" t="s">
        <v>871</v>
      </c>
      <c r="O338" s="42">
        <v>44131</v>
      </c>
      <c r="P338" s="31" t="s">
        <v>2226</v>
      </c>
      <c r="Q338" s="32">
        <v>24000</v>
      </c>
      <c r="R338" s="48">
        <f>IFERROR(Q338/VLOOKUP(P338,'Exchange rates to USD'!$L$2:$N$225,3,FALSE),"")</f>
        <v>88.038856423580427</v>
      </c>
      <c r="U338" s="152"/>
      <c r="V338" s="152"/>
      <c r="W338" s="152"/>
    </row>
    <row r="339" spans="1:23" ht="13.25" customHeight="1" x14ac:dyDescent="0.25">
      <c r="A339" s="31" t="s">
        <v>437</v>
      </c>
      <c r="B339" s="31" t="s">
        <v>636</v>
      </c>
      <c r="C339" s="31" t="s">
        <v>22</v>
      </c>
      <c r="D339" s="31" t="s">
        <v>39</v>
      </c>
      <c r="E339" s="31" t="s">
        <v>36</v>
      </c>
      <c r="F339" s="31" t="s">
        <v>2575</v>
      </c>
      <c r="G339" s="31" t="s">
        <v>3173</v>
      </c>
      <c r="J339" s="31" t="s">
        <v>2576</v>
      </c>
      <c r="K339" s="31" t="s">
        <v>2577</v>
      </c>
      <c r="M339" s="31" t="s">
        <v>737</v>
      </c>
      <c r="O339" s="42">
        <v>44203</v>
      </c>
      <c r="P339" s="31" t="s">
        <v>2226</v>
      </c>
      <c r="Q339" s="32">
        <v>82130</v>
      </c>
      <c r="R339" s="48">
        <f>IFERROR(Q339/VLOOKUP(P339,'Exchange rates to USD'!$L$2:$N$225,3,FALSE),"")</f>
        <v>301.27630325286083</v>
      </c>
      <c r="U339" s="152"/>
      <c r="V339" s="152"/>
      <c r="W339" s="152"/>
    </row>
    <row r="340" spans="1:23" ht="13.25" customHeight="1" x14ac:dyDescent="0.25">
      <c r="A340" s="31" t="s">
        <v>438</v>
      </c>
      <c r="B340" s="31" t="s">
        <v>636</v>
      </c>
      <c r="C340" s="31" t="s">
        <v>2530</v>
      </c>
      <c r="D340" s="31" t="s">
        <v>23</v>
      </c>
      <c r="E340" s="31" t="s">
        <v>36</v>
      </c>
      <c r="F340" s="31" t="s">
        <v>2578</v>
      </c>
      <c r="G340" s="31" t="s">
        <v>3173</v>
      </c>
      <c r="J340" s="31" t="s">
        <v>439</v>
      </c>
      <c r="K340" s="31" t="s">
        <v>440</v>
      </c>
      <c r="M340" s="31" t="s">
        <v>737</v>
      </c>
      <c r="O340" s="42" t="s">
        <v>2579</v>
      </c>
      <c r="P340" s="31" t="s">
        <v>2226</v>
      </c>
      <c r="Q340" s="32">
        <v>126721</v>
      </c>
      <c r="R340" s="48">
        <f>IFERROR(Q340/VLOOKUP(P340,'Exchange rates to USD'!$L$2:$N$225,3,FALSE),"")</f>
        <v>464.84883020218894</v>
      </c>
      <c r="U340" s="152"/>
      <c r="V340" s="152"/>
      <c r="W340" s="152"/>
    </row>
    <row r="341" spans="1:23" ht="13.25" customHeight="1" x14ac:dyDescent="0.25">
      <c r="A341" s="31" t="s">
        <v>441</v>
      </c>
      <c r="B341" s="31" t="s">
        <v>636</v>
      </c>
      <c r="C341" s="31" t="s">
        <v>2530</v>
      </c>
      <c r="D341" s="31" t="s">
        <v>13</v>
      </c>
      <c r="E341" s="31" t="s">
        <v>14</v>
      </c>
      <c r="F341" s="31" t="s">
        <v>1684</v>
      </c>
      <c r="G341" s="31" t="s">
        <v>3173</v>
      </c>
      <c r="J341" s="31" t="s">
        <v>442</v>
      </c>
      <c r="K341" s="31" t="s">
        <v>443</v>
      </c>
      <c r="M341" s="31" t="s">
        <v>101</v>
      </c>
      <c r="O341" s="42">
        <v>44131</v>
      </c>
      <c r="P341" s="31" t="s">
        <v>2226</v>
      </c>
      <c r="Q341" s="32">
        <v>24600</v>
      </c>
      <c r="R341" s="48">
        <f>IFERROR(Q341/VLOOKUP(P341,'Exchange rates to USD'!$L$2:$N$225,3,FALSE),"")</f>
        <v>90.23982783416993</v>
      </c>
      <c r="U341" s="152"/>
      <c r="V341" s="152"/>
      <c r="W341" s="152"/>
    </row>
    <row r="342" spans="1:23" ht="13.25" customHeight="1" x14ac:dyDescent="0.25">
      <c r="A342" s="31" t="s">
        <v>444</v>
      </c>
      <c r="B342" s="31" t="s">
        <v>636</v>
      </c>
      <c r="C342" s="31" t="s">
        <v>2530</v>
      </c>
      <c r="D342" s="31" t="s">
        <v>39</v>
      </c>
      <c r="E342" s="31" t="s">
        <v>36</v>
      </c>
      <c r="F342" s="31" t="s">
        <v>1685</v>
      </c>
      <c r="G342" s="31" t="s">
        <v>3173</v>
      </c>
      <c r="J342" s="31" t="s">
        <v>445</v>
      </c>
      <c r="K342" s="31" t="s">
        <v>446</v>
      </c>
      <c r="M342" s="31" t="s">
        <v>871</v>
      </c>
      <c r="O342" s="42">
        <v>44131</v>
      </c>
      <c r="P342" s="31" t="s">
        <v>2226</v>
      </c>
      <c r="Q342" s="32">
        <v>22000</v>
      </c>
      <c r="R342" s="48">
        <f>IFERROR(Q342/VLOOKUP(P342,'Exchange rates to USD'!$L$2:$N$225,3,FALSE),"")</f>
        <v>80.702285054948717</v>
      </c>
      <c r="U342" s="152"/>
      <c r="V342" s="152"/>
      <c r="W342" s="152"/>
    </row>
    <row r="343" spans="1:23" ht="13.25" customHeight="1" x14ac:dyDescent="0.25">
      <c r="A343" s="31" t="s">
        <v>447</v>
      </c>
      <c r="B343" s="31" t="s">
        <v>636</v>
      </c>
      <c r="C343" s="31" t="s">
        <v>2530</v>
      </c>
      <c r="D343" s="31" t="s">
        <v>23</v>
      </c>
      <c r="E343" s="31" t="s">
        <v>36</v>
      </c>
      <c r="F343" s="31" t="s">
        <v>2580</v>
      </c>
      <c r="G343" s="31" t="s">
        <v>111</v>
      </c>
      <c r="J343" s="31" t="s">
        <v>448</v>
      </c>
      <c r="K343" s="31" t="s">
        <v>449</v>
      </c>
      <c r="M343" s="31" t="s">
        <v>113</v>
      </c>
      <c r="O343" s="42">
        <v>44209</v>
      </c>
      <c r="P343" s="31" t="s">
        <v>2226</v>
      </c>
      <c r="Q343" s="32">
        <v>46460</v>
      </c>
      <c r="R343" s="48">
        <f>IFERROR(Q343/VLOOKUP(P343,'Exchange rates to USD'!$L$2:$N$225,3,FALSE),"")</f>
        <v>170.42855289331445</v>
      </c>
      <c r="U343" s="152"/>
      <c r="V343" s="152"/>
      <c r="W343" s="152"/>
    </row>
    <row r="344" spans="1:23" ht="13.25" customHeight="1" x14ac:dyDescent="0.25">
      <c r="A344" s="31" t="s">
        <v>450</v>
      </c>
      <c r="B344" s="31" t="s">
        <v>636</v>
      </c>
      <c r="C344" s="31" t="s">
        <v>22</v>
      </c>
      <c r="D344" s="31" t="s">
        <v>13</v>
      </c>
      <c r="E344" s="31" t="s">
        <v>14</v>
      </c>
      <c r="F344" s="31" t="s">
        <v>1686</v>
      </c>
      <c r="G344" s="31" t="s">
        <v>3173</v>
      </c>
      <c r="J344" s="31" t="s">
        <v>451</v>
      </c>
      <c r="K344" s="31" t="s">
        <v>452</v>
      </c>
      <c r="M344" s="31" t="s">
        <v>737</v>
      </c>
      <c r="O344" s="42">
        <v>44131</v>
      </c>
      <c r="P344" s="31" t="s">
        <v>2226</v>
      </c>
      <c r="Q344" s="32">
        <v>15100</v>
      </c>
      <c r="R344" s="48">
        <f>IFERROR(Q344/VLOOKUP(P344,'Exchange rates to USD'!$L$2:$N$225,3,FALSE),"")</f>
        <v>55.391113833169349</v>
      </c>
      <c r="U344" s="152"/>
      <c r="V344" s="152"/>
      <c r="W344" s="152"/>
    </row>
    <row r="345" spans="1:23" ht="13.25" customHeight="1" x14ac:dyDescent="0.25">
      <c r="A345" s="31" t="s">
        <v>453</v>
      </c>
      <c r="B345" s="31" t="s">
        <v>636</v>
      </c>
      <c r="C345" s="31" t="s">
        <v>2530</v>
      </c>
      <c r="D345" s="31" t="s">
        <v>23</v>
      </c>
      <c r="E345" s="31" t="s">
        <v>36</v>
      </c>
      <c r="F345" s="31" t="s">
        <v>2581</v>
      </c>
      <c r="G345" s="31" t="s">
        <v>3173</v>
      </c>
      <c r="J345" s="31" t="s">
        <v>454</v>
      </c>
      <c r="K345" s="31" t="s">
        <v>455</v>
      </c>
      <c r="M345" s="31" t="s">
        <v>113</v>
      </c>
      <c r="O345" s="42">
        <v>44209</v>
      </c>
      <c r="P345" s="31" t="s">
        <v>2226</v>
      </c>
      <c r="Q345" s="32">
        <v>31045</v>
      </c>
      <c r="R345" s="48">
        <f>IFERROR(Q345/VLOOKUP(P345,'Exchange rates to USD'!$L$2:$N$225,3,FALSE),"")</f>
        <v>113.8819290695856</v>
      </c>
      <c r="U345" s="152"/>
      <c r="V345" s="152"/>
      <c r="W345" s="152"/>
    </row>
    <row r="346" spans="1:23" ht="13.25" customHeight="1" x14ac:dyDescent="0.25">
      <c r="A346" s="31" t="s">
        <v>456</v>
      </c>
      <c r="B346" s="31" t="s">
        <v>636</v>
      </c>
      <c r="C346" s="31" t="s">
        <v>2530</v>
      </c>
      <c r="D346" s="31" t="s">
        <v>23</v>
      </c>
      <c r="E346" s="31" t="s">
        <v>36</v>
      </c>
      <c r="F346" s="31" t="s">
        <v>2582</v>
      </c>
      <c r="G346" s="31" t="s">
        <v>3173</v>
      </c>
      <c r="J346" s="31" t="s">
        <v>457</v>
      </c>
      <c r="K346" s="31" t="s">
        <v>458</v>
      </c>
      <c r="M346" s="31" t="s">
        <v>113</v>
      </c>
      <c r="O346" s="42">
        <v>44209</v>
      </c>
      <c r="P346" s="31" t="s">
        <v>2226</v>
      </c>
      <c r="Q346" s="28">
        <v>231300</v>
      </c>
      <c r="R346" s="48">
        <f>IFERROR(Q346/VLOOKUP(P346,'Exchange rates to USD'!$L$2:$N$225,3,FALSE),"")</f>
        <v>848.47447878225637</v>
      </c>
      <c r="U346" s="152"/>
      <c r="V346" s="152"/>
      <c r="W346" s="152"/>
    </row>
    <row r="347" spans="1:23" ht="13.25" customHeight="1" x14ac:dyDescent="0.25">
      <c r="A347" s="31" t="s">
        <v>459</v>
      </c>
      <c r="B347" s="31" t="s">
        <v>636</v>
      </c>
      <c r="C347" s="31" t="s">
        <v>2530</v>
      </c>
      <c r="D347" s="31" t="s">
        <v>23</v>
      </c>
      <c r="E347" s="31" t="s">
        <v>36</v>
      </c>
      <c r="F347" s="31" t="s">
        <v>1687</v>
      </c>
      <c r="G347" s="31" t="s">
        <v>3173</v>
      </c>
      <c r="J347" s="31" t="s">
        <v>460</v>
      </c>
      <c r="K347" s="31" t="s">
        <v>461</v>
      </c>
      <c r="M347" s="31" t="s">
        <v>113</v>
      </c>
      <c r="O347" s="42">
        <v>44131</v>
      </c>
      <c r="P347" s="31" t="s">
        <v>2226</v>
      </c>
      <c r="Q347" s="32">
        <v>4900</v>
      </c>
      <c r="R347" s="48">
        <f>IFERROR(Q347/VLOOKUP(P347,'Exchange rates to USD'!$L$2:$N$225,3,FALSE),"")</f>
        <v>17.974599853147669</v>
      </c>
      <c r="U347" s="152"/>
      <c r="V347" s="152"/>
      <c r="W347" s="152"/>
    </row>
    <row r="348" spans="1:23" ht="13.25" customHeight="1" x14ac:dyDescent="0.25">
      <c r="A348" s="31" t="s">
        <v>462</v>
      </c>
      <c r="B348" s="31" t="s">
        <v>636</v>
      </c>
      <c r="C348" s="31" t="s">
        <v>22</v>
      </c>
      <c r="D348" s="31" t="s">
        <v>39</v>
      </c>
      <c r="E348" s="31" t="s">
        <v>3200</v>
      </c>
      <c r="F348" s="31" t="s">
        <v>2583</v>
      </c>
      <c r="G348" s="31" t="s">
        <v>670</v>
      </c>
      <c r="J348" s="31" t="s">
        <v>463</v>
      </c>
      <c r="K348" s="31" t="s">
        <v>464</v>
      </c>
      <c r="M348" s="31" t="s">
        <v>113</v>
      </c>
      <c r="O348" s="42">
        <v>44209</v>
      </c>
      <c r="P348" s="31" t="s">
        <v>2226</v>
      </c>
      <c r="Q348" s="32">
        <v>43632</v>
      </c>
      <c r="R348" s="48">
        <f>IFERROR(Q348/VLOOKUP(P348,'Exchange rates to USD'!$L$2:$N$225,3,FALSE),"")</f>
        <v>160.05464097806922</v>
      </c>
      <c r="U348" s="152"/>
      <c r="V348" s="152"/>
      <c r="W348" s="152"/>
    </row>
    <row r="349" spans="1:23" ht="13.25" customHeight="1" x14ac:dyDescent="0.25">
      <c r="A349" s="31" t="s">
        <v>807</v>
      </c>
      <c r="B349" s="31" t="s">
        <v>636</v>
      </c>
      <c r="C349" s="31" t="s">
        <v>22</v>
      </c>
      <c r="D349" s="31" t="s">
        <v>13</v>
      </c>
      <c r="E349" s="31" t="s">
        <v>3200</v>
      </c>
      <c r="F349" s="31" t="s">
        <v>2584</v>
      </c>
      <c r="G349" s="31" t="s">
        <v>3173</v>
      </c>
      <c r="J349" s="78" t="s">
        <v>2586</v>
      </c>
      <c r="K349" s="31" t="s">
        <v>808</v>
      </c>
      <c r="M349" s="31" t="s">
        <v>737</v>
      </c>
      <c r="O349" s="42">
        <v>44209</v>
      </c>
      <c r="P349" s="31" t="s">
        <v>2226</v>
      </c>
      <c r="Q349" s="32">
        <v>136000</v>
      </c>
      <c r="R349" s="48">
        <f>IFERROR(Q349/VLOOKUP(P349,'Exchange rates to USD'!$L$2:$N$225,3,FALSE),"")</f>
        <v>498.88685306695572</v>
      </c>
      <c r="U349" s="152"/>
      <c r="V349" s="152"/>
      <c r="W349" s="152"/>
    </row>
    <row r="350" spans="1:23" ht="13.25" customHeight="1" x14ac:dyDescent="0.25">
      <c r="A350" s="31" t="s">
        <v>983</v>
      </c>
      <c r="B350" s="31" t="s">
        <v>636</v>
      </c>
      <c r="C350" s="31" t="s">
        <v>2531</v>
      </c>
      <c r="D350" s="31" t="s">
        <v>23</v>
      </c>
      <c r="E350" s="31" t="s">
        <v>36</v>
      </c>
      <c r="F350" s="31" t="s">
        <v>2585</v>
      </c>
      <c r="G350" s="31" t="s">
        <v>3173</v>
      </c>
      <c r="H350" s="31" t="s">
        <v>25</v>
      </c>
      <c r="J350" s="78" t="s">
        <v>2587</v>
      </c>
      <c r="K350" s="31" t="s">
        <v>2588</v>
      </c>
      <c r="M350" s="31" t="s">
        <v>113</v>
      </c>
      <c r="O350" s="42">
        <v>44209</v>
      </c>
      <c r="P350" s="31" t="s">
        <v>2226</v>
      </c>
      <c r="Q350" s="32">
        <v>5000</v>
      </c>
      <c r="R350" s="48">
        <f>IFERROR(Q350/VLOOKUP(P350,'Exchange rates to USD'!$L$2:$N$225,3,FALSE),"")</f>
        <v>18.341428421579256</v>
      </c>
      <c r="U350" s="152"/>
      <c r="V350" s="152"/>
      <c r="W350" s="152"/>
    </row>
    <row r="351" spans="1:23" ht="13.25" customHeight="1" x14ac:dyDescent="0.25">
      <c r="A351" s="31" t="s">
        <v>984</v>
      </c>
      <c r="B351" s="31" t="s">
        <v>636</v>
      </c>
      <c r="C351" s="31" t="s">
        <v>30</v>
      </c>
      <c r="D351" s="31" t="s">
        <v>872</v>
      </c>
      <c r="E351" s="31" t="s">
        <v>36</v>
      </c>
      <c r="F351" s="31" t="s">
        <v>31</v>
      </c>
      <c r="G351" s="31" t="s">
        <v>3173</v>
      </c>
      <c r="H351" s="31" t="s">
        <v>25</v>
      </c>
      <c r="J351" s="31" t="s">
        <v>985</v>
      </c>
      <c r="K351" s="31" t="s">
        <v>986</v>
      </c>
      <c r="M351" s="31" t="s">
        <v>101</v>
      </c>
      <c r="O351" s="42">
        <v>44131</v>
      </c>
      <c r="Q351" s="32">
        <v>0</v>
      </c>
      <c r="R351" s="48" t="str">
        <f>IFERROR(Q351/VLOOKUP(P351,'Exchange rates to USD'!$L$2:$N$225,3,FALSE),"")</f>
        <v/>
      </c>
      <c r="U351" s="152"/>
      <c r="V351" s="152"/>
      <c r="W351" s="152"/>
    </row>
    <row r="352" spans="1:23" ht="13.25" customHeight="1" x14ac:dyDescent="0.25">
      <c r="A352" s="31" t="s">
        <v>987</v>
      </c>
      <c r="B352" s="31" t="s">
        <v>636</v>
      </c>
      <c r="C352" s="31" t="s">
        <v>2530</v>
      </c>
      <c r="D352" s="31" t="s">
        <v>23</v>
      </c>
      <c r="E352" s="31" t="s">
        <v>619</v>
      </c>
      <c r="F352" s="31" t="s">
        <v>2590</v>
      </c>
      <c r="G352" s="31" t="s">
        <v>111</v>
      </c>
      <c r="J352" s="31" t="s">
        <v>988</v>
      </c>
      <c r="K352" s="31" t="s">
        <v>2589</v>
      </c>
      <c r="L352" s="31" t="s">
        <v>989</v>
      </c>
      <c r="M352" s="31" t="s">
        <v>113</v>
      </c>
      <c r="O352" s="42">
        <v>44209</v>
      </c>
      <c r="P352" s="31" t="s">
        <v>2226</v>
      </c>
      <c r="Q352" s="32">
        <v>13000</v>
      </c>
      <c r="R352" s="48">
        <f>IFERROR(Q352/VLOOKUP(P352,'Exchange rates to USD'!$L$2:$N$225,3,FALSE),"")</f>
        <v>47.687713896106061</v>
      </c>
      <c r="U352" s="152"/>
      <c r="V352" s="152"/>
      <c r="W352" s="152"/>
    </row>
    <row r="353" spans="1:23" s="38" customFormat="1" ht="13.25" customHeight="1" x14ac:dyDescent="0.25">
      <c r="A353" s="38" t="s">
        <v>990</v>
      </c>
      <c r="B353" s="38" t="s">
        <v>636</v>
      </c>
      <c r="C353" s="38" t="s">
        <v>2531</v>
      </c>
      <c r="D353" s="38" t="s">
        <v>872</v>
      </c>
      <c r="E353" s="38" t="s">
        <v>36</v>
      </c>
      <c r="F353" s="38" t="s">
        <v>2591</v>
      </c>
      <c r="G353" s="38" t="s">
        <v>3173</v>
      </c>
      <c r="H353" s="38" t="s">
        <v>25</v>
      </c>
      <c r="J353" s="38" t="s">
        <v>2592</v>
      </c>
      <c r="K353" s="79" t="s">
        <v>2593</v>
      </c>
      <c r="M353" s="38" t="s">
        <v>113</v>
      </c>
      <c r="O353" s="45">
        <v>44209</v>
      </c>
      <c r="P353" s="38" t="s">
        <v>2226</v>
      </c>
      <c r="Q353" s="60">
        <v>36000</v>
      </c>
      <c r="R353" s="48">
        <f>IFERROR(Q353/VLOOKUP(P353,'Exchange rates to USD'!$L$2:$N$225,3,FALSE),"")</f>
        <v>132.05828463537063</v>
      </c>
      <c r="U353" s="152"/>
      <c r="V353" s="152"/>
      <c r="W353" s="152"/>
    </row>
    <row r="354" spans="1:23" s="38" customFormat="1" ht="13.25" customHeight="1" x14ac:dyDescent="0.25">
      <c r="A354" s="31" t="s">
        <v>2596</v>
      </c>
      <c r="B354" s="31" t="s">
        <v>636</v>
      </c>
      <c r="C354" s="38" t="s">
        <v>30</v>
      </c>
      <c r="D354" s="38" t="s">
        <v>872</v>
      </c>
      <c r="E354" s="38" t="s">
        <v>88</v>
      </c>
      <c r="G354" s="38" t="s">
        <v>3173</v>
      </c>
      <c r="J354" s="20" t="s">
        <v>2622</v>
      </c>
      <c r="K354" s="84" t="s">
        <v>2623</v>
      </c>
      <c r="L354" s="87"/>
      <c r="M354" s="38" t="s">
        <v>737</v>
      </c>
      <c r="N354" s="87" t="s">
        <v>2624</v>
      </c>
      <c r="O354" s="45"/>
      <c r="Q354" s="60"/>
      <c r="R354" s="48"/>
      <c r="U354" s="152"/>
      <c r="V354" s="152"/>
      <c r="W354" s="152"/>
    </row>
    <row r="355" spans="1:23" s="38" customFormat="1" ht="13.25" customHeight="1" x14ac:dyDescent="0.25">
      <c r="A355" s="31" t="s">
        <v>2597</v>
      </c>
      <c r="B355" s="31" t="s">
        <v>636</v>
      </c>
      <c r="C355" s="38" t="s">
        <v>30</v>
      </c>
      <c r="D355" s="38" t="s">
        <v>872</v>
      </c>
      <c r="E355" s="38" t="s">
        <v>3200</v>
      </c>
      <c r="G355" s="38" t="s">
        <v>111</v>
      </c>
      <c r="J355" s="20" t="s">
        <v>2609</v>
      </c>
      <c r="K355" s="85"/>
      <c r="L355" s="87"/>
      <c r="M355" s="38" t="s">
        <v>113</v>
      </c>
      <c r="N355" s="87" t="s">
        <v>2624</v>
      </c>
      <c r="O355" s="45"/>
      <c r="Q355" s="60"/>
      <c r="R355" s="48"/>
      <c r="U355" s="152"/>
      <c r="V355" s="152"/>
      <c r="W355" s="152"/>
    </row>
    <row r="356" spans="1:23" s="38" customFormat="1" ht="13.25" customHeight="1" x14ac:dyDescent="0.25">
      <c r="A356" s="31" t="s">
        <v>2598</v>
      </c>
      <c r="B356" s="31" t="s">
        <v>636</v>
      </c>
      <c r="C356" s="38" t="s">
        <v>30</v>
      </c>
      <c r="D356" s="38" t="s">
        <v>872</v>
      </c>
      <c r="E356" s="38" t="s">
        <v>88</v>
      </c>
      <c r="G356" s="38" t="s">
        <v>44</v>
      </c>
      <c r="H356" s="38" t="s">
        <v>41</v>
      </c>
      <c r="J356" s="80" t="s">
        <v>2610</v>
      </c>
      <c r="K356" s="86"/>
      <c r="L356" s="87"/>
      <c r="M356" s="38" t="s">
        <v>737</v>
      </c>
      <c r="N356" s="87" t="s">
        <v>2624</v>
      </c>
      <c r="O356" s="45"/>
      <c r="Q356" s="60"/>
      <c r="R356" s="48"/>
      <c r="U356" s="152"/>
      <c r="V356" s="152"/>
      <c r="W356" s="152"/>
    </row>
    <row r="357" spans="1:23" s="38" customFormat="1" ht="13.25" customHeight="1" x14ac:dyDescent="0.25">
      <c r="A357" s="38" t="s">
        <v>2599</v>
      </c>
      <c r="B357" s="38" t="s">
        <v>636</v>
      </c>
      <c r="C357" s="38" t="s">
        <v>30</v>
      </c>
      <c r="D357" s="38" t="s">
        <v>872</v>
      </c>
      <c r="E357" s="38" t="s">
        <v>88</v>
      </c>
      <c r="G357" s="38" t="s">
        <v>670</v>
      </c>
      <c r="J357" s="80" t="s">
        <v>2611</v>
      </c>
      <c r="K357" s="86"/>
      <c r="L357" s="87"/>
      <c r="M357" s="38" t="s">
        <v>737</v>
      </c>
      <c r="N357" s="87" t="s">
        <v>2624</v>
      </c>
      <c r="O357" s="45"/>
      <c r="Q357" s="60"/>
      <c r="R357" s="48"/>
      <c r="U357" s="152"/>
      <c r="V357" s="152"/>
      <c r="W357" s="152"/>
    </row>
    <row r="358" spans="1:23" s="38" customFormat="1" ht="13.25" customHeight="1" x14ac:dyDescent="0.25">
      <c r="A358" s="31" t="s">
        <v>2600</v>
      </c>
      <c r="B358" s="31" t="s">
        <v>636</v>
      </c>
      <c r="C358" s="38" t="s">
        <v>30</v>
      </c>
      <c r="D358" s="38" t="s">
        <v>872</v>
      </c>
      <c r="E358" s="38" t="s">
        <v>88</v>
      </c>
      <c r="G358" s="38" t="s">
        <v>44</v>
      </c>
      <c r="J358" s="80" t="s">
        <v>2612</v>
      </c>
      <c r="K358" s="86"/>
      <c r="L358" s="87"/>
      <c r="M358" s="38" t="s">
        <v>737</v>
      </c>
      <c r="N358" s="87" t="s">
        <v>2624</v>
      </c>
      <c r="O358" s="45"/>
      <c r="Q358" s="60"/>
      <c r="R358" s="48"/>
      <c r="U358" s="152"/>
      <c r="V358" s="152"/>
      <c r="W358" s="152"/>
    </row>
    <row r="359" spans="1:23" s="38" customFormat="1" ht="13.25" customHeight="1" x14ac:dyDescent="0.25">
      <c r="A359" s="31" t="s">
        <v>2601</v>
      </c>
      <c r="B359" s="31" t="s">
        <v>636</v>
      </c>
      <c r="C359" s="38" t="s">
        <v>30</v>
      </c>
      <c r="D359" s="38" t="s">
        <v>13</v>
      </c>
      <c r="E359" s="38" t="s">
        <v>3200</v>
      </c>
      <c r="G359" s="38" t="s">
        <v>809</v>
      </c>
      <c r="J359" s="80" t="s">
        <v>2613</v>
      </c>
      <c r="K359" s="86"/>
      <c r="L359" s="87"/>
      <c r="M359" s="38" t="s">
        <v>737</v>
      </c>
      <c r="N359" s="87" t="s">
        <v>2624</v>
      </c>
      <c r="O359" s="45"/>
      <c r="Q359" s="60"/>
      <c r="R359" s="48"/>
      <c r="U359" s="152"/>
      <c r="V359" s="152"/>
      <c r="W359" s="152"/>
    </row>
    <row r="360" spans="1:23" ht="13.25" customHeight="1" x14ac:dyDescent="0.25">
      <c r="A360" s="31" t="s">
        <v>2602</v>
      </c>
      <c r="B360" s="31" t="s">
        <v>636</v>
      </c>
      <c r="C360" s="31" t="s">
        <v>22</v>
      </c>
      <c r="D360" s="38" t="s">
        <v>23</v>
      </c>
      <c r="E360" s="38" t="s">
        <v>3200</v>
      </c>
      <c r="F360" s="38" t="s">
        <v>2606</v>
      </c>
      <c r="G360" s="38" t="s">
        <v>44</v>
      </c>
      <c r="H360" s="38"/>
      <c r="I360" s="38"/>
      <c r="J360" s="20" t="s">
        <v>2614</v>
      </c>
      <c r="K360" s="81" t="s">
        <v>2618</v>
      </c>
      <c r="L360" s="87"/>
      <c r="M360" s="38" t="s">
        <v>737</v>
      </c>
      <c r="N360" s="38"/>
      <c r="O360" s="45"/>
      <c r="P360" s="83" t="s">
        <v>2226</v>
      </c>
      <c r="Q360" s="19">
        <v>33300</v>
      </c>
      <c r="R360" s="48">
        <f>IFERROR(Q360/VLOOKUP(P360,'Exchange rates to USD'!$L$2:$N$225,3,FALSE),"")</f>
        <v>122.15391328771784</v>
      </c>
      <c r="U360" s="152"/>
      <c r="V360" s="152"/>
      <c r="W360" s="152"/>
    </row>
    <row r="361" spans="1:23" ht="13.25" customHeight="1" x14ac:dyDescent="0.25">
      <c r="A361" s="38" t="s">
        <v>2603</v>
      </c>
      <c r="B361" s="38" t="s">
        <v>636</v>
      </c>
      <c r="C361" s="31" t="s">
        <v>22</v>
      </c>
      <c r="D361" s="38" t="s">
        <v>23</v>
      </c>
      <c r="E361" s="38" t="s">
        <v>3200</v>
      </c>
      <c r="F361" s="38" t="s">
        <v>2607</v>
      </c>
      <c r="G361" s="38" t="s">
        <v>44</v>
      </c>
      <c r="H361" s="38"/>
      <c r="I361" s="38"/>
      <c r="J361" s="80" t="s">
        <v>2615</v>
      </c>
      <c r="K361" s="82" t="s">
        <v>2619</v>
      </c>
      <c r="L361" s="87"/>
      <c r="M361" s="38" t="s">
        <v>737</v>
      </c>
      <c r="N361" s="38"/>
      <c r="O361" s="45"/>
      <c r="P361" s="83" t="s">
        <v>2226</v>
      </c>
      <c r="Q361" s="19">
        <v>18800</v>
      </c>
      <c r="R361" s="48">
        <f>IFERROR(Q361/VLOOKUP(P361,'Exchange rates to USD'!$L$2:$N$225,3,FALSE),"")</f>
        <v>68.963770865138002</v>
      </c>
      <c r="U361" s="152"/>
      <c r="V361" s="152"/>
      <c r="W361" s="152"/>
    </row>
    <row r="362" spans="1:23" ht="13.25" customHeight="1" x14ac:dyDescent="0.25">
      <c r="A362" s="31" t="s">
        <v>2604</v>
      </c>
      <c r="B362" s="31" t="s">
        <v>636</v>
      </c>
      <c r="C362" s="31" t="s">
        <v>22</v>
      </c>
      <c r="D362" s="38" t="s">
        <v>23</v>
      </c>
      <c r="E362" s="38" t="s">
        <v>3200</v>
      </c>
      <c r="F362" s="38" t="s">
        <v>1681</v>
      </c>
      <c r="G362" s="38" t="s">
        <v>44</v>
      </c>
      <c r="H362" s="38"/>
      <c r="I362" s="38"/>
      <c r="J362" s="80" t="s">
        <v>2616</v>
      </c>
      <c r="K362" s="82" t="s">
        <v>2620</v>
      </c>
      <c r="L362" s="87"/>
      <c r="M362" s="38" t="s">
        <v>737</v>
      </c>
      <c r="N362" s="38"/>
      <c r="O362" s="45"/>
      <c r="P362" s="83" t="s">
        <v>2226</v>
      </c>
      <c r="Q362" s="19">
        <v>7000</v>
      </c>
      <c r="R362" s="48">
        <f>IFERROR(Q362/VLOOKUP(P362,'Exchange rates to USD'!$L$2:$N$225,3,FALSE),"")</f>
        <v>25.677999790210958</v>
      </c>
      <c r="U362" s="152"/>
      <c r="V362" s="152"/>
      <c r="W362" s="152"/>
    </row>
    <row r="363" spans="1:23" ht="13.25" customHeight="1" x14ac:dyDescent="0.25">
      <c r="A363" s="34" t="s">
        <v>2605</v>
      </c>
      <c r="B363" s="34" t="s">
        <v>636</v>
      </c>
      <c r="C363" s="34" t="s">
        <v>22</v>
      </c>
      <c r="D363" s="34" t="s">
        <v>23</v>
      </c>
      <c r="E363" s="34" t="s">
        <v>3200</v>
      </c>
      <c r="F363" s="34" t="s">
        <v>2608</v>
      </c>
      <c r="G363" s="34" t="s">
        <v>44</v>
      </c>
      <c r="H363" s="34"/>
      <c r="I363" s="34"/>
      <c r="J363" s="88" t="s">
        <v>2617</v>
      </c>
      <c r="K363" s="117" t="s">
        <v>2621</v>
      </c>
      <c r="L363" s="118"/>
      <c r="M363" s="34" t="s">
        <v>737</v>
      </c>
      <c r="N363" s="34"/>
      <c r="O363" s="43"/>
      <c r="P363" s="119" t="s">
        <v>2226</v>
      </c>
      <c r="Q363" s="22">
        <v>3000</v>
      </c>
      <c r="R363" s="22">
        <f>IFERROR(Q363/VLOOKUP(P363,'Exchange rates to USD'!$L$2:$N$225,3,FALSE),"")</f>
        <v>11.004857052947553</v>
      </c>
      <c r="U363" s="152"/>
      <c r="V363" s="152"/>
      <c r="W363" s="152"/>
    </row>
    <row r="364" spans="1:23" ht="13.25" customHeight="1" x14ac:dyDescent="0.25">
      <c r="A364" s="31" t="s">
        <v>414</v>
      </c>
      <c r="B364" s="31" t="s">
        <v>637</v>
      </c>
      <c r="C364" s="31" t="s">
        <v>2531</v>
      </c>
      <c r="D364" s="31" t="s">
        <v>13</v>
      </c>
      <c r="E364" s="31" t="s">
        <v>3200</v>
      </c>
      <c r="G364" s="31" t="s">
        <v>44</v>
      </c>
      <c r="J364" s="31" t="s">
        <v>415</v>
      </c>
      <c r="K364" s="87" t="s">
        <v>416</v>
      </c>
      <c r="M364" s="31" t="s">
        <v>737</v>
      </c>
      <c r="O364" s="42">
        <v>44141</v>
      </c>
      <c r="Q364" s="48" t="str">
        <f>IFERROR(P364/VLOOKUP(#REF!,'Exchange rates to USD'!$L$2:$N$225,3,FALSE),"")</f>
        <v/>
      </c>
      <c r="R364" s="48" t="str">
        <f>IFERROR(Q364/VLOOKUP(P364,'Exchange rates to USD'!$L$2:$N$225,3,FALSE),"")</f>
        <v/>
      </c>
      <c r="U364" s="152"/>
      <c r="V364" s="152"/>
      <c r="W364" s="152"/>
    </row>
    <row r="365" spans="1:23" ht="13.25" customHeight="1" x14ac:dyDescent="0.25">
      <c r="A365" s="31" t="s">
        <v>417</v>
      </c>
      <c r="B365" s="31" t="s">
        <v>637</v>
      </c>
      <c r="C365" s="31" t="s">
        <v>110</v>
      </c>
      <c r="D365" s="31" t="s">
        <v>13</v>
      </c>
      <c r="E365" s="31" t="s">
        <v>3200</v>
      </c>
      <c r="F365" s="31" t="s">
        <v>1688</v>
      </c>
      <c r="J365" s="31" t="s">
        <v>418</v>
      </c>
      <c r="K365" s="31" t="s">
        <v>419</v>
      </c>
      <c r="M365" s="31" t="s">
        <v>737</v>
      </c>
      <c r="O365" s="42">
        <v>44141</v>
      </c>
      <c r="P365" s="31" t="s">
        <v>2327</v>
      </c>
      <c r="Q365" s="48">
        <v>1100</v>
      </c>
      <c r="R365" s="48">
        <f>IFERROR(Q365/VLOOKUP(P365,'Exchange rates to USD'!$L$2:$N$225,3,FALSE),"")</f>
        <v>9.9987662710573915</v>
      </c>
      <c r="U365" s="152"/>
      <c r="V365" s="152"/>
      <c r="W365" s="152"/>
    </row>
    <row r="366" spans="1:23" ht="13.25" customHeight="1" x14ac:dyDescent="0.25">
      <c r="A366" s="31" t="s">
        <v>420</v>
      </c>
      <c r="B366" s="31" t="s">
        <v>637</v>
      </c>
      <c r="C366" s="31" t="s">
        <v>110</v>
      </c>
      <c r="D366" s="31" t="s">
        <v>13</v>
      </c>
      <c r="E366" s="31" t="s">
        <v>3200</v>
      </c>
      <c r="F366" s="31" t="s">
        <v>2625</v>
      </c>
      <c r="J366" s="31" t="s">
        <v>421</v>
      </c>
      <c r="K366" s="31" t="s">
        <v>422</v>
      </c>
      <c r="M366" s="31" t="s">
        <v>737</v>
      </c>
      <c r="O366" s="42">
        <v>44141</v>
      </c>
      <c r="Q366" s="48"/>
      <c r="R366" s="48" t="str">
        <f>IFERROR(Q366/VLOOKUP(P366,'Exchange rates to USD'!$L$2:$N$225,3,FALSE),"")</f>
        <v/>
      </c>
      <c r="U366" s="152"/>
      <c r="V366" s="152"/>
      <c r="W366" s="152"/>
    </row>
    <row r="367" spans="1:23" ht="13.25" customHeight="1" x14ac:dyDescent="0.25">
      <c r="A367" s="31" t="s">
        <v>423</v>
      </c>
      <c r="B367" s="31" t="s">
        <v>637</v>
      </c>
      <c r="C367" s="1" t="s">
        <v>2530</v>
      </c>
      <c r="D367" s="31" t="s">
        <v>13</v>
      </c>
      <c r="E367" s="31" t="s">
        <v>88</v>
      </c>
      <c r="F367" s="31" t="s">
        <v>1689</v>
      </c>
      <c r="G367" s="31" t="s">
        <v>41</v>
      </c>
      <c r="H367" s="31" t="s">
        <v>3173</v>
      </c>
      <c r="J367" s="31" t="s">
        <v>1690</v>
      </c>
      <c r="K367" s="31" t="s">
        <v>1691</v>
      </c>
      <c r="M367" s="31" t="s">
        <v>871</v>
      </c>
      <c r="O367" s="42">
        <v>44141</v>
      </c>
      <c r="P367" s="31" t="s">
        <v>2327</v>
      </c>
      <c r="Q367" s="32">
        <v>250</v>
      </c>
      <c r="R367" s="48">
        <f>IFERROR(Q367/VLOOKUP(P367,'Exchange rates to USD'!$L$2:$N$225,3,FALSE),"")</f>
        <v>2.2724468797857709</v>
      </c>
      <c r="U367" s="152"/>
      <c r="V367" s="152"/>
      <c r="W367" s="152"/>
    </row>
    <row r="368" spans="1:23" ht="13.25" customHeight="1" x14ac:dyDescent="0.25">
      <c r="A368" s="31" t="s">
        <v>1692</v>
      </c>
      <c r="B368" s="31" t="s">
        <v>637</v>
      </c>
      <c r="C368" s="31" t="s">
        <v>2530</v>
      </c>
      <c r="D368" s="31" t="s">
        <v>13</v>
      </c>
      <c r="E368" s="31" t="s">
        <v>3200</v>
      </c>
      <c r="F368" s="31" t="s">
        <v>1693</v>
      </c>
      <c r="G368" s="31" t="s">
        <v>111</v>
      </c>
      <c r="H368" s="31" t="s">
        <v>207</v>
      </c>
      <c r="I368" s="31" t="s">
        <v>670</v>
      </c>
      <c r="J368" s="31" t="s">
        <v>1694</v>
      </c>
      <c r="K368" s="31" t="s">
        <v>1695</v>
      </c>
      <c r="M368" s="31" t="s">
        <v>113</v>
      </c>
      <c r="O368" s="42">
        <v>44141</v>
      </c>
      <c r="P368" s="31" t="s">
        <v>2327</v>
      </c>
      <c r="Q368" s="32">
        <v>4500</v>
      </c>
      <c r="R368" s="48">
        <f>IFERROR(Q368/VLOOKUP(P368,'Exchange rates to USD'!$L$2:$N$225,3,FALSE),"")</f>
        <v>40.904043836143877</v>
      </c>
      <c r="U368" s="152"/>
      <c r="V368" s="152"/>
      <c r="W368" s="152"/>
    </row>
    <row r="369" spans="1:23" ht="13.25" customHeight="1" x14ac:dyDescent="0.25">
      <c r="A369" s="34" t="s">
        <v>1696</v>
      </c>
      <c r="B369" s="34" t="s">
        <v>637</v>
      </c>
      <c r="C369" s="34" t="s">
        <v>2530</v>
      </c>
      <c r="D369" s="34" t="s">
        <v>23</v>
      </c>
      <c r="E369" s="34" t="s">
        <v>3200</v>
      </c>
      <c r="F369" s="34" t="s">
        <v>1697</v>
      </c>
      <c r="G369" s="34" t="s">
        <v>3173</v>
      </c>
      <c r="H369" s="34"/>
      <c r="I369" s="34"/>
      <c r="J369" s="34" t="s">
        <v>1698</v>
      </c>
      <c r="K369" s="34" t="s">
        <v>1699</v>
      </c>
      <c r="L369" s="34"/>
      <c r="M369" s="34" t="s">
        <v>113</v>
      </c>
      <c r="N369" s="34"/>
      <c r="O369" s="43">
        <v>44141</v>
      </c>
      <c r="P369" s="34" t="s">
        <v>2327</v>
      </c>
      <c r="Q369" s="49">
        <v>3000</v>
      </c>
      <c r="R369" s="22">
        <f>IFERROR(Q369/VLOOKUP(P369,'Exchange rates to USD'!$L$2:$N$225,3,FALSE),"")</f>
        <v>27.26936255742925</v>
      </c>
      <c r="U369" s="152"/>
      <c r="V369" s="152"/>
      <c r="W369" s="152"/>
    </row>
    <row r="370" spans="1:23" ht="13.25" customHeight="1" x14ac:dyDescent="0.25">
      <c r="A370" s="31" t="s">
        <v>399</v>
      </c>
      <c r="B370" s="31" t="s">
        <v>638</v>
      </c>
      <c r="C370" s="31" t="s">
        <v>2531</v>
      </c>
      <c r="D370" s="31" t="s">
        <v>23</v>
      </c>
      <c r="E370" s="31" t="s">
        <v>3200</v>
      </c>
      <c r="F370" s="31" t="s">
        <v>400</v>
      </c>
      <c r="J370" s="65" t="s">
        <v>2544</v>
      </c>
      <c r="K370" s="31" t="s">
        <v>401</v>
      </c>
      <c r="M370" s="31" t="s">
        <v>737</v>
      </c>
      <c r="P370" s="31" t="s">
        <v>669</v>
      </c>
      <c r="Q370" s="32">
        <v>440</v>
      </c>
      <c r="R370" s="48">
        <f>IFERROR(Q370/VLOOKUP(P370,'Exchange rates to USD'!$L$2:$N$225,3,FALSE),"")</f>
        <v>485.17433407264286</v>
      </c>
      <c r="U370" s="152"/>
      <c r="V370" s="152"/>
      <c r="W370" s="152"/>
    </row>
    <row r="371" spans="1:23" ht="13.25" customHeight="1" x14ac:dyDescent="0.25">
      <c r="A371" s="31" t="s">
        <v>402</v>
      </c>
      <c r="B371" s="31" t="s">
        <v>638</v>
      </c>
      <c r="C371" s="31" t="s">
        <v>2531</v>
      </c>
      <c r="D371" s="31" t="s">
        <v>23</v>
      </c>
      <c r="E371" s="31" t="s">
        <v>36</v>
      </c>
      <c r="F371" s="31" t="s">
        <v>1700</v>
      </c>
      <c r="G371" s="31" t="s">
        <v>3173</v>
      </c>
      <c r="H371" s="31" t="s">
        <v>25</v>
      </c>
      <c r="J371" s="31" t="s">
        <v>991</v>
      </c>
      <c r="K371" s="31" t="s">
        <v>401</v>
      </c>
      <c r="M371" s="31" t="s">
        <v>113</v>
      </c>
      <c r="P371" s="31" t="s">
        <v>669</v>
      </c>
      <c r="Q371" s="32">
        <v>42</v>
      </c>
      <c r="R371" s="48">
        <f>IFERROR(Q371/VLOOKUP(P371,'Exchange rates to USD'!$L$2:$N$225,3,FALSE),"")</f>
        <v>46.312095525115907</v>
      </c>
      <c r="U371" s="152"/>
      <c r="V371" s="152"/>
      <c r="W371" s="152"/>
    </row>
    <row r="372" spans="1:23" ht="13.25" customHeight="1" x14ac:dyDescent="0.25">
      <c r="A372" s="31" t="s">
        <v>403</v>
      </c>
      <c r="B372" s="31" t="s">
        <v>638</v>
      </c>
      <c r="C372" s="31" t="s">
        <v>22</v>
      </c>
      <c r="D372" s="31" t="s">
        <v>23</v>
      </c>
      <c r="E372" s="31" t="s">
        <v>3200</v>
      </c>
      <c r="F372" s="31" t="s">
        <v>2725</v>
      </c>
      <c r="J372" s="31" t="s">
        <v>2728</v>
      </c>
      <c r="K372" s="64" t="s">
        <v>2726</v>
      </c>
      <c r="L372" s="64" t="s">
        <v>2727</v>
      </c>
      <c r="M372" s="31" t="s">
        <v>737</v>
      </c>
      <c r="P372" s="31" t="s">
        <v>669</v>
      </c>
      <c r="Q372" s="32">
        <v>2000</v>
      </c>
      <c r="R372" s="60">
        <f>IFERROR(Q372/VLOOKUP(P372,'Exchange rates to USD'!$L$2:$N$225,3,FALSE),"")</f>
        <v>2205.3378821483766</v>
      </c>
      <c r="U372" s="152"/>
      <c r="V372" s="152"/>
      <c r="W372" s="152"/>
    </row>
    <row r="373" spans="1:23" ht="13.25" customHeight="1" x14ac:dyDescent="0.25">
      <c r="A373" s="31" t="s">
        <v>404</v>
      </c>
      <c r="B373" s="31" t="s">
        <v>638</v>
      </c>
      <c r="C373" s="31" t="s">
        <v>2530</v>
      </c>
      <c r="D373" s="31" t="s">
        <v>23</v>
      </c>
      <c r="E373" s="31" t="s">
        <v>3200</v>
      </c>
      <c r="F373" s="31" t="s">
        <v>405</v>
      </c>
      <c r="J373" s="31" t="s">
        <v>992</v>
      </c>
      <c r="K373" s="31" t="s">
        <v>401</v>
      </c>
      <c r="M373" s="31" t="s">
        <v>737</v>
      </c>
      <c r="P373" s="31" t="s">
        <v>669</v>
      </c>
      <c r="Q373" s="32">
        <v>2350</v>
      </c>
      <c r="R373" s="48">
        <f>IFERROR(Q373/VLOOKUP(P373,'Exchange rates to USD'!$L$2:$N$225,3,FALSE),"")</f>
        <v>2591.2720115243424</v>
      </c>
      <c r="U373" s="152"/>
      <c r="V373" s="152"/>
      <c r="W373" s="152"/>
    </row>
    <row r="374" spans="1:23" ht="13.25" customHeight="1" x14ac:dyDescent="0.25">
      <c r="A374" s="31" t="s">
        <v>406</v>
      </c>
      <c r="B374" s="31" t="s">
        <v>638</v>
      </c>
      <c r="C374" s="31" t="s">
        <v>2531</v>
      </c>
      <c r="D374" s="31" t="s">
        <v>13</v>
      </c>
      <c r="E374" s="31" t="s">
        <v>3200</v>
      </c>
      <c r="F374" s="31" t="s">
        <v>31</v>
      </c>
      <c r="J374" s="31" t="s">
        <v>993</v>
      </c>
      <c r="K374" s="31" t="s">
        <v>401</v>
      </c>
      <c r="M374" s="31" t="s">
        <v>737</v>
      </c>
      <c r="R374" s="48" t="str">
        <f>IFERROR(Q374/VLOOKUP(P374,'Exchange rates to USD'!$L$2:$N$225,3,FALSE),"")</f>
        <v/>
      </c>
      <c r="U374" s="152"/>
      <c r="V374" s="152"/>
      <c r="W374" s="152"/>
    </row>
    <row r="375" spans="1:23" ht="13.25" customHeight="1" x14ac:dyDescent="0.25">
      <c r="A375" s="31" t="s">
        <v>407</v>
      </c>
      <c r="B375" s="31" t="s">
        <v>638</v>
      </c>
      <c r="C375" s="31" t="s">
        <v>2531</v>
      </c>
      <c r="D375" s="31" t="s">
        <v>23</v>
      </c>
      <c r="E375" s="31" t="s">
        <v>3200</v>
      </c>
      <c r="F375" s="31" t="s">
        <v>31</v>
      </c>
      <c r="J375" s="31" t="s">
        <v>994</v>
      </c>
      <c r="K375" s="31" t="s">
        <v>401</v>
      </c>
      <c r="M375" s="31" t="s">
        <v>737</v>
      </c>
      <c r="R375" s="48" t="str">
        <f>IFERROR(Q375/VLOOKUP(P375,'Exchange rates to USD'!$L$2:$N$225,3,FALSE),"")</f>
        <v/>
      </c>
      <c r="U375" s="152"/>
      <c r="V375" s="152"/>
      <c r="W375" s="152"/>
    </row>
    <row r="376" spans="1:23" ht="13.25" customHeight="1" x14ac:dyDescent="0.25">
      <c r="A376" s="31" t="s">
        <v>408</v>
      </c>
      <c r="B376" s="31" t="s">
        <v>638</v>
      </c>
      <c r="C376" s="31" t="s">
        <v>2531</v>
      </c>
      <c r="D376" s="31" t="s">
        <v>23</v>
      </c>
      <c r="E376" s="31" t="s">
        <v>3200</v>
      </c>
      <c r="F376" s="31" t="s">
        <v>409</v>
      </c>
      <c r="J376" s="31" t="s">
        <v>995</v>
      </c>
      <c r="K376" s="31" t="s">
        <v>401</v>
      </c>
      <c r="M376" s="31" t="s">
        <v>737</v>
      </c>
      <c r="P376" s="31" t="s">
        <v>669</v>
      </c>
      <c r="Q376" s="32">
        <v>150</v>
      </c>
      <c r="R376" s="48">
        <f>IFERROR(Q376/VLOOKUP(P376,'Exchange rates to USD'!$L$2:$N$225,3,FALSE),"")</f>
        <v>165.40034116112824</v>
      </c>
      <c r="U376" s="152"/>
      <c r="V376" s="152"/>
      <c r="W376" s="152"/>
    </row>
    <row r="377" spans="1:23" ht="13.25" customHeight="1" x14ac:dyDescent="0.25">
      <c r="A377" s="31" t="s">
        <v>410</v>
      </c>
      <c r="B377" s="31" t="s">
        <v>638</v>
      </c>
      <c r="C377" s="31" t="s">
        <v>22</v>
      </c>
      <c r="D377" s="31" t="s">
        <v>23</v>
      </c>
      <c r="E377" s="31" t="s">
        <v>161</v>
      </c>
      <c r="F377" s="31" t="s">
        <v>411</v>
      </c>
      <c r="J377" s="31" t="s">
        <v>996</v>
      </c>
      <c r="K377" s="31" t="s">
        <v>401</v>
      </c>
      <c r="M377" s="31" t="s">
        <v>737</v>
      </c>
      <c r="P377" s="31" t="s">
        <v>669</v>
      </c>
      <c r="Q377" s="32">
        <v>18</v>
      </c>
      <c r="R377" s="48">
        <f>IFERROR(Q377/VLOOKUP(P377,'Exchange rates to USD'!$L$2:$N$225,3,FALSE),"")</f>
        <v>19.848040939335387</v>
      </c>
      <c r="U377" s="152"/>
      <c r="V377" s="152"/>
      <c r="W377" s="152"/>
    </row>
    <row r="378" spans="1:23" ht="13.25" customHeight="1" x14ac:dyDescent="0.25">
      <c r="A378" s="31" t="s">
        <v>412</v>
      </c>
      <c r="B378" s="31" t="s">
        <v>638</v>
      </c>
      <c r="C378" s="31" t="s">
        <v>2531</v>
      </c>
      <c r="D378" s="31" t="s">
        <v>23</v>
      </c>
      <c r="E378" s="31" t="s">
        <v>3200</v>
      </c>
      <c r="F378" s="31" t="s">
        <v>31</v>
      </c>
      <c r="J378" s="31" t="s">
        <v>997</v>
      </c>
      <c r="K378" s="31" t="s">
        <v>401</v>
      </c>
      <c r="M378" s="31" t="s">
        <v>737</v>
      </c>
      <c r="R378" s="48" t="str">
        <f>IFERROR(Q378/VLOOKUP(P378,'Exchange rates to USD'!$L$2:$N$225,3,FALSE),"")</f>
        <v/>
      </c>
      <c r="U378" s="152"/>
      <c r="V378" s="152"/>
      <c r="W378" s="152"/>
    </row>
    <row r="379" spans="1:23" ht="13.25" customHeight="1" x14ac:dyDescent="0.25">
      <c r="A379" s="31" t="s">
        <v>413</v>
      </c>
      <c r="B379" s="31" t="s">
        <v>638</v>
      </c>
      <c r="C379" s="31" t="s">
        <v>2531</v>
      </c>
      <c r="D379" s="31" t="s">
        <v>23</v>
      </c>
      <c r="E379" s="31" t="s">
        <v>3200</v>
      </c>
      <c r="F379" s="31" t="s">
        <v>31</v>
      </c>
      <c r="J379" s="31" t="s">
        <v>1701</v>
      </c>
      <c r="K379" s="31" t="s">
        <v>998</v>
      </c>
      <c r="M379" s="31" t="s">
        <v>737</v>
      </c>
      <c r="R379" s="48" t="str">
        <f>IFERROR(Q379/VLOOKUP(P379,'Exchange rates to USD'!$L$2:$N$225,3,FALSE),"")</f>
        <v/>
      </c>
      <c r="U379" s="152"/>
      <c r="V379" s="152"/>
      <c r="W379" s="152"/>
    </row>
    <row r="380" spans="1:23" ht="13.25" customHeight="1" x14ac:dyDescent="0.25">
      <c r="A380" s="31" t="s">
        <v>2468</v>
      </c>
      <c r="B380" s="31" t="s">
        <v>638</v>
      </c>
      <c r="C380" s="31" t="s">
        <v>22</v>
      </c>
      <c r="D380" s="31" t="s">
        <v>872</v>
      </c>
      <c r="E380" s="31" t="s">
        <v>3200</v>
      </c>
      <c r="F380" s="31" t="s">
        <v>1702</v>
      </c>
      <c r="J380" s="31" t="s">
        <v>1703</v>
      </c>
      <c r="K380" s="31" t="s">
        <v>1704</v>
      </c>
      <c r="M380" s="31" t="s">
        <v>737</v>
      </c>
      <c r="O380" s="42">
        <v>44142</v>
      </c>
      <c r="P380" s="31" t="s">
        <v>669</v>
      </c>
      <c r="Q380" s="32">
        <v>25</v>
      </c>
      <c r="R380" s="48">
        <f>IFERROR(Q380/VLOOKUP(P380,'Exchange rates to USD'!$L$2:$N$225,3,FALSE),"")</f>
        <v>27.566723526854709</v>
      </c>
      <c r="U380" s="152"/>
      <c r="V380" s="152"/>
      <c r="W380" s="152"/>
    </row>
    <row r="381" spans="1:23" ht="13.25" customHeight="1" x14ac:dyDescent="0.25">
      <c r="A381" s="31" t="s">
        <v>2469</v>
      </c>
      <c r="B381" s="31" t="s">
        <v>638</v>
      </c>
      <c r="C381" s="31" t="s">
        <v>84</v>
      </c>
      <c r="D381" s="31" t="s">
        <v>13</v>
      </c>
      <c r="E381" s="31" t="s">
        <v>3200</v>
      </c>
      <c r="F381" s="31" t="s">
        <v>31</v>
      </c>
      <c r="J381" s="31" t="s">
        <v>1705</v>
      </c>
      <c r="K381" s="31" t="s">
        <v>1704</v>
      </c>
      <c r="M381" s="31" t="s">
        <v>737</v>
      </c>
      <c r="N381" s="31" t="s">
        <v>1706</v>
      </c>
      <c r="O381" s="42">
        <v>44142</v>
      </c>
      <c r="R381" s="48" t="str">
        <f>IFERROR(Q381/VLOOKUP(P381,'Exchange rates to USD'!$L$2:$N$225,3,FALSE),"")</f>
        <v/>
      </c>
      <c r="U381" s="152"/>
      <c r="V381" s="152"/>
      <c r="W381" s="152"/>
    </row>
    <row r="382" spans="1:23" ht="13.25" customHeight="1" x14ac:dyDescent="0.25">
      <c r="A382" s="31" t="s">
        <v>2470</v>
      </c>
      <c r="B382" s="31" t="s">
        <v>638</v>
      </c>
      <c r="C382" s="31" t="s">
        <v>22</v>
      </c>
      <c r="D382" s="31" t="s">
        <v>23</v>
      </c>
      <c r="E382" s="31" t="s">
        <v>3200</v>
      </c>
      <c r="F382" s="31" t="s">
        <v>1707</v>
      </c>
      <c r="G382" s="31" t="s">
        <v>111</v>
      </c>
      <c r="H382" s="31" t="s">
        <v>207</v>
      </c>
      <c r="I382" s="31" t="s">
        <v>44</v>
      </c>
      <c r="J382" s="31" t="s">
        <v>1708</v>
      </c>
      <c r="K382" s="31" t="s">
        <v>1709</v>
      </c>
      <c r="M382" s="31" t="s">
        <v>113</v>
      </c>
      <c r="O382" s="42">
        <v>44142</v>
      </c>
      <c r="P382" s="31" t="s">
        <v>669</v>
      </c>
      <c r="Q382" s="32">
        <v>10</v>
      </c>
      <c r="R382" s="48">
        <f>IFERROR(Q382/VLOOKUP(P382,'Exchange rates to USD'!$L$2:$N$225,3,FALSE),"")</f>
        <v>11.026689410741882</v>
      </c>
      <c r="U382" s="152"/>
      <c r="V382" s="152"/>
      <c r="W382" s="152"/>
    </row>
    <row r="383" spans="1:23" ht="13.25" customHeight="1" x14ac:dyDescent="0.25">
      <c r="A383" s="31" t="s">
        <v>2471</v>
      </c>
      <c r="B383" s="31" t="s">
        <v>638</v>
      </c>
      <c r="C383" s="31" t="s">
        <v>2530</v>
      </c>
      <c r="D383" s="31" t="s">
        <v>23</v>
      </c>
      <c r="E383" s="31" t="s">
        <v>3200</v>
      </c>
      <c r="F383" s="31" t="s">
        <v>1710</v>
      </c>
      <c r="J383" s="31" t="s">
        <v>1711</v>
      </c>
      <c r="K383" s="31" t="s">
        <v>1712</v>
      </c>
      <c r="M383" s="31" t="s">
        <v>737</v>
      </c>
      <c r="O383" s="42">
        <v>44142</v>
      </c>
      <c r="P383" s="31" t="s">
        <v>669</v>
      </c>
      <c r="Q383" s="32">
        <v>10</v>
      </c>
      <c r="R383" s="48">
        <f>IFERROR(Q383/VLOOKUP(P383,'Exchange rates to USD'!$L$2:$N$225,3,FALSE),"")</f>
        <v>11.026689410741882</v>
      </c>
      <c r="U383" s="152"/>
      <c r="V383" s="152"/>
      <c r="W383" s="152"/>
    </row>
    <row r="384" spans="1:23" ht="13.25" customHeight="1" x14ac:dyDescent="0.25">
      <c r="A384" s="31" t="s">
        <v>2472</v>
      </c>
      <c r="B384" s="31" t="s">
        <v>638</v>
      </c>
      <c r="C384" s="31" t="s">
        <v>22</v>
      </c>
      <c r="D384" s="31" t="s">
        <v>23</v>
      </c>
      <c r="E384" s="31" t="s">
        <v>14</v>
      </c>
      <c r="F384" s="31" t="s">
        <v>1713</v>
      </c>
      <c r="G384" s="31" t="s">
        <v>3173</v>
      </c>
      <c r="H384" s="31" t="s">
        <v>25</v>
      </c>
      <c r="J384" s="31" t="s">
        <v>1714</v>
      </c>
      <c r="K384" s="31" t="s">
        <v>1715</v>
      </c>
      <c r="L384" s="31" t="s">
        <v>1716</v>
      </c>
      <c r="M384" s="31" t="s">
        <v>113</v>
      </c>
      <c r="N384" s="31" t="s">
        <v>1717</v>
      </c>
      <c r="O384" s="42">
        <v>44155</v>
      </c>
      <c r="P384" s="31" t="s">
        <v>669</v>
      </c>
      <c r="Q384" s="32">
        <v>100</v>
      </c>
      <c r="R384" s="48">
        <f>IFERROR(Q384/VLOOKUP(P384,'Exchange rates to USD'!$L$2:$N$225,3,FALSE),"")</f>
        <v>110.26689410741884</v>
      </c>
      <c r="U384" s="152"/>
      <c r="V384" s="152"/>
      <c r="W384" s="152"/>
    </row>
    <row r="385" spans="1:23" ht="13.25" customHeight="1" x14ac:dyDescent="0.25">
      <c r="A385" s="31" t="s">
        <v>2473</v>
      </c>
      <c r="B385" s="31" t="s">
        <v>638</v>
      </c>
      <c r="C385" s="31" t="s">
        <v>2530</v>
      </c>
      <c r="D385" s="31" t="s">
        <v>872</v>
      </c>
      <c r="E385" s="31" t="s">
        <v>36</v>
      </c>
      <c r="F385" s="31" t="s">
        <v>1718</v>
      </c>
      <c r="G385" s="31" t="s">
        <v>25</v>
      </c>
      <c r="H385" s="31" t="s">
        <v>3173</v>
      </c>
      <c r="J385" s="31" t="s">
        <v>1719</v>
      </c>
      <c r="K385" s="31" t="s">
        <v>1720</v>
      </c>
      <c r="M385" s="31" t="s">
        <v>113</v>
      </c>
      <c r="O385" s="42">
        <v>44142</v>
      </c>
      <c r="P385" s="31" t="s">
        <v>669</v>
      </c>
      <c r="Q385" s="32">
        <v>40</v>
      </c>
      <c r="R385" s="48">
        <f>IFERROR(Q385/VLOOKUP(P385,'Exchange rates to USD'!$L$2:$N$225,3,FALSE),"")</f>
        <v>44.10675764296753</v>
      </c>
      <c r="U385" s="152"/>
      <c r="V385" s="152"/>
      <c r="W385" s="152"/>
    </row>
    <row r="386" spans="1:23" ht="13.25" customHeight="1" x14ac:dyDescent="0.25">
      <c r="A386" s="31" t="s">
        <v>2474</v>
      </c>
      <c r="B386" s="31" t="s">
        <v>638</v>
      </c>
      <c r="C386" s="31" t="s">
        <v>2530</v>
      </c>
      <c r="D386" s="31" t="s">
        <v>872</v>
      </c>
      <c r="E386" s="31" t="s">
        <v>36</v>
      </c>
      <c r="F386" s="31" t="s">
        <v>1721</v>
      </c>
      <c r="G386" s="31" t="s">
        <v>25</v>
      </c>
      <c r="H386" s="31" t="s">
        <v>3173</v>
      </c>
      <c r="J386" s="31" t="s">
        <v>1722</v>
      </c>
      <c r="K386" s="31" t="s">
        <v>1720</v>
      </c>
      <c r="M386" s="31" t="s">
        <v>871</v>
      </c>
      <c r="O386" s="42">
        <v>44142</v>
      </c>
      <c r="P386" s="31" t="s">
        <v>669</v>
      </c>
      <c r="Q386" s="32">
        <v>2</v>
      </c>
      <c r="R386" s="48">
        <f>IFERROR(Q386/VLOOKUP(P386,'Exchange rates to USD'!$L$2:$N$225,3,FALSE),"")</f>
        <v>2.2053378821483767</v>
      </c>
      <c r="U386" s="152"/>
      <c r="V386" s="152"/>
      <c r="W386" s="152"/>
    </row>
    <row r="387" spans="1:23" ht="13.25" customHeight="1" x14ac:dyDescent="0.25">
      <c r="A387" s="31" t="s">
        <v>2475</v>
      </c>
      <c r="B387" s="31" t="s">
        <v>638</v>
      </c>
      <c r="C387" s="31" t="s">
        <v>2530</v>
      </c>
      <c r="D387" s="31" t="s">
        <v>872</v>
      </c>
      <c r="E387" s="31" t="s">
        <v>36</v>
      </c>
      <c r="F387" s="31" t="s">
        <v>1723</v>
      </c>
      <c r="G387" s="31" t="s">
        <v>25</v>
      </c>
      <c r="H387" s="31" t="s">
        <v>3173</v>
      </c>
      <c r="J387" s="31" t="s">
        <v>1724</v>
      </c>
      <c r="K387" s="31" t="s">
        <v>1720</v>
      </c>
      <c r="M387" s="31" t="s">
        <v>871</v>
      </c>
      <c r="O387" s="42">
        <v>44142</v>
      </c>
      <c r="P387" s="31" t="s">
        <v>669</v>
      </c>
      <c r="Q387" s="32">
        <v>21</v>
      </c>
      <c r="R387" s="48">
        <f>IFERROR(Q387/VLOOKUP(P387,'Exchange rates to USD'!$L$2:$N$225,3,FALSE),"")</f>
        <v>23.156047762557954</v>
      </c>
      <c r="U387" s="152"/>
      <c r="V387" s="152"/>
      <c r="W387" s="152"/>
    </row>
    <row r="388" spans="1:23" ht="13.25" customHeight="1" x14ac:dyDescent="0.25">
      <c r="A388" s="31" t="s">
        <v>2476</v>
      </c>
      <c r="B388" s="31" t="s">
        <v>638</v>
      </c>
      <c r="C388" s="31" t="s">
        <v>22</v>
      </c>
      <c r="D388" s="31" t="s">
        <v>872</v>
      </c>
      <c r="E388" s="31" t="s">
        <v>36</v>
      </c>
      <c r="F388" s="31" t="s">
        <v>1725</v>
      </c>
      <c r="G388" s="31" t="s">
        <v>25</v>
      </c>
      <c r="H388" s="31" t="s">
        <v>3173</v>
      </c>
      <c r="J388" s="31" t="s">
        <v>1726</v>
      </c>
      <c r="K388" s="31" t="s">
        <v>1720</v>
      </c>
      <c r="M388" s="31" t="s">
        <v>113</v>
      </c>
      <c r="O388" s="42">
        <v>44142</v>
      </c>
      <c r="P388" s="31" t="s">
        <v>669</v>
      </c>
      <c r="Q388" s="32">
        <v>0.25</v>
      </c>
      <c r="R388" s="48">
        <f>IFERROR(Q388/VLOOKUP(P388,'Exchange rates to USD'!$L$2:$N$225,3,FALSE),"")</f>
        <v>0.27566723526854708</v>
      </c>
      <c r="U388" s="152"/>
      <c r="V388" s="152"/>
      <c r="W388" s="152"/>
    </row>
    <row r="389" spans="1:23" ht="13.25" customHeight="1" x14ac:dyDescent="0.25">
      <c r="A389" s="31" t="s">
        <v>2477</v>
      </c>
      <c r="B389" s="31" t="s">
        <v>638</v>
      </c>
      <c r="C389" s="31" t="s">
        <v>2530</v>
      </c>
      <c r="D389" s="31" t="s">
        <v>23</v>
      </c>
      <c r="E389" s="31" t="s">
        <v>88</v>
      </c>
      <c r="F389" s="31" t="s">
        <v>1727</v>
      </c>
      <c r="G389" s="31" t="s">
        <v>41</v>
      </c>
      <c r="H389" s="31" t="s">
        <v>3173</v>
      </c>
      <c r="J389" s="31" t="s">
        <v>1728</v>
      </c>
      <c r="K389" s="31" t="s">
        <v>1720</v>
      </c>
      <c r="L389" s="31" t="s">
        <v>1729</v>
      </c>
      <c r="M389" s="31" t="s">
        <v>113</v>
      </c>
      <c r="O389" s="42">
        <v>44142</v>
      </c>
      <c r="P389" s="31" t="s">
        <v>669</v>
      </c>
      <c r="Q389" s="32">
        <v>15</v>
      </c>
      <c r="R389" s="48">
        <f>IFERROR(Q389/VLOOKUP(P389,'Exchange rates to USD'!$L$2:$N$225,3,FALSE),"")</f>
        <v>16.540034116112825</v>
      </c>
      <c r="U389" s="152"/>
      <c r="V389" s="152"/>
      <c r="W389" s="152"/>
    </row>
    <row r="390" spans="1:23" ht="13.25" customHeight="1" x14ac:dyDescent="0.25">
      <c r="A390" s="31" t="s">
        <v>2478</v>
      </c>
      <c r="B390" s="31" t="s">
        <v>638</v>
      </c>
      <c r="C390" s="31" t="s">
        <v>84</v>
      </c>
      <c r="D390" s="31" t="s">
        <v>23</v>
      </c>
      <c r="E390" s="31" t="s">
        <v>3200</v>
      </c>
      <c r="F390" s="31" t="s">
        <v>1730</v>
      </c>
      <c r="G390" s="31" t="s">
        <v>44</v>
      </c>
      <c r="J390" s="31" t="s">
        <v>1731</v>
      </c>
      <c r="K390" s="31" t="s">
        <v>1732</v>
      </c>
      <c r="M390" s="31" t="s">
        <v>113</v>
      </c>
      <c r="O390" s="42">
        <v>44142</v>
      </c>
      <c r="P390" s="31" t="s">
        <v>669</v>
      </c>
      <c r="Q390" s="32">
        <v>11</v>
      </c>
      <c r="R390" s="48">
        <f>IFERROR(Q390/VLOOKUP(P390,'Exchange rates to USD'!$L$2:$N$225,3,FALSE),"")</f>
        <v>12.129358351816071</v>
      </c>
      <c r="U390" s="152"/>
      <c r="V390" s="152"/>
      <c r="W390" s="152"/>
    </row>
    <row r="391" spans="1:23" ht="13.25" customHeight="1" x14ac:dyDescent="0.25">
      <c r="A391" s="31" t="s">
        <v>2479</v>
      </c>
      <c r="B391" s="31" t="s">
        <v>638</v>
      </c>
      <c r="C391" s="31" t="s">
        <v>2530</v>
      </c>
      <c r="D391" s="31" t="s">
        <v>23</v>
      </c>
      <c r="E391" s="31" t="s">
        <v>36</v>
      </c>
      <c r="F391" s="31" t="s">
        <v>1733</v>
      </c>
      <c r="G391" s="31" t="s">
        <v>809</v>
      </c>
      <c r="J391" s="31" t="s">
        <v>1734</v>
      </c>
      <c r="K391" s="31" t="s">
        <v>1735</v>
      </c>
      <c r="M391" s="31" t="s">
        <v>871</v>
      </c>
      <c r="O391" s="42">
        <v>44143</v>
      </c>
      <c r="P391" s="31" t="s">
        <v>669</v>
      </c>
      <c r="Q391" s="32">
        <v>10</v>
      </c>
      <c r="R391" s="48">
        <f>IFERROR(Q391/VLOOKUP(P391,'Exchange rates to USD'!$L$2:$N$225,3,FALSE),"")</f>
        <v>11.026689410741882</v>
      </c>
      <c r="U391" s="152"/>
      <c r="V391" s="152"/>
      <c r="W391" s="152"/>
    </row>
    <row r="392" spans="1:23" ht="13.25" customHeight="1" x14ac:dyDescent="0.25">
      <c r="A392" s="31" t="s">
        <v>2480</v>
      </c>
      <c r="B392" s="31" t="s">
        <v>638</v>
      </c>
      <c r="C392" s="31" t="s">
        <v>2530</v>
      </c>
      <c r="D392" s="31" t="s">
        <v>872</v>
      </c>
      <c r="E392" s="31" t="s">
        <v>88</v>
      </c>
      <c r="F392" s="31" t="s">
        <v>1707</v>
      </c>
      <c r="H392" s="31" t="s">
        <v>41</v>
      </c>
      <c r="J392" s="31" t="s">
        <v>1736</v>
      </c>
      <c r="K392" s="31" t="s">
        <v>1716</v>
      </c>
      <c r="M392" s="31" t="s">
        <v>871</v>
      </c>
      <c r="N392" s="31" t="s">
        <v>1717</v>
      </c>
      <c r="O392" s="42">
        <v>44155</v>
      </c>
      <c r="P392" s="31" t="s">
        <v>669</v>
      </c>
      <c r="Q392" s="32">
        <v>10</v>
      </c>
      <c r="R392" s="48">
        <f>IFERROR(Q392/VLOOKUP(P392,'Exchange rates to USD'!$L$2:$N$225,3,FALSE),"")</f>
        <v>11.026689410741882</v>
      </c>
      <c r="U392" s="152"/>
      <c r="V392" s="152"/>
      <c r="W392" s="152"/>
    </row>
    <row r="393" spans="1:23" ht="13.25" customHeight="1" x14ac:dyDescent="0.25">
      <c r="A393" s="31" t="s">
        <v>2481</v>
      </c>
      <c r="B393" s="31" t="s">
        <v>638</v>
      </c>
      <c r="C393" s="31" t="s">
        <v>2531</v>
      </c>
      <c r="D393" s="31" t="s">
        <v>23</v>
      </c>
      <c r="E393" s="31" t="s">
        <v>98</v>
      </c>
      <c r="F393" s="31" t="s">
        <v>1707</v>
      </c>
      <c r="G393" s="31" t="s">
        <v>44</v>
      </c>
      <c r="J393" s="31" t="s">
        <v>1737</v>
      </c>
      <c r="K393" s="31" t="s">
        <v>1716</v>
      </c>
      <c r="M393" s="31" t="s">
        <v>871</v>
      </c>
      <c r="N393" s="31" t="s">
        <v>1717</v>
      </c>
      <c r="O393" s="42">
        <v>44155</v>
      </c>
      <c r="P393" s="31" t="s">
        <v>669</v>
      </c>
      <c r="Q393" s="32">
        <v>10</v>
      </c>
      <c r="R393" s="48">
        <f>IFERROR(Q393/VLOOKUP(P393,'Exchange rates to USD'!$L$2:$N$225,3,FALSE),"")</f>
        <v>11.026689410741882</v>
      </c>
      <c r="U393" s="152"/>
      <c r="V393" s="152"/>
      <c r="W393" s="152"/>
    </row>
    <row r="394" spans="1:23" ht="13.25" customHeight="1" x14ac:dyDescent="0.25">
      <c r="A394" s="34" t="s">
        <v>2482</v>
      </c>
      <c r="B394" s="34" t="s">
        <v>638</v>
      </c>
      <c r="C394" s="34" t="s">
        <v>2530</v>
      </c>
      <c r="D394" s="34" t="s">
        <v>872</v>
      </c>
      <c r="E394" s="34"/>
      <c r="F394" s="34" t="s">
        <v>1738</v>
      </c>
      <c r="G394" s="34" t="s">
        <v>670</v>
      </c>
      <c r="H394" s="34"/>
      <c r="I394" s="34"/>
      <c r="J394" s="34" t="s">
        <v>1739</v>
      </c>
      <c r="K394" s="34" t="s">
        <v>1716</v>
      </c>
      <c r="L394" s="34"/>
      <c r="M394" s="34" t="s">
        <v>113</v>
      </c>
      <c r="N394" s="34" t="s">
        <v>1717</v>
      </c>
      <c r="O394" s="43">
        <v>44156</v>
      </c>
      <c r="P394" s="34" t="s">
        <v>669</v>
      </c>
      <c r="Q394" s="49">
        <v>30</v>
      </c>
      <c r="R394" s="22">
        <f>IFERROR(Q394/VLOOKUP(P394,'Exchange rates to USD'!$L$2:$N$225,3,FALSE),"")</f>
        <v>33.080068232225649</v>
      </c>
      <c r="U394" s="152"/>
      <c r="V394" s="152"/>
      <c r="W394" s="152"/>
    </row>
    <row r="395" spans="1:23" ht="13.25" customHeight="1" x14ac:dyDescent="0.25">
      <c r="A395" s="31" t="s">
        <v>1740</v>
      </c>
      <c r="B395" s="31" t="s">
        <v>639</v>
      </c>
      <c r="C395" s="31" t="s">
        <v>22</v>
      </c>
      <c r="D395" s="31" t="s">
        <v>872</v>
      </c>
      <c r="E395" s="31" t="s">
        <v>14</v>
      </c>
      <c r="F395" s="31" t="s">
        <v>1741</v>
      </c>
      <c r="G395" s="31" t="s">
        <v>3173</v>
      </c>
      <c r="J395" s="31" t="s">
        <v>1742</v>
      </c>
      <c r="K395" s="31" t="s">
        <v>1743</v>
      </c>
      <c r="M395" s="31" t="s">
        <v>113</v>
      </c>
      <c r="O395" s="42">
        <v>44158</v>
      </c>
      <c r="P395" s="31" t="s">
        <v>2387</v>
      </c>
      <c r="Q395" s="32">
        <v>6500</v>
      </c>
      <c r="R395" s="48">
        <f>IFERROR(Q395/VLOOKUP(P395,'Exchange rates to USD'!$L$2:$N$225,3,FALSE),"")</f>
        <v>1770.4408397025879</v>
      </c>
      <c r="U395" s="152"/>
      <c r="V395" s="152"/>
      <c r="W395" s="152"/>
    </row>
    <row r="396" spans="1:23" ht="15" customHeight="1" x14ac:dyDescent="0.25">
      <c r="A396" s="31" t="s">
        <v>1744</v>
      </c>
      <c r="B396" s="31" t="s">
        <v>639</v>
      </c>
      <c r="C396" s="31" t="s">
        <v>22</v>
      </c>
      <c r="D396" s="31" t="s">
        <v>872</v>
      </c>
      <c r="E396" s="31" t="s">
        <v>14</v>
      </c>
      <c r="F396" s="31" t="s">
        <v>1745</v>
      </c>
      <c r="G396" s="31" t="s">
        <v>3173</v>
      </c>
      <c r="J396" s="31" t="s">
        <v>1746</v>
      </c>
      <c r="K396" s="31" t="s">
        <v>1743</v>
      </c>
      <c r="M396" s="31" t="s">
        <v>113</v>
      </c>
      <c r="O396" s="42">
        <v>44158</v>
      </c>
      <c r="P396" s="31" t="s">
        <v>2387</v>
      </c>
      <c r="Q396" s="32">
        <v>500</v>
      </c>
      <c r="R396" s="48">
        <f>IFERROR(Q396/VLOOKUP(P396,'Exchange rates to USD'!$L$2:$N$225,3,FALSE),"")</f>
        <v>136.18775690019908</v>
      </c>
      <c r="U396" s="152"/>
      <c r="V396" s="152"/>
      <c r="W396" s="152"/>
    </row>
    <row r="397" spans="1:23" ht="13.25" customHeight="1" x14ac:dyDescent="0.25">
      <c r="A397" s="31" t="s">
        <v>1747</v>
      </c>
      <c r="B397" s="31" t="s">
        <v>639</v>
      </c>
      <c r="C397" s="31" t="s">
        <v>30</v>
      </c>
      <c r="D397" s="31" t="s">
        <v>872</v>
      </c>
      <c r="E397" s="31" t="s">
        <v>14</v>
      </c>
      <c r="F397" s="31" t="s">
        <v>1748</v>
      </c>
      <c r="G397" s="31" t="s">
        <v>3173</v>
      </c>
      <c r="J397" s="31" t="s">
        <v>1749</v>
      </c>
      <c r="K397" s="31" t="s">
        <v>1743</v>
      </c>
      <c r="M397" s="31" t="s">
        <v>113</v>
      </c>
      <c r="O397" s="42">
        <v>44158</v>
      </c>
      <c r="Q397" s="32" t="s">
        <v>2326</v>
      </c>
      <c r="R397" s="48" t="str">
        <f>IFERROR(Q397/VLOOKUP(P397,'Exchange rates to USD'!$L$2:$N$225,3,FALSE),"")</f>
        <v/>
      </c>
      <c r="U397" s="152"/>
      <c r="V397" s="152"/>
      <c r="W397" s="152"/>
    </row>
    <row r="398" spans="1:23" ht="13.25" customHeight="1" x14ac:dyDescent="0.25">
      <c r="A398" s="31" t="s">
        <v>1750</v>
      </c>
      <c r="B398" s="31" t="s">
        <v>639</v>
      </c>
      <c r="C398" s="31" t="s">
        <v>30</v>
      </c>
      <c r="D398" s="31" t="s">
        <v>872</v>
      </c>
      <c r="E398" s="31" t="s">
        <v>14</v>
      </c>
      <c r="F398" s="31" t="s">
        <v>1748</v>
      </c>
      <c r="G398" s="31" t="s">
        <v>3173</v>
      </c>
      <c r="J398" s="31" t="s">
        <v>1751</v>
      </c>
      <c r="K398" s="31" t="s">
        <v>1743</v>
      </c>
      <c r="M398" s="31" t="s">
        <v>113</v>
      </c>
      <c r="O398" s="42">
        <v>44159</v>
      </c>
      <c r="Q398" s="32" t="s">
        <v>2326</v>
      </c>
      <c r="R398" s="48" t="str">
        <f>IFERROR(Q398/VLOOKUP(P398,'Exchange rates to USD'!$L$2:$N$225,3,FALSE),"")</f>
        <v/>
      </c>
      <c r="U398" s="152"/>
      <c r="V398" s="152"/>
      <c r="W398" s="152"/>
    </row>
    <row r="399" spans="1:23" ht="13.25" customHeight="1" x14ac:dyDescent="0.25">
      <c r="A399" s="31" t="s">
        <v>1752</v>
      </c>
      <c r="B399" s="31" t="s">
        <v>639</v>
      </c>
      <c r="C399" s="31" t="s">
        <v>22</v>
      </c>
      <c r="D399" s="31" t="s">
        <v>872</v>
      </c>
      <c r="E399" s="31" t="s">
        <v>161</v>
      </c>
      <c r="F399" s="31" t="s">
        <v>1753</v>
      </c>
      <c r="G399" s="31" t="s">
        <v>3173</v>
      </c>
      <c r="H399" s="31" t="s">
        <v>25</v>
      </c>
      <c r="J399" s="31" t="s">
        <v>1754</v>
      </c>
      <c r="K399" s="31" t="s">
        <v>1743</v>
      </c>
      <c r="M399" s="31" t="s">
        <v>113</v>
      </c>
      <c r="O399" s="42">
        <v>44160</v>
      </c>
      <c r="P399" s="31" t="s">
        <v>2387</v>
      </c>
      <c r="Q399" s="32">
        <v>300</v>
      </c>
      <c r="R399" s="48">
        <f>IFERROR(Q399/VLOOKUP(P399,'Exchange rates to USD'!$L$2:$N$225,3,FALSE),"")</f>
        <v>81.71265414011944</v>
      </c>
      <c r="U399" s="152"/>
      <c r="V399" s="152"/>
      <c r="W399" s="152"/>
    </row>
    <row r="400" spans="1:23" ht="13.25" customHeight="1" x14ac:dyDescent="0.25">
      <c r="A400" s="31" t="s">
        <v>1755</v>
      </c>
      <c r="B400" s="31" t="s">
        <v>639</v>
      </c>
      <c r="C400" s="31" t="s">
        <v>110</v>
      </c>
      <c r="D400" s="31" t="s">
        <v>872</v>
      </c>
      <c r="E400" s="31" t="s">
        <v>36</v>
      </c>
      <c r="F400" s="31" t="s">
        <v>1756</v>
      </c>
      <c r="G400" s="31" t="s">
        <v>3173</v>
      </c>
      <c r="H400" s="31" t="s">
        <v>25</v>
      </c>
      <c r="J400" s="31" t="s">
        <v>1757</v>
      </c>
      <c r="K400" s="31" t="s">
        <v>1743</v>
      </c>
      <c r="M400" s="31" t="s">
        <v>113</v>
      </c>
      <c r="O400" s="42">
        <v>44161</v>
      </c>
      <c r="P400" s="31" t="s">
        <v>2387</v>
      </c>
      <c r="Q400" s="32">
        <v>180</v>
      </c>
      <c r="R400" s="48">
        <f>IFERROR(Q400/VLOOKUP(P400,'Exchange rates to USD'!$L$2:$N$225,3,FALSE),"")</f>
        <v>49.027592484071668</v>
      </c>
      <c r="U400" s="152"/>
      <c r="V400" s="152"/>
      <c r="W400" s="152"/>
    </row>
    <row r="401" spans="1:23" ht="13.25" customHeight="1" x14ac:dyDescent="0.25">
      <c r="A401" s="31" t="s">
        <v>1758</v>
      </c>
      <c r="B401" s="31" t="s">
        <v>639</v>
      </c>
      <c r="C401" s="31" t="s">
        <v>2530</v>
      </c>
      <c r="D401" s="31" t="s">
        <v>872</v>
      </c>
      <c r="E401" s="31" t="s">
        <v>3200</v>
      </c>
      <c r="F401" s="31" t="s">
        <v>1759</v>
      </c>
      <c r="G401" s="31" t="s">
        <v>44</v>
      </c>
      <c r="J401" s="31" t="s">
        <v>1760</v>
      </c>
      <c r="K401" s="31" t="s">
        <v>1743</v>
      </c>
      <c r="M401" s="31" t="s">
        <v>871</v>
      </c>
      <c r="O401" s="42">
        <v>44162</v>
      </c>
      <c r="P401" s="31" t="s">
        <v>2387</v>
      </c>
      <c r="Q401" s="32">
        <v>600</v>
      </c>
      <c r="R401" s="48">
        <f>IFERROR(Q401/VLOOKUP(P401,'Exchange rates to USD'!$L$2:$N$225,3,FALSE),"")</f>
        <v>163.42530828023888</v>
      </c>
      <c r="U401" s="152"/>
      <c r="V401" s="152"/>
      <c r="W401" s="152"/>
    </row>
    <row r="402" spans="1:23" ht="13.25" customHeight="1" x14ac:dyDescent="0.25">
      <c r="A402" s="31" t="s">
        <v>1761</v>
      </c>
      <c r="B402" s="31" t="s">
        <v>639</v>
      </c>
      <c r="C402" s="31" t="s">
        <v>22</v>
      </c>
      <c r="D402" s="31" t="s">
        <v>872</v>
      </c>
      <c r="E402" s="31" t="s">
        <v>36</v>
      </c>
      <c r="F402" s="31" t="s">
        <v>1762</v>
      </c>
      <c r="G402" s="31" t="s">
        <v>3173</v>
      </c>
      <c r="H402" s="31" t="s">
        <v>25</v>
      </c>
      <c r="J402" s="31" t="s">
        <v>1763</v>
      </c>
      <c r="K402" s="31" t="s">
        <v>1743</v>
      </c>
      <c r="M402" s="31" t="s">
        <v>871</v>
      </c>
      <c r="O402" s="42">
        <v>44163</v>
      </c>
      <c r="P402" s="31" t="s">
        <v>2387</v>
      </c>
      <c r="Q402" s="32">
        <v>250</v>
      </c>
      <c r="R402" s="48">
        <f>IFERROR(Q402/VLOOKUP(P402,'Exchange rates to USD'!$L$2:$N$225,3,FALSE),"")</f>
        <v>68.093878450099538</v>
      </c>
      <c r="U402" s="152"/>
      <c r="V402" s="152"/>
      <c r="W402" s="152"/>
    </row>
    <row r="403" spans="1:23" ht="13.25" customHeight="1" x14ac:dyDescent="0.25">
      <c r="A403" s="34" t="s">
        <v>1764</v>
      </c>
      <c r="B403" s="34" t="s">
        <v>639</v>
      </c>
      <c r="C403" s="34" t="s">
        <v>22</v>
      </c>
      <c r="D403" s="34" t="s">
        <v>872</v>
      </c>
      <c r="E403" s="34" t="s">
        <v>14</v>
      </c>
      <c r="F403" s="34" t="s">
        <v>1765</v>
      </c>
      <c r="G403" s="34" t="s">
        <v>3173</v>
      </c>
      <c r="H403" s="34"/>
      <c r="I403" s="34"/>
      <c r="J403" s="34" t="s">
        <v>1766</v>
      </c>
      <c r="K403" s="34" t="s">
        <v>1743</v>
      </c>
      <c r="L403" s="34"/>
      <c r="M403" s="34" t="s">
        <v>113</v>
      </c>
      <c r="N403" s="34"/>
      <c r="O403" s="43">
        <v>44164</v>
      </c>
      <c r="P403" s="34" t="s">
        <v>2387</v>
      </c>
      <c r="Q403" s="49">
        <v>1000</v>
      </c>
      <c r="R403" s="22">
        <f>IFERROR(Q403/VLOOKUP(P403,'Exchange rates to USD'!$L$2:$N$225,3,FALSE),"")</f>
        <v>272.37551380039815</v>
      </c>
      <c r="U403" s="152"/>
      <c r="V403" s="152"/>
      <c r="W403" s="152"/>
    </row>
    <row r="404" spans="1:23" ht="13.25" customHeight="1" x14ac:dyDescent="0.25">
      <c r="A404" s="31" t="s">
        <v>382</v>
      </c>
      <c r="B404" s="31" t="s">
        <v>640</v>
      </c>
      <c r="C404" s="31" t="s">
        <v>2531</v>
      </c>
      <c r="D404" s="31" t="s">
        <v>13</v>
      </c>
      <c r="E404" s="31" t="s">
        <v>36</v>
      </c>
      <c r="F404" s="31" t="s">
        <v>383</v>
      </c>
      <c r="G404" s="31" t="s">
        <v>3173</v>
      </c>
      <c r="H404" s="31" t="s">
        <v>25</v>
      </c>
      <c r="J404" s="31" t="s">
        <v>1767</v>
      </c>
      <c r="K404" s="31" t="s">
        <v>1768</v>
      </c>
      <c r="M404" s="31" t="s">
        <v>113</v>
      </c>
      <c r="O404" s="42" t="s">
        <v>1769</v>
      </c>
      <c r="P404" s="31" t="s">
        <v>669</v>
      </c>
      <c r="Q404" s="32">
        <v>300</v>
      </c>
      <c r="R404" s="48">
        <f>IFERROR(Q404/VLOOKUP(P404,'Exchange rates to USD'!$L$2:$N$225,3,FALSE),"")</f>
        <v>330.80068232225648</v>
      </c>
      <c r="U404" s="152"/>
      <c r="V404" s="152"/>
      <c r="W404" s="152"/>
    </row>
    <row r="405" spans="1:23" ht="13.25" customHeight="1" x14ac:dyDescent="0.25">
      <c r="A405" s="31" t="s">
        <v>384</v>
      </c>
      <c r="B405" s="31" t="s">
        <v>640</v>
      </c>
      <c r="C405" s="31" t="s">
        <v>2531</v>
      </c>
      <c r="D405" s="31" t="s">
        <v>13</v>
      </c>
      <c r="E405" s="31" t="s">
        <v>161</v>
      </c>
      <c r="F405" s="31" t="s">
        <v>385</v>
      </c>
      <c r="G405" s="31" t="s">
        <v>3173</v>
      </c>
      <c r="J405" s="31" t="s">
        <v>386</v>
      </c>
      <c r="K405" s="31" t="s">
        <v>1770</v>
      </c>
      <c r="M405" s="31" t="s">
        <v>113</v>
      </c>
      <c r="O405" s="42" t="s">
        <v>1769</v>
      </c>
      <c r="P405" s="31" t="s">
        <v>669</v>
      </c>
      <c r="Q405" s="32">
        <v>11400</v>
      </c>
      <c r="R405" s="48">
        <f>IFERROR(Q405/VLOOKUP(P405,'Exchange rates to USD'!$L$2:$N$225,3,FALSE),"")</f>
        <v>12570.425928245746</v>
      </c>
      <c r="U405" s="152"/>
      <c r="V405" s="152"/>
      <c r="W405" s="152"/>
    </row>
    <row r="406" spans="1:23" ht="13.25" customHeight="1" x14ac:dyDescent="0.25">
      <c r="A406" s="31" t="s">
        <v>387</v>
      </c>
      <c r="B406" s="31" t="s">
        <v>640</v>
      </c>
      <c r="C406" s="31" t="s">
        <v>2531</v>
      </c>
      <c r="D406" s="31" t="s">
        <v>23</v>
      </c>
      <c r="E406" s="31" t="s">
        <v>14</v>
      </c>
      <c r="F406" s="31" t="s">
        <v>1771</v>
      </c>
      <c r="G406" s="31" t="s">
        <v>3173</v>
      </c>
      <c r="J406" s="31" t="s">
        <v>2336</v>
      </c>
      <c r="K406" s="31" t="s">
        <v>1772</v>
      </c>
      <c r="M406" s="31" t="s">
        <v>101</v>
      </c>
      <c r="O406" s="42" t="s">
        <v>1769</v>
      </c>
      <c r="Q406" s="32" t="s">
        <v>2326</v>
      </c>
      <c r="R406" s="48" t="str">
        <f>IFERROR(Q406/VLOOKUP(P406,'Exchange rates to USD'!$L$2:$N$225,3,FALSE),"")</f>
        <v/>
      </c>
      <c r="U406" s="152"/>
      <c r="V406" s="152"/>
      <c r="W406" s="152"/>
    </row>
    <row r="407" spans="1:23" ht="13.25" customHeight="1" x14ac:dyDescent="0.25">
      <c r="A407" s="31" t="s">
        <v>388</v>
      </c>
      <c r="B407" s="31" t="s">
        <v>640</v>
      </c>
      <c r="C407" s="31" t="s">
        <v>2531</v>
      </c>
      <c r="D407" s="31" t="s">
        <v>13</v>
      </c>
      <c r="E407" s="31" t="s">
        <v>3200</v>
      </c>
      <c r="F407" s="31" t="s">
        <v>389</v>
      </c>
      <c r="G407" s="31" t="s">
        <v>41</v>
      </c>
      <c r="J407" s="31" t="s">
        <v>390</v>
      </c>
      <c r="K407" s="31" t="s">
        <v>1773</v>
      </c>
      <c r="M407" s="31" t="s">
        <v>113</v>
      </c>
      <c r="O407" s="42" t="s">
        <v>1769</v>
      </c>
      <c r="P407" s="31" t="s">
        <v>669</v>
      </c>
      <c r="Q407" s="32">
        <v>40</v>
      </c>
      <c r="R407" s="48">
        <f>IFERROR(Q407/VLOOKUP(P407,'Exchange rates to USD'!$L$2:$N$225,3,FALSE),"")</f>
        <v>44.10675764296753</v>
      </c>
      <c r="U407" s="152"/>
      <c r="V407" s="152"/>
      <c r="W407" s="152"/>
    </row>
    <row r="408" spans="1:23" ht="13.25" customHeight="1" x14ac:dyDescent="0.25">
      <c r="A408" s="31" t="s">
        <v>391</v>
      </c>
      <c r="B408" s="31" t="s">
        <v>640</v>
      </c>
      <c r="C408" s="31" t="s">
        <v>2531</v>
      </c>
      <c r="D408" s="31" t="s">
        <v>13</v>
      </c>
      <c r="E408" s="31" t="s">
        <v>36</v>
      </c>
      <c r="F408" s="31" t="s">
        <v>392</v>
      </c>
      <c r="G408" s="31" t="s">
        <v>3173</v>
      </c>
      <c r="H408" s="31" t="s">
        <v>25</v>
      </c>
      <c r="J408" s="31" t="s">
        <v>393</v>
      </c>
      <c r="K408" s="31" t="s">
        <v>1774</v>
      </c>
      <c r="M408" s="31" t="s">
        <v>113</v>
      </c>
      <c r="O408" s="42" t="s">
        <v>1769</v>
      </c>
      <c r="P408" s="31" t="s">
        <v>669</v>
      </c>
      <c r="Q408" s="32">
        <v>50</v>
      </c>
      <c r="R408" s="48">
        <f>IFERROR(Q408/VLOOKUP(P408,'Exchange rates to USD'!$L$2:$N$225,3,FALSE),"")</f>
        <v>55.133447053709418</v>
      </c>
      <c r="U408" s="152"/>
      <c r="V408" s="152"/>
      <c r="W408" s="152"/>
    </row>
    <row r="409" spans="1:23" ht="13.25" customHeight="1" x14ac:dyDescent="0.25">
      <c r="A409" s="31" t="s">
        <v>394</v>
      </c>
      <c r="B409" s="31" t="s">
        <v>640</v>
      </c>
      <c r="C409" s="31" t="s">
        <v>30</v>
      </c>
      <c r="D409" s="31" t="s">
        <v>39</v>
      </c>
      <c r="E409" s="31" t="s">
        <v>36</v>
      </c>
      <c r="F409" s="31" t="s">
        <v>1771</v>
      </c>
      <c r="G409" s="31" t="s">
        <v>3173</v>
      </c>
      <c r="H409" s="31" t="s">
        <v>25</v>
      </c>
      <c r="J409" s="31" t="s">
        <v>395</v>
      </c>
      <c r="K409" s="31" t="s">
        <v>1774</v>
      </c>
      <c r="M409" s="31" t="s">
        <v>113</v>
      </c>
      <c r="O409" s="42" t="s">
        <v>1769</v>
      </c>
      <c r="Q409" s="32" t="s">
        <v>2326</v>
      </c>
      <c r="R409" s="48" t="str">
        <f>IFERROR(Q409/VLOOKUP(P409,'Exchange rates to USD'!$L$2:$N$225,3,FALSE),"")</f>
        <v/>
      </c>
      <c r="U409" s="152"/>
      <c r="V409" s="152"/>
      <c r="W409" s="152"/>
    </row>
    <row r="410" spans="1:23" ht="13.25" customHeight="1" x14ac:dyDescent="0.25">
      <c r="A410" s="31" t="s">
        <v>396</v>
      </c>
      <c r="B410" s="31" t="s">
        <v>640</v>
      </c>
      <c r="C410" s="31" t="s">
        <v>110</v>
      </c>
      <c r="D410" s="31" t="s">
        <v>13</v>
      </c>
      <c r="E410" s="31" t="s">
        <v>14</v>
      </c>
      <c r="F410" s="31" t="s">
        <v>397</v>
      </c>
      <c r="G410" s="31" t="s">
        <v>3173</v>
      </c>
      <c r="J410" s="31" t="s">
        <v>398</v>
      </c>
      <c r="K410" s="31" t="s">
        <v>1775</v>
      </c>
      <c r="M410" s="31" t="s">
        <v>113</v>
      </c>
      <c r="O410" s="42" t="s">
        <v>1769</v>
      </c>
      <c r="P410" s="31" t="s">
        <v>669</v>
      </c>
      <c r="Q410" s="32">
        <v>100</v>
      </c>
      <c r="R410" s="48">
        <f>IFERROR(Q410/VLOOKUP(P410,'Exchange rates to USD'!$L$2:$N$225,3,FALSE),"")</f>
        <v>110.26689410741884</v>
      </c>
      <c r="U410" s="152"/>
      <c r="V410" s="152"/>
      <c r="W410" s="152"/>
    </row>
    <row r="411" spans="1:23" ht="13.25" customHeight="1" x14ac:dyDescent="0.25">
      <c r="A411" s="31" t="s">
        <v>2483</v>
      </c>
      <c r="B411" s="31" t="s">
        <v>640</v>
      </c>
      <c r="C411" s="31" t="s">
        <v>2531</v>
      </c>
      <c r="D411" s="31" t="s">
        <v>13</v>
      </c>
      <c r="E411" s="31" t="s">
        <v>36</v>
      </c>
      <c r="F411" s="31" t="s">
        <v>999</v>
      </c>
      <c r="G411" s="31" t="s">
        <v>3173</v>
      </c>
      <c r="H411" s="31" t="s">
        <v>25</v>
      </c>
      <c r="J411" s="31" t="s">
        <v>1000</v>
      </c>
      <c r="K411" s="31" t="s">
        <v>1776</v>
      </c>
      <c r="M411" s="31" t="s">
        <v>737</v>
      </c>
      <c r="O411" s="42" t="s">
        <v>1769</v>
      </c>
      <c r="P411" s="31" t="s">
        <v>669</v>
      </c>
      <c r="Q411" s="32">
        <v>500</v>
      </c>
      <c r="R411" s="48">
        <f>IFERROR(Q411/VLOOKUP(P411,'Exchange rates to USD'!$L$2:$N$225,3,FALSE),"")</f>
        <v>551.33447053709415</v>
      </c>
      <c r="U411" s="152"/>
      <c r="V411" s="152"/>
      <c r="W411" s="152"/>
    </row>
    <row r="412" spans="1:23" ht="13.25" customHeight="1" x14ac:dyDescent="0.25">
      <c r="A412" s="31" t="s">
        <v>1777</v>
      </c>
      <c r="B412" s="31" t="s">
        <v>640</v>
      </c>
      <c r="C412" s="31" t="s">
        <v>2531</v>
      </c>
      <c r="D412" s="31" t="s">
        <v>872</v>
      </c>
      <c r="E412" s="31" t="s">
        <v>36</v>
      </c>
      <c r="F412" s="31" t="s">
        <v>1771</v>
      </c>
      <c r="G412" s="31" t="s">
        <v>25</v>
      </c>
      <c r="H412" s="31" t="s">
        <v>3173</v>
      </c>
      <c r="J412" s="31" t="s">
        <v>1778</v>
      </c>
      <c r="K412" s="31" t="s">
        <v>1779</v>
      </c>
      <c r="M412" s="31" t="s">
        <v>101</v>
      </c>
      <c r="O412" s="42" t="s">
        <v>1780</v>
      </c>
      <c r="Q412" s="32" t="s">
        <v>2326</v>
      </c>
      <c r="R412" s="48" t="str">
        <f>IFERROR(Q412/VLOOKUP(P412,'Exchange rates to USD'!$L$2:$N$225,3,FALSE),"")</f>
        <v/>
      </c>
      <c r="U412" s="152"/>
      <c r="V412" s="152"/>
      <c r="W412" s="152"/>
    </row>
    <row r="413" spans="1:23" ht="13.25" customHeight="1" x14ac:dyDescent="0.25">
      <c r="A413" s="31" t="s">
        <v>1781</v>
      </c>
      <c r="B413" s="31" t="s">
        <v>640</v>
      </c>
      <c r="C413" s="31" t="s">
        <v>2531</v>
      </c>
      <c r="D413" s="31" t="s">
        <v>872</v>
      </c>
      <c r="E413" s="31" t="s">
        <v>36</v>
      </c>
      <c r="F413" s="31" t="s">
        <v>999</v>
      </c>
      <c r="G413" s="31" t="s">
        <v>3173</v>
      </c>
      <c r="H413" s="31" t="s">
        <v>25</v>
      </c>
      <c r="J413" s="31" t="s">
        <v>1782</v>
      </c>
      <c r="K413" s="31" t="s">
        <v>1783</v>
      </c>
      <c r="L413" s="31" t="s">
        <v>1784</v>
      </c>
      <c r="M413" s="31" t="s">
        <v>113</v>
      </c>
      <c r="O413" s="42" t="s">
        <v>1780</v>
      </c>
      <c r="P413" s="31" t="s">
        <v>669</v>
      </c>
      <c r="Q413" s="32">
        <v>500</v>
      </c>
      <c r="R413" s="48">
        <f>IFERROR(Q413/VLOOKUP(P413,'Exchange rates to USD'!$L$2:$N$225,3,FALSE),"")</f>
        <v>551.33447053709415</v>
      </c>
      <c r="U413" s="152"/>
      <c r="V413" s="152"/>
      <c r="W413" s="152"/>
    </row>
    <row r="414" spans="1:23" ht="13.25" customHeight="1" x14ac:dyDescent="0.25">
      <c r="A414" s="31" t="s">
        <v>2484</v>
      </c>
      <c r="B414" s="31" t="s">
        <v>640</v>
      </c>
      <c r="C414" s="31" t="s">
        <v>22</v>
      </c>
      <c r="D414" s="31" t="s">
        <v>872</v>
      </c>
      <c r="E414" s="31" t="s">
        <v>161</v>
      </c>
      <c r="F414" s="31" t="s">
        <v>999</v>
      </c>
      <c r="G414" s="31" t="s">
        <v>3173</v>
      </c>
      <c r="H414" s="31" t="s">
        <v>25</v>
      </c>
      <c r="J414" s="31" t="s">
        <v>1785</v>
      </c>
      <c r="K414" s="31" t="s">
        <v>1786</v>
      </c>
      <c r="L414" s="31" t="s">
        <v>1787</v>
      </c>
      <c r="M414" s="31" t="s">
        <v>113</v>
      </c>
      <c r="O414" s="42" t="s">
        <v>1780</v>
      </c>
      <c r="P414" s="31" t="s">
        <v>669</v>
      </c>
      <c r="Q414" s="32">
        <v>500</v>
      </c>
      <c r="R414" s="48">
        <f>IFERROR(Q414/VLOOKUP(P414,'Exchange rates to USD'!$L$2:$N$225,3,FALSE),"")</f>
        <v>551.33447053709415</v>
      </c>
      <c r="U414" s="152"/>
      <c r="V414" s="152"/>
      <c r="W414" s="152"/>
    </row>
    <row r="415" spans="1:23" ht="13.25" customHeight="1" x14ac:dyDescent="0.25">
      <c r="A415" s="31" t="s">
        <v>2485</v>
      </c>
      <c r="B415" s="12" t="str">
        <f>LEFT(A415,3)</f>
        <v>ITA</v>
      </c>
      <c r="C415" s="14" t="s">
        <v>2530</v>
      </c>
      <c r="D415" s="14" t="s">
        <v>872</v>
      </c>
      <c r="E415" s="14" t="s">
        <v>172</v>
      </c>
      <c r="F415" s="14" t="s">
        <v>2252</v>
      </c>
      <c r="G415" s="14" t="s">
        <v>3173</v>
      </c>
      <c r="H415" s="14"/>
      <c r="I415" s="14"/>
      <c r="J415" s="14" t="s">
        <v>2253</v>
      </c>
      <c r="K415" s="14" t="s">
        <v>2254</v>
      </c>
      <c r="L415" s="36" t="s">
        <v>2255</v>
      </c>
      <c r="M415" s="31" t="s">
        <v>101</v>
      </c>
      <c r="N415" s="14"/>
      <c r="O415" s="14"/>
      <c r="P415" s="20" t="s">
        <v>669</v>
      </c>
      <c r="Q415" s="28">
        <v>3000</v>
      </c>
      <c r="R415" s="48">
        <f>IFERROR(Q415/VLOOKUP(P415,'Exchange rates to USD'!$L$2:$N$225,3,FALSE),"")</f>
        <v>3308.0068232225649</v>
      </c>
      <c r="U415" s="152"/>
      <c r="V415" s="152"/>
      <c r="W415" s="152"/>
    </row>
    <row r="416" spans="1:23" ht="13.25" customHeight="1" x14ac:dyDescent="0.25">
      <c r="A416" s="31" t="s">
        <v>2486</v>
      </c>
      <c r="B416" s="31" t="s">
        <v>640</v>
      </c>
      <c r="C416" s="31" t="s">
        <v>2531</v>
      </c>
      <c r="D416" s="31" t="s">
        <v>872</v>
      </c>
      <c r="E416" s="31" t="s">
        <v>36</v>
      </c>
      <c r="G416" s="31" t="s">
        <v>3173</v>
      </c>
      <c r="H416" s="31" t="s">
        <v>25</v>
      </c>
      <c r="J416" s="31" t="s">
        <v>1788</v>
      </c>
      <c r="K416" s="31" t="s">
        <v>1789</v>
      </c>
      <c r="M416" s="31" t="s">
        <v>871</v>
      </c>
      <c r="O416" s="42" t="s">
        <v>1790</v>
      </c>
      <c r="Q416" s="32" t="s">
        <v>2326</v>
      </c>
      <c r="R416" s="48" t="str">
        <f>IFERROR(Q416/VLOOKUP(P416,'Exchange rates to USD'!$L$2:$N$225,3,FALSE),"")</f>
        <v/>
      </c>
      <c r="U416" s="152"/>
      <c r="V416" s="152"/>
      <c r="W416" s="152"/>
    </row>
    <row r="417" spans="1:23" ht="13.25" customHeight="1" x14ac:dyDescent="0.25">
      <c r="A417" s="34" t="s">
        <v>2512</v>
      </c>
      <c r="B417" s="34" t="s">
        <v>640</v>
      </c>
      <c r="C417" s="34" t="s">
        <v>2530</v>
      </c>
      <c r="D417" s="34" t="s">
        <v>13</v>
      </c>
      <c r="E417" s="34" t="s">
        <v>172</v>
      </c>
      <c r="F417" s="34" t="s">
        <v>383</v>
      </c>
      <c r="G417" s="34" t="s">
        <v>3173</v>
      </c>
      <c r="H417" s="34"/>
      <c r="I417" s="34"/>
      <c r="J417" s="34" t="s">
        <v>1791</v>
      </c>
      <c r="K417" s="34" t="s">
        <v>1792</v>
      </c>
      <c r="L417" s="34"/>
      <c r="M417" s="34" t="s">
        <v>101</v>
      </c>
      <c r="N417" s="34"/>
      <c r="O417" s="43" t="s">
        <v>1790</v>
      </c>
      <c r="P417" s="34" t="s">
        <v>669</v>
      </c>
      <c r="Q417" s="49">
        <v>300</v>
      </c>
      <c r="R417" s="22">
        <f>IFERROR(Q417/VLOOKUP(P417,'Exchange rates to USD'!$L$2:$N$225,3,FALSE),"")</f>
        <v>330.80068232225648</v>
      </c>
      <c r="U417" s="152"/>
      <c r="V417" s="152"/>
      <c r="W417" s="152"/>
    </row>
    <row r="418" spans="1:23" ht="13.25" customHeight="1" x14ac:dyDescent="0.25">
      <c r="A418" s="31" t="s">
        <v>378</v>
      </c>
      <c r="B418" s="31" t="s">
        <v>641</v>
      </c>
      <c r="C418" s="31" t="s">
        <v>2530</v>
      </c>
      <c r="D418" s="31" t="s">
        <v>13</v>
      </c>
      <c r="E418" s="31" t="s">
        <v>14</v>
      </c>
      <c r="F418" s="31" t="s">
        <v>379</v>
      </c>
      <c r="G418" s="31" t="s">
        <v>3173</v>
      </c>
      <c r="J418" s="31" t="s">
        <v>380</v>
      </c>
      <c r="K418" s="31" t="s">
        <v>2553</v>
      </c>
      <c r="M418" s="31" t="s">
        <v>113</v>
      </c>
      <c r="N418" s="31" t="s">
        <v>2554</v>
      </c>
      <c r="O418" s="42">
        <v>44209</v>
      </c>
      <c r="P418" s="31" t="s">
        <v>2225</v>
      </c>
      <c r="Q418" s="32">
        <v>5000</v>
      </c>
      <c r="R418" s="32">
        <v>44.955655885362532</v>
      </c>
      <c r="U418" s="152"/>
      <c r="V418" s="152"/>
      <c r="W418" s="152"/>
    </row>
    <row r="419" spans="1:23" ht="13.25" customHeight="1" x14ac:dyDescent="0.25">
      <c r="A419" s="31" t="s">
        <v>2519</v>
      </c>
      <c r="B419" s="31" t="s">
        <v>641</v>
      </c>
      <c r="C419" t="s">
        <v>22</v>
      </c>
      <c r="D419" s="38" t="s">
        <v>23</v>
      </c>
      <c r="E419" s="38" t="s">
        <v>3200</v>
      </c>
      <c r="F419" s="38" t="s">
        <v>2520</v>
      </c>
      <c r="G419" s="38" t="s">
        <v>3173</v>
      </c>
      <c r="H419" s="38"/>
      <c r="I419" s="38"/>
      <c r="J419" s="152" t="s">
        <v>2523</v>
      </c>
      <c r="K419" s="73" t="s">
        <v>2521</v>
      </c>
      <c r="L419" s="73" t="s">
        <v>2522</v>
      </c>
      <c r="M419" s="38" t="s">
        <v>113</v>
      </c>
      <c r="N419" s="2"/>
      <c r="O419" s="74">
        <v>44187</v>
      </c>
      <c r="P419" s="38" t="s">
        <v>2225</v>
      </c>
      <c r="Q419" s="60">
        <v>2000000</v>
      </c>
      <c r="R419" s="48">
        <f>IFERROR(Q419/VLOOKUP(P419,'Exchange rates to USD'!$L$2:$N$225,3,FALSE),"")</f>
        <v>17982.262354145012</v>
      </c>
      <c r="U419" s="152"/>
      <c r="V419" s="152"/>
      <c r="W419" s="152"/>
    </row>
    <row r="420" spans="1:23" ht="13.25" customHeight="1" x14ac:dyDescent="0.25">
      <c r="A420" s="38" t="s">
        <v>2555</v>
      </c>
      <c r="B420" s="38" t="s">
        <v>641</v>
      </c>
      <c r="C420" s="31" t="s">
        <v>2530</v>
      </c>
      <c r="D420" s="38" t="s">
        <v>23</v>
      </c>
      <c r="E420" s="38" t="s">
        <v>3200</v>
      </c>
      <c r="F420" s="38" t="s">
        <v>381</v>
      </c>
      <c r="G420" s="38" t="s">
        <v>111</v>
      </c>
      <c r="H420" s="38"/>
      <c r="I420" s="38"/>
      <c r="J420" s="38" t="s">
        <v>2559</v>
      </c>
      <c r="K420" s="73" t="s">
        <v>2560</v>
      </c>
      <c r="L420" s="73" t="s">
        <v>2561</v>
      </c>
      <c r="M420" s="38" t="s">
        <v>113</v>
      </c>
      <c r="N420" s="2" t="s">
        <v>2562</v>
      </c>
      <c r="O420" s="74">
        <v>44209</v>
      </c>
      <c r="P420" s="38"/>
      <c r="Q420" s="60"/>
      <c r="R420" s="48"/>
      <c r="U420" s="152"/>
      <c r="V420" s="152"/>
      <c r="W420" s="152"/>
    </row>
    <row r="421" spans="1:23" ht="13.25" customHeight="1" x14ac:dyDescent="0.25">
      <c r="A421" s="31" t="s">
        <v>2556</v>
      </c>
      <c r="B421" s="31" t="s">
        <v>641</v>
      </c>
      <c r="C421" t="s">
        <v>2530</v>
      </c>
      <c r="D421" s="38" t="s">
        <v>23</v>
      </c>
      <c r="E421" s="38" t="s">
        <v>3200</v>
      </c>
      <c r="F421" s="38" t="s">
        <v>381</v>
      </c>
      <c r="G421" s="38" t="s">
        <v>25</v>
      </c>
      <c r="H421" s="38" t="s">
        <v>3173</v>
      </c>
      <c r="I421" s="38" t="s">
        <v>670</v>
      </c>
      <c r="J421" s="38" t="s">
        <v>2563</v>
      </c>
      <c r="K421" s="73" t="s">
        <v>2564</v>
      </c>
      <c r="L421" s="73"/>
      <c r="M421" s="38" t="s">
        <v>113</v>
      </c>
      <c r="N421" s="2" t="s">
        <v>2565</v>
      </c>
      <c r="O421" s="74">
        <v>44209</v>
      </c>
      <c r="P421" s="38"/>
      <c r="Q421" s="60"/>
      <c r="R421" s="48"/>
      <c r="U421" s="152"/>
      <c r="V421" s="152"/>
      <c r="W421" s="152"/>
    </row>
    <row r="422" spans="1:23" ht="13.25" customHeight="1" x14ac:dyDescent="0.25">
      <c r="A422" s="38" t="s">
        <v>2557</v>
      </c>
      <c r="B422" s="38" t="s">
        <v>641</v>
      </c>
      <c r="C422" t="s">
        <v>2530</v>
      </c>
      <c r="D422" s="38" t="s">
        <v>872</v>
      </c>
      <c r="E422" s="38"/>
      <c r="F422" s="38" t="s">
        <v>381</v>
      </c>
      <c r="G422" s="38" t="s">
        <v>3173</v>
      </c>
      <c r="H422" s="38" t="s">
        <v>3173</v>
      </c>
      <c r="I422" s="38"/>
      <c r="J422" s="38" t="s">
        <v>2567</v>
      </c>
      <c r="K422" s="73" t="s">
        <v>2570</v>
      </c>
      <c r="L422" s="73"/>
      <c r="M422" s="38" t="s">
        <v>113</v>
      </c>
      <c r="N422" s="2" t="s">
        <v>2572</v>
      </c>
      <c r="O422" s="74">
        <v>44209</v>
      </c>
      <c r="P422" s="38"/>
      <c r="Q422" s="60"/>
      <c r="R422" s="48"/>
      <c r="U422" s="152"/>
      <c r="V422" s="152"/>
      <c r="W422" s="152"/>
    </row>
    <row r="423" spans="1:23" ht="13.25" customHeight="1" x14ac:dyDescent="0.25">
      <c r="A423" s="38" t="s">
        <v>2558</v>
      </c>
      <c r="B423" s="38" t="s">
        <v>641</v>
      </c>
      <c r="C423" t="s">
        <v>2530</v>
      </c>
      <c r="D423" s="38" t="s">
        <v>23</v>
      </c>
      <c r="E423" s="38"/>
      <c r="F423" s="38" t="s">
        <v>381</v>
      </c>
      <c r="G423" s="38" t="s">
        <v>3173</v>
      </c>
      <c r="H423" s="38" t="s">
        <v>3173</v>
      </c>
      <c r="I423" s="38"/>
      <c r="J423" s="38" t="s">
        <v>2568</v>
      </c>
      <c r="K423" s="73" t="s">
        <v>2571</v>
      </c>
      <c r="L423" s="73"/>
      <c r="M423" s="38" t="s">
        <v>113</v>
      </c>
      <c r="N423" s="2" t="s">
        <v>2573</v>
      </c>
      <c r="O423" s="74">
        <v>44209</v>
      </c>
      <c r="P423" s="38"/>
      <c r="Q423" s="60"/>
      <c r="R423" s="48"/>
      <c r="S423" s="38"/>
      <c r="T423" s="38"/>
      <c r="U423" s="152"/>
      <c r="V423" s="152"/>
      <c r="W423" s="152"/>
    </row>
    <row r="424" spans="1:23" ht="13.25" customHeight="1" x14ac:dyDescent="0.25">
      <c r="A424" s="38" t="s">
        <v>2566</v>
      </c>
      <c r="B424" s="38" t="s">
        <v>641</v>
      </c>
      <c r="C424" t="s">
        <v>2530</v>
      </c>
      <c r="D424" s="38" t="s">
        <v>872</v>
      </c>
      <c r="E424" s="38"/>
      <c r="F424" s="38" t="s">
        <v>381</v>
      </c>
      <c r="G424" s="38" t="s">
        <v>111</v>
      </c>
      <c r="H424" s="38" t="s">
        <v>111</v>
      </c>
      <c r="I424" s="38"/>
      <c r="J424" s="38" t="s">
        <v>2569</v>
      </c>
      <c r="K424" s="73" t="s">
        <v>2560</v>
      </c>
      <c r="L424" s="73"/>
      <c r="M424" s="38" t="s">
        <v>113</v>
      </c>
      <c r="N424" s="2" t="s">
        <v>2574</v>
      </c>
      <c r="O424" s="74">
        <v>44266</v>
      </c>
      <c r="P424" s="38"/>
      <c r="Q424" s="60"/>
      <c r="R424" s="48"/>
      <c r="S424" s="38"/>
      <c r="T424" s="38"/>
      <c r="U424" s="152"/>
      <c r="V424" s="152"/>
      <c r="W424" s="152"/>
    </row>
    <row r="425" spans="1:23" ht="13.25" customHeight="1" x14ac:dyDescent="0.25">
      <c r="A425" s="38" t="s">
        <v>2744</v>
      </c>
      <c r="B425" s="38" t="s">
        <v>2739</v>
      </c>
      <c r="C425" t="s">
        <v>22</v>
      </c>
      <c r="D425" s="38" t="s">
        <v>23</v>
      </c>
      <c r="E425" s="38" t="s">
        <v>161</v>
      </c>
      <c r="F425" s="38" t="s">
        <v>2740</v>
      </c>
      <c r="G425" s="38" t="s">
        <v>3173</v>
      </c>
      <c r="H425" s="38"/>
      <c r="I425" s="38"/>
      <c r="J425" s="38" t="s">
        <v>2741</v>
      </c>
      <c r="K425" s="73" t="s">
        <v>2742</v>
      </c>
      <c r="L425" s="73"/>
      <c r="M425" s="38" t="s">
        <v>113</v>
      </c>
      <c r="N425" s="2" t="s">
        <v>2743</v>
      </c>
      <c r="O425" s="74">
        <v>44266</v>
      </c>
      <c r="P425" s="38" t="s">
        <v>2225</v>
      </c>
      <c r="Q425" s="60">
        <v>3000</v>
      </c>
      <c r="R425" s="48">
        <v>27.27</v>
      </c>
      <c r="S425" s="38" t="s">
        <v>2905</v>
      </c>
      <c r="T425" s="38"/>
      <c r="U425" s="152"/>
      <c r="V425" s="152"/>
      <c r="W425" s="152"/>
    </row>
    <row r="426" spans="1:23" s="85" customFormat="1" ht="16" customHeight="1" x14ac:dyDescent="0.25">
      <c r="A426" s="38" t="s">
        <v>2748</v>
      </c>
      <c r="B426" s="38" t="s">
        <v>2739</v>
      </c>
      <c r="C426" t="s">
        <v>2530</v>
      </c>
      <c r="D426" s="38" t="s">
        <v>39</v>
      </c>
      <c r="E426" s="38" t="s">
        <v>3200</v>
      </c>
      <c r="F426" s="38"/>
      <c r="G426" s="38" t="s">
        <v>809</v>
      </c>
      <c r="H426" s="38" t="s">
        <v>3173</v>
      </c>
      <c r="I426" s="38"/>
      <c r="J426" s="38" t="s">
        <v>2745</v>
      </c>
      <c r="K426" s="73" t="s">
        <v>2746</v>
      </c>
      <c r="L426" s="73"/>
      <c r="M426" s="38" t="s">
        <v>113</v>
      </c>
      <c r="N426" s="2" t="s">
        <v>2747</v>
      </c>
      <c r="O426" s="74">
        <v>44266</v>
      </c>
      <c r="P426" s="38"/>
      <c r="Q426" s="60"/>
      <c r="R426" s="48"/>
      <c r="S426" s="192"/>
      <c r="T426" s="193"/>
      <c r="U426" s="152"/>
      <c r="V426" s="152"/>
      <c r="W426" s="152"/>
    </row>
    <row r="427" spans="1:23" s="38" customFormat="1" ht="13.25" customHeight="1" x14ac:dyDescent="0.25">
      <c r="A427" s="38" t="s">
        <v>2753</v>
      </c>
      <c r="B427" s="38" t="s">
        <v>2739</v>
      </c>
      <c r="C427" s="72" t="s">
        <v>2530</v>
      </c>
      <c r="D427" s="38" t="s">
        <v>13</v>
      </c>
      <c r="E427" s="38" t="s">
        <v>3200</v>
      </c>
      <c r="F427" s="38" t="s">
        <v>2749</v>
      </c>
      <c r="G427" s="38" t="s">
        <v>44</v>
      </c>
      <c r="J427" s="38" t="s">
        <v>2750</v>
      </c>
      <c r="K427" s="160" t="s">
        <v>2751</v>
      </c>
      <c r="L427" s="160"/>
      <c r="M427" s="38" t="s">
        <v>113</v>
      </c>
      <c r="N427" s="161" t="s">
        <v>2752</v>
      </c>
      <c r="O427" s="162">
        <v>44266</v>
      </c>
      <c r="Q427" s="60"/>
      <c r="R427" s="48" t="str">
        <f>IFERROR(#REF!/VLOOKUP(#REF!,'Exchange rates to USD'!$L$2:$N$225,3,FALSE),"")</f>
        <v/>
      </c>
      <c r="S427" s="38" t="s">
        <v>2905</v>
      </c>
      <c r="U427" s="152"/>
      <c r="V427" s="152"/>
      <c r="W427" s="152"/>
    </row>
    <row r="428" spans="1:23" s="38" customFormat="1" ht="13.25" customHeight="1" x14ac:dyDescent="0.25">
      <c r="A428" s="38" t="s">
        <v>2906</v>
      </c>
      <c r="B428" s="38" t="s">
        <v>641</v>
      </c>
      <c r="C428" s="72" t="s">
        <v>2530</v>
      </c>
      <c r="D428" s="38" t="s">
        <v>23</v>
      </c>
      <c r="E428" s="38" t="s">
        <v>3200</v>
      </c>
      <c r="F428" s="38" t="s">
        <v>2749</v>
      </c>
      <c r="G428" s="38" t="s">
        <v>809</v>
      </c>
      <c r="J428" s="163" t="s">
        <v>2909</v>
      </c>
      <c r="K428" s="165" t="s">
        <v>2912</v>
      </c>
      <c r="L428" s="160"/>
      <c r="M428" s="38" t="s">
        <v>113</v>
      </c>
      <c r="N428" s="168" t="s">
        <v>2914</v>
      </c>
      <c r="O428" s="162">
        <v>44266</v>
      </c>
      <c r="Q428" s="60"/>
      <c r="R428" s="48"/>
      <c r="U428" s="152"/>
      <c r="V428" s="152"/>
      <c r="W428" s="152"/>
    </row>
    <row r="429" spans="1:23" s="38" customFormat="1" ht="13.25" customHeight="1" x14ac:dyDescent="0.25">
      <c r="A429" s="38" t="s">
        <v>2907</v>
      </c>
      <c r="B429" s="38" t="s">
        <v>641</v>
      </c>
      <c r="C429" s="72" t="s">
        <v>2530</v>
      </c>
      <c r="D429" s="38" t="s">
        <v>23</v>
      </c>
      <c r="E429" s="38" t="s">
        <v>3200</v>
      </c>
      <c r="F429" s="38" t="s">
        <v>2749</v>
      </c>
      <c r="G429" s="38" t="s">
        <v>44</v>
      </c>
      <c r="J429" s="95" t="s">
        <v>2911</v>
      </c>
      <c r="K429" s="166"/>
      <c r="L429" s="160"/>
      <c r="M429" s="38" t="s">
        <v>113</v>
      </c>
      <c r="N429" s="99" t="s">
        <v>2915</v>
      </c>
      <c r="O429" s="74">
        <v>44266</v>
      </c>
      <c r="Q429" s="60"/>
      <c r="R429" s="48"/>
      <c r="U429" s="152"/>
      <c r="V429" s="152"/>
      <c r="W429" s="152"/>
    </row>
    <row r="430" spans="1:23" s="38" customFormat="1" ht="13.25" customHeight="1" x14ac:dyDescent="0.25">
      <c r="A430" s="153" t="s">
        <v>2908</v>
      </c>
      <c r="B430" s="153" t="s">
        <v>641</v>
      </c>
      <c r="C430" s="75" t="s">
        <v>2530</v>
      </c>
      <c r="D430" s="153" t="s">
        <v>23</v>
      </c>
      <c r="E430" s="153" t="s">
        <v>3200</v>
      </c>
      <c r="F430" s="153" t="s">
        <v>2749</v>
      </c>
      <c r="G430" s="153" t="s">
        <v>41</v>
      </c>
      <c r="H430" s="153"/>
      <c r="I430" s="153"/>
      <c r="J430" s="164" t="s">
        <v>2910</v>
      </c>
      <c r="K430" s="167" t="s">
        <v>2913</v>
      </c>
      <c r="L430" s="76"/>
      <c r="M430" s="88" t="s">
        <v>113</v>
      </c>
      <c r="N430" s="88" t="s">
        <v>2916</v>
      </c>
      <c r="O430" s="77">
        <v>44266</v>
      </c>
      <c r="P430" s="153"/>
      <c r="Q430" s="49"/>
      <c r="R430" s="148"/>
      <c r="U430" s="152"/>
      <c r="V430" s="152"/>
      <c r="W430" s="152"/>
    </row>
    <row r="431" spans="1:23" ht="13.25" customHeight="1" x14ac:dyDescent="0.25">
      <c r="A431" s="31" t="s">
        <v>364</v>
      </c>
      <c r="B431" s="31" t="s">
        <v>642</v>
      </c>
      <c r="C431" s="31" t="s">
        <v>30</v>
      </c>
      <c r="D431" s="31" t="s">
        <v>13</v>
      </c>
      <c r="E431" s="31" t="s">
        <v>98</v>
      </c>
      <c r="G431" s="31" t="s">
        <v>111</v>
      </c>
      <c r="J431" s="31" t="s">
        <v>1001</v>
      </c>
      <c r="K431" s="31" t="s">
        <v>365</v>
      </c>
      <c r="M431" s="31" t="s">
        <v>101</v>
      </c>
      <c r="R431" s="48"/>
      <c r="S431" s="38"/>
      <c r="T431" s="38"/>
      <c r="U431" s="152"/>
      <c r="V431" s="152"/>
      <c r="W431" s="152"/>
    </row>
    <row r="432" spans="1:23" ht="13.25" customHeight="1" x14ac:dyDescent="0.25">
      <c r="A432" s="31" t="s">
        <v>366</v>
      </c>
      <c r="B432" s="31" t="s">
        <v>642</v>
      </c>
      <c r="C432" s="31" t="s">
        <v>22</v>
      </c>
      <c r="D432" s="31" t="s">
        <v>13</v>
      </c>
      <c r="E432" s="31" t="s">
        <v>619</v>
      </c>
      <c r="F432" s="31" t="s">
        <v>1793</v>
      </c>
      <c r="G432" s="31" t="s">
        <v>111</v>
      </c>
      <c r="J432" s="31" t="s">
        <v>1002</v>
      </c>
      <c r="K432" s="31" t="s">
        <v>367</v>
      </c>
      <c r="M432" s="31" t="s">
        <v>113</v>
      </c>
      <c r="P432" s="152" t="s">
        <v>2224</v>
      </c>
      <c r="Q432" s="32">
        <v>163400</v>
      </c>
      <c r="R432" s="48">
        <f>IFERROR(Q432/VLOOKUP(P432,'Exchange rates to USD'!$L$2:$N$225,3,FALSE),"")</f>
        <v>142.5505545058754</v>
      </c>
      <c r="S432" s="38"/>
      <c r="T432" s="38"/>
      <c r="U432" s="152"/>
      <c r="V432" s="152"/>
      <c r="W432" s="152"/>
    </row>
    <row r="433" spans="1:23" ht="13.25" customHeight="1" x14ac:dyDescent="0.25">
      <c r="A433" s="31" t="s">
        <v>368</v>
      </c>
      <c r="B433" s="31" t="s">
        <v>642</v>
      </c>
      <c r="C433" s="31" t="s">
        <v>30</v>
      </c>
      <c r="D433" s="31" t="s">
        <v>23</v>
      </c>
      <c r="E433" s="31" t="s">
        <v>98</v>
      </c>
      <c r="G433" s="31" t="s">
        <v>3173</v>
      </c>
      <c r="H433" s="31" t="s">
        <v>25</v>
      </c>
      <c r="I433" s="31" t="s">
        <v>111</v>
      </c>
      <c r="J433" s="31" t="s">
        <v>1003</v>
      </c>
      <c r="K433" s="31" t="s">
        <v>369</v>
      </c>
      <c r="M433" s="31" t="s">
        <v>101</v>
      </c>
      <c r="R433" s="48" t="str">
        <f>IFERROR(Q433/VLOOKUP(P433,'Exchange rates to USD'!$L$2:$N$225,3,FALSE),"")</f>
        <v/>
      </c>
      <c r="S433" s="38"/>
      <c r="T433" s="38"/>
      <c r="U433" s="152"/>
      <c r="V433" s="152"/>
      <c r="W433" s="152"/>
    </row>
    <row r="434" spans="1:23" ht="13.25" customHeight="1" x14ac:dyDescent="0.25">
      <c r="A434" s="31" t="s">
        <v>370</v>
      </c>
      <c r="B434" s="31" t="s">
        <v>642</v>
      </c>
      <c r="C434" s="31" t="s">
        <v>30</v>
      </c>
      <c r="D434" s="31" t="s">
        <v>39</v>
      </c>
      <c r="E434" s="31" t="s">
        <v>3200</v>
      </c>
      <c r="G434" s="31" t="s">
        <v>3173</v>
      </c>
      <c r="H434" s="31" t="s">
        <v>25</v>
      </c>
      <c r="I434" s="31" t="s">
        <v>111</v>
      </c>
      <c r="J434" s="31" t="s">
        <v>1004</v>
      </c>
      <c r="M434" s="31" t="s">
        <v>101</v>
      </c>
      <c r="R434" s="48" t="str">
        <f>IFERROR(Q434/VLOOKUP(P434,'Exchange rates to USD'!$L$2:$N$225,3,FALSE),"")</f>
        <v/>
      </c>
      <c r="S434" s="38"/>
      <c r="T434" s="38"/>
      <c r="U434" s="152"/>
      <c r="V434" s="152"/>
      <c r="W434" s="152"/>
    </row>
    <row r="435" spans="1:23" ht="19.25" customHeight="1" x14ac:dyDescent="0.25">
      <c r="A435" s="31" t="s">
        <v>371</v>
      </c>
      <c r="B435" s="31" t="s">
        <v>642</v>
      </c>
      <c r="C435" s="31" t="s">
        <v>30</v>
      </c>
      <c r="D435" s="31" t="s">
        <v>13</v>
      </c>
      <c r="E435" s="31" t="s">
        <v>3200</v>
      </c>
      <c r="G435" s="31" t="s">
        <v>670</v>
      </c>
      <c r="J435" s="31" t="s">
        <v>1005</v>
      </c>
      <c r="K435" s="31" t="s">
        <v>372</v>
      </c>
      <c r="M435" s="31" t="s">
        <v>101</v>
      </c>
      <c r="S435" s="38"/>
      <c r="T435" s="38"/>
      <c r="U435" s="152"/>
      <c r="V435" s="152"/>
      <c r="W435" s="152"/>
    </row>
    <row r="436" spans="1:23" ht="13.25" customHeight="1" x14ac:dyDescent="0.25">
      <c r="A436" s="31" t="s">
        <v>373</v>
      </c>
      <c r="B436" s="31" t="s">
        <v>642</v>
      </c>
      <c r="C436" s="31" t="s">
        <v>22</v>
      </c>
      <c r="D436" s="31" t="s">
        <v>13</v>
      </c>
      <c r="E436" s="31" t="s">
        <v>98</v>
      </c>
      <c r="F436" s="31" t="s">
        <v>374</v>
      </c>
      <c r="G436" s="31" t="s">
        <v>3173</v>
      </c>
      <c r="J436" s="31" t="s">
        <v>1006</v>
      </c>
      <c r="K436" s="31" t="s">
        <v>375</v>
      </c>
      <c r="M436" s="31" t="s">
        <v>737</v>
      </c>
      <c r="P436" s="31" t="s">
        <v>2224</v>
      </c>
      <c r="Q436" s="32">
        <v>11200</v>
      </c>
      <c r="R436" s="48">
        <f>IFERROR(Q436/VLOOKUP(P436,'Exchange rates to USD'!$L$2:$N$225,3,FALSE),"")</f>
        <v>9.7709070407943965</v>
      </c>
      <c r="U436" s="152"/>
      <c r="V436" s="152"/>
      <c r="W436" s="152"/>
    </row>
    <row r="437" spans="1:23" ht="13.25" customHeight="1" x14ac:dyDescent="0.25">
      <c r="A437" s="31" t="s">
        <v>376</v>
      </c>
      <c r="B437" s="31" t="s">
        <v>642</v>
      </c>
      <c r="C437" s="31" t="s">
        <v>2530</v>
      </c>
      <c r="D437" s="31" t="s">
        <v>23</v>
      </c>
      <c r="E437" s="31" t="s">
        <v>3200</v>
      </c>
      <c r="G437" s="31" t="s">
        <v>44</v>
      </c>
      <c r="J437" s="31" t="s">
        <v>1007</v>
      </c>
      <c r="K437" s="65" t="s">
        <v>1008</v>
      </c>
      <c r="M437" s="31" t="s">
        <v>871</v>
      </c>
      <c r="R437" s="48" t="str">
        <f>IFERROR(Q437/VLOOKUP(P437,'Exchange rates to USD'!$L$2:$N$225,3,FALSE),"")</f>
        <v/>
      </c>
      <c r="U437" s="152"/>
      <c r="V437" s="152"/>
      <c r="W437" s="152"/>
    </row>
    <row r="438" spans="1:23" ht="13.25" customHeight="1" x14ac:dyDescent="0.25">
      <c r="A438" s="31" t="s">
        <v>377</v>
      </c>
      <c r="B438" s="31" t="s">
        <v>642</v>
      </c>
      <c r="C438" s="31" t="s">
        <v>22</v>
      </c>
      <c r="D438" s="31" t="s">
        <v>2526</v>
      </c>
      <c r="E438" s="31" t="s">
        <v>14</v>
      </c>
      <c r="F438" s="31" t="s">
        <v>2527</v>
      </c>
      <c r="G438" s="31" t="s">
        <v>3173</v>
      </c>
      <c r="H438" s="31" t="s">
        <v>44</v>
      </c>
      <c r="J438" s="65" t="s">
        <v>3012</v>
      </c>
      <c r="K438" s="31" t="s">
        <v>1010</v>
      </c>
      <c r="M438" s="31" t="s">
        <v>113</v>
      </c>
      <c r="O438" s="42">
        <v>44203</v>
      </c>
      <c r="P438" s="31" t="s">
        <v>2224</v>
      </c>
      <c r="Q438" s="32">
        <v>35800000</v>
      </c>
      <c r="R438" s="48">
        <f>IFERROR(Q438/VLOOKUP(P438,'Exchange rates to USD'!$L$2:$N$225,3,FALSE),"")</f>
        <v>31232.006433967807</v>
      </c>
      <c r="U438" s="152"/>
      <c r="V438" s="152"/>
      <c r="W438" s="152"/>
    </row>
    <row r="439" spans="1:23" ht="13.25" customHeight="1" x14ac:dyDescent="0.25">
      <c r="A439" s="31" t="s">
        <v>2524</v>
      </c>
      <c r="B439" s="31" t="s">
        <v>642</v>
      </c>
      <c r="C439" s="31" t="s">
        <v>22</v>
      </c>
      <c r="E439" s="31" t="s">
        <v>3200</v>
      </c>
      <c r="F439" s="31" t="s">
        <v>2528</v>
      </c>
      <c r="G439" s="31" t="s">
        <v>3173</v>
      </c>
      <c r="J439" s="31" t="s">
        <v>1009</v>
      </c>
      <c r="M439" s="31" t="s">
        <v>113</v>
      </c>
      <c r="O439" s="42">
        <v>44203</v>
      </c>
      <c r="P439" s="31" t="s">
        <v>2224</v>
      </c>
      <c r="Q439" s="32">
        <v>30100000</v>
      </c>
      <c r="R439" s="48">
        <f>IFERROR(Q439/VLOOKUP(P439,'Exchange rates to USD'!$L$2:$N$225,3,FALSE),"")</f>
        <v>26259.312672134944</v>
      </c>
      <c r="U439" s="152"/>
      <c r="V439" s="152"/>
      <c r="W439" s="152"/>
    </row>
    <row r="440" spans="1:23" ht="13.25" customHeight="1" x14ac:dyDescent="0.25">
      <c r="A440" s="31" t="s">
        <v>2525</v>
      </c>
      <c r="B440" s="31" t="s">
        <v>642</v>
      </c>
      <c r="C440" s="31" t="s">
        <v>22</v>
      </c>
      <c r="E440" s="31" t="s">
        <v>98</v>
      </c>
      <c r="F440" s="31" t="s">
        <v>2529</v>
      </c>
      <c r="G440" s="31" t="s">
        <v>3173</v>
      </c>
      <c r="J440" s="31" t="s">
        <v>1009</v>
      </c>
      <c r="M440" s="31" t="s">
        <v>113</v>
      </c>
      <c r="O440" s="42">
        <v>44203</v>
      </c>
      <c r="P440" s="31" t="s">
        <v>2224</v>
      </c>
      <c r="Q440" s="32">
        <v>7600000</v>
      </c>
      <c r="R440" s="48">
        <f>IFERROR(Q440/VLOOKUP(P440,'Exchange rates to USD'!$L$2:$N$225,3,FALSE),"")</f>
        <v>6630.2583491104842</v>
      </c>
      <c r="U440" s="152"/>
      <c r="V440" s="152"/>
      <c r="W440" s="152"/>
    </row>
    <row r="441" spans="1:23" s="152" customFormat="1" ht="13.25" customHeight="1" x14ac:dyDescent="0.25">
      <c r="A441" s="152" t="s">
        <v>3015</v>
      </c>
      <c r="B441" s="152" t="s">
        <v>642</v>
      </c>
      <c r="C441" s="152" t="s">
        <v>22</v>
      </c>
      <c r="D441" s="152" t="s">
        <v>13</v>
      </c>
      <c r="E441" s="152" t="s">
        <v>98</v>
      </c>
      <c r="F441" s="152" t="s">
        <v>3016</v>
      </c>
      <c r="G441" s="152" t="s">
        <v>3173</v>
      </c>
      <c r="H441" s="152" t="s">
        <v>25</v>
      </c>
      <c r="J441" s="152" t="s">
        <v>3017</v>
      </c>
      <c r="K441" s="152" t="s">
        <v>3018</v>
      </c>
      <c r="M441" s="152" t="s">
        <v>101</v>
      </c>
      <c r="O441" s="42"/>
      <c r="P441" s="152" t="s">
        <v>2224</v>
      </c>
      <c r="Q441" s="32">
        <v>40000000</v>
      </c>
      <c r="R441" s="48">
        <f>IFERROR(Q441/VLOOKUP(P441,'Exchange rates to USD'!$L$2:$N$225,3,FALSE),"")</f>
        <v>34896.096574265706</v>
      </c>
    </row>
    <row r="442" spans="1:23" ht="13.25" customHeight="1" x14ac:dyDescent="0.25">
      <c r="A442" s="31" t="s">
        <v>1794</v>
      </c>
      <c r="B442" s="31" t="s">
        <v>642</v>
      </c>
      <c r="C442" s="31" t="s">
        <v>22</v>
      </c>
      <c r="D442" s="31" t="s">
        <v>13</v>
      </c>
      <c r="E442" s="31" t="s">
        <v>172</v>
      </c>
      <c r="F442" s="31" t="s">
        <v>3013</v>
      </c>
      <c r="G442" s="31" t="s">
        <v>3173</v>
      </c>
      <c r="J442" s="31" t="s">
        <v>1795</v>
      </c>
      <c r="K442" s="64" t="s">
        <v>1796</v>
      </c>
      <c r="M442" s="31" t="s">
        <v>101</v>
      </c>
      <c r="O442" s="42">
        <v>44149</v>
      </c>
      <c r="P442" s="38" t="s">
        <v>2224</v>
      </c>
      <c r="Q442" s="60">
        <v>2900000</v>
      </c>
      <c r="R442" s="48">
        <f>IFERROR(Q442/VLOOKUP(P442,'Exchange rates to USD'!$L$2:$N$225,3,FALSE),"")</f>
        <v>2529.9670016342634</v>
      </c>
      <c r="U442" s="152"/>
      <c r="V442" s="152"/>
      <c r="W442" s="152"/>
    </row>
    <row r="443" spans="1:23" ht="13.25" customHeight="1" x14ac:dyDescent="0.25">
      <c r="A443" s="34" t="s">
        <v>1797</v>
      </c>
      <c r="B443" s="34" t="s">
        <v>642</v>
      </c>
      <c r="C443" s="34" t="s">
        <v>22</v>
      </c>
      <c r="D443" s="34" t="s">
        <v>13</v>
      </c>
      <c r="E443" s="34" t="s">
        <v>98</v>
      </c>
      <c r="F443" s="34" t="s">
        <v>3014</v>
      </c>
      <c r="G443" s="34" t="s">
        <v>3173</v>
      </c>
      <c r="H443" s="34" t="s">
        <v>44</v>
      </c>
      <c r="I443" s="34"/>
      <c r="J443" s="34" t="s">
        <v>1798</v>
      </c>
      <c r="K443" s="34" t="s">
        <v>1799</v>
      </c>
      <c r="L443" s="34"/>
      <c r="M443" s="34" t="s">
        <v>101</v>
      </c>
      <c r="N443" s="34"/>
      <c r="O443" s="43">
        <v>44149</v>
      </c>
      <c r="P443" s="34" t="s">
        <v>2224</v>
      </c>
      <c r="Q443" s="49">
        <v>3000000</v>
      </c>
      <c r="R443" s="22">
        <f>IFERROR(Q443/VLOOKUP(P443,'Exchange rates to USD'!$L$2:$N$225,3,FALSE),"")</f>
        <v>2617.2072430699277</v>
      </c>
      <c r="U443" s="152"/>
      <c r="V443" s="152"/>
      <c r="W443" s="152"/>
    </row>
    <row r="444" spans="1:23" ht="13.25" customHeight="1" x14ac:dyDescent="0.25">
      <c r="A444" s="31" t="s">
        <v>361</v>
      </c>
      <c r="B444" s="31" t="s">
        <v>643</v>
      </c>
      <c r="C444" s="31" t="s">
        <v>22</v>
      </c>
      <c r="D444" s="31" t="s">
        <v>13</v>
      </c>
      <c r="E444" s="31" t="s">
        <v>36</v>
      </c>
      <c r="G444" s="31" t="s">
        <v>3173</v>
      </c>
      <c r="J444" s="31" t="s">
        <v>362</v>
      </c>
      <c r="K444" s="31" t="s">
        <v>363</v>
      </c>
      <c r="M444" s="31" t="s">
        <v>871</v>
      </c>
      <c r="O444" s="42">
        <v>44141</v>
      </c>
      <c r="R444" s="48" t="str">
        <f>IFERROR(Q444/VLOOKUP(P444,'Exchange rates to USD'!$L$2:$N$225,3,FALSE),"")</f>
        <v/>
      </c>
      <c r="U444" s="152"/>
      <c r="V444" s="152"/>
      <c r="W444" s="152"/>
    </row>
    <row r="445" spans="1:23" ht="13.25" customHeight="1" x14ac:dyDescent="0.25">
      <c r="A445" s="31" t="s">
        <v>1800</v>
      </c>
      <c r="B445" s="31" t="s">
        <v>643</v>
      </c>
      <c r="C445" s="31" t="s">
        <v>2531</v>
      </c>
      <c r="D445" s="31" t="s">
        <v>39</v>
      </c>
      <c r="E445" s="31" t="s">
        <v>3200</v>
      </c>
      <c r="G445" s="31" t="s">
        <v>3173</v>
      </c>
      <c r="H445" s="31" t="s">
        <v>44</v>
      </c>
      <c r="J445" s="31" t="s">
        <v>1801</v>
      </c>
      <c r="K445" s="31" t="s">
        <v>1802</v>
      </c>
      <c r="M445" s="31" t="s">
        <v>871</v>
      </c>
      <c r="O445" s="42">
        <v>44141</v>
      </c>
      <c r="R445" s="48" t="str">
        <f>IFERROR(Q445/VLOOKUP(P445,'Exchange rates to USD'!$L$2:$N$225,3,FALSE),"")</f>
        <v/>
      </c>
      <c r="U445" s="152"/>
      <c r="V445" s="152"/>
      <c r="W445" s="152"/>
    </row>
    <row r="446" spans="1:23" ht="13.25" customHeight="1" x14ac:dyDescent="0.25">
      <c r="A446" s="31" t="s">
        <v>1803</v>
      </c>
      <c r="B446" s="31" t="s">
        <v>643</v>
      </c>
      <c r="C446" s="31" t="s">
        <v>22</v>
      </c>
      <c r="D446" s="31" t="s">
        <v>39</v>
      </c>
      <c r="E446" s="31" t="s">
        <v>161</v>
      </c>
      <c r="F446" s="31" t="s">
        <v>1804</v>
      </c>
      <c r="G446" s="31" t="s">
        <v>3173</v>
      </c>
      <c r="J446" s="31" t="s">
        <v>1805</v>
      </c>
      <c r="K446" s="31" t="s">
        <v>1802</v>
      </c>
      <c r="M446" s="31" t="s">
        <v>113</v>
      </c>
      <c r="O446" s="42">
        <v>44141</v>
      </c>
      <c r="P446" s="31" t="s">
        <v>669</v>
      </c>
      <c r="Q446" s="32">
        <v>9.4</v>
      </c>
      <c r="R446" s="48">
        <f>IFERROR(Q446/VLOOKUP(P446,'Exchange rates to USD'!$L$2:$N$225,3,FALSE),"")</f>
        <v>10.36508804609737</v>
      </c>
      <c r="U446" s="152"/>
      <c r="V446" s="152"/>
      <c r="W446" s="152"/>
    </row>
    <row r="447" spans="1:23" s="153" customFormat="1" ht="13.25" customHeight="1" x14ac:dyDescent="0.25">
      <c r="A447" s="153" t="s">
        <v>1806</v>
      </c>
      <c r="B447" s="153" t="s">
        <v>643</v>
      </c>
      <c r="C447" s="153" t="s">
        <v>22</v>
      </c>
      <c r="D447" s="153" t="s">
        <v>23</v>
      </c>
      <c r="E447" s="153" t="s">
        <v>98</v>
      </c>
      <c r="F447" s="153" t="s">
        <v>921</v>
      </c>
      <c r="G447" s="153" t="s">
        <v>44</v>
      </c>
      <c r="J447" s="153" t="s">
        <v>1807</v>
      </c>
      <c r="K447" s="153" t="s">
        <v>1802</v>
      </c>
      <c r="M447" s="153" t="s">
        <v>737</v>
      </c>
      <c r="O447" s="43">
        <v>44149</v>
      </c>
      <c r="P447" s="153" t="s">
        <v>669</v>
      </c>
      <c r="Q447" s="49">
        <v>100</v>
      </c>
      <c r="R447" s="148">
        <f>IFERROR(Q447/VLOOKUP(P447,'Exchange rates to USD'!$L$2:$N$225,3,FALSE),"")</f>
        <v>110.26689410741884</v>
      </c>
    </row>
    <row r="448" spans="1:23" ht="13.25" customHeight="1" x14ac:dyDescent="0.25">
      <c r="A448" s="31" t="s">
        <v>346</v>
      </c>
      <c r="B448" s="31" t="s">
        <v>644</v>
      </c>
      <c r="C448" s="31" t="s">
        <v>22</v>
      </c>
      <c r="D448" s="31" t="s">
        <v>23</v>
      </c>
      <c r="E448" s="31" t="s">
        <v>3200</v>
      </c>
      <c r="F448" s="31" t="s">
        <v>347</v>
      </c>
      <c r="J448" s="31" t="s">
        <v>348</v>
      </c>
      <c r="K448" s="31" t="s">
        <v>349</v>
      </c>
      <c r="M448" s="31" t="s">
        <v>737</v>
      </c>
      <c r="P448" s="31" t="s">
        <v>669</v>
      </c>
      <c r="Q448" s="32">
        <v>1100</v>
      </c>
      <c r="R448" s="48">
        <f>IFERROR(Q448/VLOOKUP(P448,'Exchange rates to USD'!$L$2:$N$225,3,FALSE),"")</f>
        <v>1212.9358351816072</v>
      </c>
      <c r="U448" s="152"/>
      <c r="V448" s="152"/>
      <c r="W448" s="152"/>
    </row>
    <row r="449" spans="1:23" ht="13.25" customHeight="1" x14ac:dyDescent="0.25">
      <c r="A449" s="31" t="s">
        <v>350</v>
      </c>
      <c r="B449" s="31" t="s">
        <v>644</v>
      </c>
      <c r="C449" s="31" t="s">
        <v>22</v>
      </c>
      <c r="D449" s="31" t="s">
        <v>23</v>
      </c>
      <c r="E449" s="31" t="s">
        <v>3200</v>
      </c>
      <c r="F449" s="31" t="s">
        <v>351</v>
      </c>
      <c r="J449" s="31" t="s">
        <v>352</v>
      </c>
      <c r="K449" s="31" t="s">
        <v>349</v>
      </c>
      <c r="M449" s="31" t="s">
        <v>737</v>
      </c>
      <c r="P449" s="31" t="s">
        <v>669</v>
      </c>
      <c r="Q449" s="32">
        <v>1300</v>
      </c>
      <c r="R449" s="48">
        <f>IFERROR(Q449/VLOOKUP(P449,'Exchange rates to USD'!$L$2:$N$225,3,FALSE),"")</f>
        <v>1433.4696233964448</v>
      </c>
      <c r="U449" s="152"/>
      <c r="V449" s="152"/>
      <c r="W449" s="152"/>
    </row>
    <row r="450" spans="1:23" ht="13.25" customHeight="1" x14ac:dyDescent="0.25">
      <c r="A450" s="31" t="s">
        <v>353</v>
      </c>
      <c r="B450" s="31" t="s">
        <v>644</v>
      </c>
      <c r="C450" s="31" t="s">
        <v>22</v>
      </c>
      <c r="D450" s="31" t="s">
        <v>23</v>
      </c>
      <c r="E450" s="31" t="s">
        <v>3200</v>
      </c>
      <c r="F450" s="31" t="s">
        <v>354</v>
      </c>
      <c r="J450" s="31" t="s">
        <v>355</v>
      </c>
      <c r="K450" s="31" t="s">
        <v>349</v>
      </c>
      <c r="M450" s="31" t="s">
        <v>737</v>
      </c>
      <c r="P450" s="31" t="s">
        <v>669</v>
      </c>
      <c r="Q450" s="32">
        <v>1000</v>
      </c>
      <c r="R450" s="48">
        <f>IFERROR(Q450/VLOOKUP(P450,'Exchange rates to USD'!$L$2:$N$225,3,FALSE),"")</f>
        <v>1102.6689410741883</v>
      </c>
      <c r="U450" s="152"/>
      <c r="V450" s="152"/>
      <c r="W450" s="152"/>
    </row>
    <row r="451" spans="1:23" ht="13.25" customHeight="1" x14ac:dyDescent="0.25">
      <c r="A451" s="31" t="s">
        <v>356</v>
      </c>
      <c r="B451" s="31" t="s">
        <v>644</v>
      </c>
      <c r="C451" s="31" t="s">
        <v>2530</v>
      </c>
      <c r="D451" s="31" t="s">
        <v>23</v>
      </c>
      <c r="E451" s="31" t="s">
        <v>3200</v>
      </c>
      <c r="F451" s="31" t="s">
        <v>357</v>
      </c>
      <c r="G451" s="31" t="s">
        <v>3173</v>
      </c>
      <c r="H451" s="31" t="s">
        <v>44</v>
      </c>
      <c r="J451" s="31" t="s">
        <v>358</v>
      </c>
      <c r="K451" s="31" t="s">
        <v>349</v>
      </c>
      <c r="M451" s="31" t="s">
        <v>737</v>
      </c>
      <c r="P451" s="31" t="s">
        <v>669</v>
      </c>
      <c r="Q451" s="32">
        <v>6300</v>
      </c>
      <c r="R451" s="48">
        <f>IFERROR(Q451/VLOOKUP(P451,'Exchange rates to USD'!$L$2:$N$225,3,FALSE),"")</f>
        <v>6946.8143287673865</v>
      </c>
      <c r="U451" s="152"/>
      <c r="V451" s="152"/>
      <c r="W451" s="152"/>
    </row>
    <row r="452" spans="1:23" ht="13.25" customHeight="1" x14ac:dyDescent="0.25">
      <c r="A452" s="34" t="s">
        <v>359</v>
      </c>
      <c r="B452" s="34" t="s">
        <v>644</v>
      </c>
      <c r="C452" s="34" t="s">
        <v>30</v>
      </c>
      <c r="D452" s="34" t="s">
        <v>23</v>
      </c>
      <c r="E452" s="34" t="s">
        <v>3200</v>
      </c>
      <c r="F452" s="34"/>
      <c r="G452" s="34"/>
      <c r="H452" s="34"/>
      <c r="I452" s="34"/>
      <c r="J452" s="34" t="s">
        <v>360</v>
      </c>
      <c r="K452" s="34" t="s">
        <v>349</v>
      </c>
      <c r="L452" s="34"/>
      <c r="M452" s="34" t="s">
        <v>737</v>
      </c>
      <c r="N452" s="34"/>
      <c r="O452" s="43"/>
      <c r="P452" s="34" t="s">
        <v>669</v>
      </c>
      <c r="Q452" s="49"/>
      <c r="R452" s="22">
        <f>IFERROR(Q452/VLOOKUP(P452,'Exchange rates to USD'!$L$2:$N$225,3,FALSE),"")</f>
        <v>0</v>
      </c>
      <c r="U452" s="152"/>
      <c r="V452" s="152"/>
      <c r="W452" s="152"/>
    </row>
    <row r="453" spans="1:23" ht="13.25" customHeight="1" x14ac:dyDescent="0.25">
      <c r="A453" s="31" t="s">
        <v>1011</v>
      </c>
      <c r="B453" s="31" t="s">
        <v>645</v>
      </c>
      <c r="C453" s="31" t="s">
        <v>22</v>
      </c>
      <c r="D453" s="31" t="s">
        <v>23</v>
      </c>
      <c r="E453" s="31" t="s">
        <v>3200</v>
      </c>
      <c r="F453" s="31" t="s">
        <v>1012</v>
      </c>
      <c r="G453" s="31" t="s">
        <v>44</v>
      </c>
      <c r="J453" s="31" t="s">
        <v>1013</v>
      </c>
      <c r="K453" s="31" t="s">
        <v>1014</v>
      </c>
      <c r="L453" s="31" t="s">
        <v>1808</v>
      </c>
      <c r="M453" s="31" t="s">
        <v>113</v>
      </c>
      <c r="O453" s="42">
        <v>44141</v>
      </c>
      <c r="U453" s="152"/>
      <c r="V453" s="152"/>
      <c r="W453" s="152"/>
    </row>
    <row r="454" spans="1:23" ht="13.25" customHeight="1" x14ac:dyDescent="0.25">
      <c r="A454" s="31" t="s">
        <v>1015</v>
      </c>
      <c r="B454" s="31" t="s">
        <v>645</v>
      </c>
      <c r="C454" s="31" t="s">
        <v>22</v>
      </c>
      <c r="D454" s="31" t="s">
        <v>23</v>
      </c>
      <c r="E454" s="31" t="s">
        <v>3200</v>
      </c>
      <c r="F454" s="31" t="s">
        <v>1016</v>
      </c>
      <c r="G454" s="31" t="s">
        <v>44</v>
      </c>
      <c r="J454" s="31" t="s">
        <v>1017</v>
      </c>
      <c r="K454" s="31" t="s">
        <v>1018</v>
      </c>
      <c r="M454" s="31" t="s">
        <v>737</v>
      </c>
      <c r="O454" s="42">
        <v>44141</v>
      </c>
      <c r="U454" s="152"/>
      <c r="V454" s="152"/>
      <c r="W454" s="152"/>
    </row>
    <row r="455" spans="1:23" ht="13.25" customHeight="1" x14ac:dyDescent="0.25">
      <c r="A455" s="31" t="s">
        <v>1019</v>
      </c>
      <c r="B455" s="31" t="s">
        <v>645</v>
      </c>
      <c r="C455" s="31" t="s">
        <v>22</v>
      </c>
      <c r="D455" s="31" t="s">
        <v>23</v>
      </c>
      <c r="E455" s="31" t="s">
        <v>161</v>
      </c>
      <c r="F455" s="31" t="s">
        <v>1020</v>
      </c>
      <c r="G455" s="31" t="s">
        <v>3173</v>
      </c>
      <c r="J455" s="31" t="s">
        <v>1021</v>
      </c>
      <c r="K455" s="31" t="s">
        <v>1014</v>
      </c>
      <c r="M455" s="31" t="s">
        <v>113</v>
      </c>
      <c r="O455" s="42">
        <v>44141</v>
      </c>
      <c r="U455" s="152"/>
      <c r="V455" s="152"/>
      <c r="W455" s="152"/>
    </row>
    <row r="456" spans="1:23" ht="13.25" customHeight="1" x14ac:dyDescent="0.25">
      <c r="A456" s="31" t="s">
        <v>1022</v>
      </c>
      <c r="B456" s="31" t="s">
        <v>645</v>
      </c>
      <c r="C456" s="31" t="s">
        <v>22</v>
      </c>
      <c r="D456" s="31" t="s">
        <v>23</v>
      </c>
      <c r="E456" s="31" t="s">
        <v>161</v>
      </c>
      <c r="F456" s="31" t="s">
        <v>1023</v>
      </c>
      <c r="G456" s="31" t="s">
        <v>3173</v>
      </c>
      <c r="J456" s="31" t="s">
        <v>1024</v>
      </c>
      <c r="K456" s="31" t="s">
        <v>1014</v>
      </c>
      <c r="M456" s="31" t="s">
        <v>113</v>
      </c>
      <c r="O456" s="42">
        <v>44141</v>
      </c>
      <c r="U456" s="152"/>
      <c r="V456" s="152"/>
      <c r="W456" s="152"/>
    </row>
    <row r="457" spans="1:23" ht="13.25" customHeight="1" x14ac:dyDescent="0.25">
      <c r="A457" s="31" t="s">
        <v>1025</v>
      </c>
      <c r="B457" s="31" t="s">
        <v>645</v>
      </c>
      <c r="C457" s="31" t="s">
        <v>22</v>
      </c>
      <c r="D457" s="31" t="s">
        <v>872</v>
      </c>
      <c r="E457" s="31" t="s">
        <v>36</v>
      </c>
      <c r="F457" s="31" t="s">
        <v>1026</v>
      </c>
      <c r="G457" s="31" t="s">
        <v>3173</v>
      </c>
      <c r="J457" s="31" t="s">
        <v>1027</v>
      </c>
      <c r="K457" s="31" t="s">
        <v>1014</v>
      </c>
      <c r="M457" s="31" t="s">
        <v>113</v>
      </c>
      <c r="O457" s="42">
        <v>44141</v>
      </c>
      <c r="U457" s="152"/>
      <c r="V457" s="152"/>
      <c r="W457" s="152"/>
    </row>
    <row r="458" spans="1:23" ht="13.25" customHeight="1" x14ac:dyDescent="0.25">
      <c r="A458" s="31" t="s">
        <v>1028</v>
      </c>
      <c r="B458" s="31" t="s">
        <v>645</v>
      </c>
      <c r="C458" s="31" t="s">
        <v>22</v>
      </c>
      <c r="D458" s="31" t="s">
        <v>872</v>
      </c>
      <c r="E458" s="31" t="s">
        <v>36</v>
      </c>
      <c r="F458" s="31" t="s">
        <v>1029</v>
      </c>
      <c r="G458" s="31" t="s">
        <v>3173</v>
      </c>
      <c r="J458" s="31" t="s">
        <v>1030</v>
      </c>
      <c r="K458" s="31" t="s">
        <v>1014</v>
      </c>
      <c r="M458" s="31" t="s">
        <v>113</v>
      </c>
      <c r="O458" s="42">
        <v>44141</v>
      </c>
      <c r="U458" s="152"/>
      <c r="V458" s="152"/>
      <c r="W458" s="152"/>
    </row>
    <row r="459" spans="1:23" ht="13.25" customHeight="1" x14ac:dyDescent="0.25">
      <c r="A459" s="31" t="s">
        <v>1031</v>
      </c>
      <c r="B459" s="31" t="s">
        <v>645</v>
      </c>
      <c r="C459" s="31" t="s">
        <v>22</v>
      </c>
      <c r="D459" s="31" t="s">
        <v>872</v>
      </c>
      <c r="E459" s="31" t="s">
        <v>36</v>
      </c>
      <c r="F459" s="31" t="s">
        <v>1032</v>
      </c>
      <c r="G459" s="31" t="s">
        <v>3173</v>
      </c>
      <c r="J459" s="31" t="s">
        <v>1033</v>
      </c>
      <c r="K459" s="31" t="s">
        <v>1014</v>
      </c>
      <c r="M459" s="31" t="s">
        <v>113</v>
      </c>
      <c r="O459" s="42">
        <v>44141</v>
      </c>
      <c r="U459" s="152"/>
      <c r="V459" s="152"/>
      <c r="W459" s="152"/>
    </row>
    <row r="460" spans="1:23" ht="13.25" customHeight="1" x14ac:dyDescent="0.25">
      <c r="A460" s="31" t="s">
        <v>1034</v>
      </c>
      <c r="B460" s="31" t="s">
        <v>645</v>
      </c>
      <c r="C460" s="31" t="s">
        <v>22</v>
      </c>
      <c r="E460" s="31" t="s">
        <v>14</v>
      </c>
      <c r="F460" s="31" t="s">
        <v>1032</v>
      </c>
      <c r="G460" s="31" t="s">
        <v>3173</v>
      </c>
      <c r="J460" s="31" t="s">
        <v>1035</v>
      </c>
      <c r="K460" s="31" t="s">
        <v>1014</v>
      </c>
      <c r="M460" s="31" t="s">
        <v>113</v>
      </c>
      <c r="O460" s="42">
        <v>44141</v>
      </c>
      <c r="U460" s="152"/>
      <c r="V460" s="152"/>
      <c r="W460" s="152"/>
    </row>
    <row r="461" spans="1:23" ht="13.25" customHeight="1" x14ac:dyDescent="0.25">
      <c r="A461" s="31" t="s">
        <v>1036</v>
      </c>
      <c r="B461" s="31" t="s">
        <v>645</v>
      </c>
      <c r="C461" s="31" t="s">
        <v>22</v>
      </c>
      <c r="D461" s="31" t="s">
        <v>872</v>
      </c>
      <c r="E461" s="31" t="s">
        <v>14</v>
      </c>
      <c r="F461" s="31" t="s">
        <v>1032</v>
      </c>
      <c r="G461" s="31" t="s">
        <v>3173</v>
      </c>
      <c r="J461" s="31" t="s">
        <v>1037</v>
      </c>
      <c r="K461" s="31" t="s">
        <v>1014</v>
      </c>
      <c r="M461" s="31" t="s">
        <v>113</v>
      </c>
      <c r="N461" s="31" t="s">
        <v>1038</v>
      </c>
      <c r="O461" s="42">
        <v>44141</v>
      </c>
      <c r="U461" s="152"/>
      <c r="V461" s="152"/>
      <c r="W461" s="152"/>
    </row>
    <row r="462" spans="1:23" ht="13.25" customHeight="1" x14ac:dyDescent="0.25">
      <c r="A462" s="34" t="s">
        <v>1809</v>
      </c>
      <c r="B462" s="34" t="s">
        <v>645</v>
      </c>
      <c r="C462" s="31" t="s">
        <v>2531</v>
      </c>
      <c r="D462" s="34" t="s">
        <v>23</v>
      </c>
      <c r="E462" s="34" t="s">
        <v>14</v>
      </c>
      <c r="F462" s="34" t="s">
        <v>1810</v>
      </c>
      <c r="G462" s="34" t="s">
        <v>3173</v>
      </c>
      <c r="H462" s="34"/>
      <c r="I462" s="34"/>
      <c r="J462" s="34" t="s">
        <v>1811</v>
      </c>
      <c r="K462" s="34" t="s">
        <v>1812</v>
      </c>
      <c r="L462" s="34"/>
      <c r="M462" s="34" t="s">
        <v>113</v>
      </c>
      <c r="N462" s="34" t="s">
        <v>1813</v>
      </c>
      <c r="O462" s="43">
        <v>44141</v>
      </c>
      <c r="P462" s="34"/>
      <c r="Q462" s="49"/>
      <c r="R462" s="49"/>
      <c r="U462" s="152"/>
      <c r="V462" s="152"/>
      <c r="W462" s="152"/>
    </row>
    <row r="463" spans="1:23" ht="13.25" customHeight="1" x14ac:dyDescent="0.25">
      <c r="A463" s="31" t="s">
        <v>336</v>
      </c>
      <c r="B463" s="31" t="s">
        <v>646</v>
      </c>
      <c r="C463" s="31" t="s">
        <v>2531</v>
      </c>
      <c r="D463" s="31" t="s">
        <v>13</v>
      </c>
      <c r="E463" s="31" t="s">
        <v>14</v>
      </c>
      <c r="F463" s="31" t="s">
        <v>338</v>
      </c>
      <c r="G463" s="31" t="s">
        <v>3173</v>
      </c>
      <c r="H463" s="31" t="s">
        <v>25</v>
      </c>
      <c r="J463" s="31" t="s">
        <v>339</v>
      </c>
      <c r="K463" s="31" t="s">
        <v>1814</v>
      </c>
      <c r="M463" s="31" t="s">
        <v>101</v>
      </c>
      <c r="O463" s="42">
        <v>44144</v>
      </c>
      <c r="P463" s="31" t="s">
        <v>1270</v>
      </c>
      <c r="Q463" s="32">
        <v>2.88</v>
      </c>
      <c r="R463" s="48">
        <f>IFERROR(Q463/VLOOKUP(P463,'Exchange rates to USD'!$L$2:$N$225,3,FALSE),"")</f>
        <v>2.88</v>
      </c>
      <c r="U463" s="152"/>
      <c r="V463" s="152"/>
      <c r="W463" s="152"/>
    </row>
    <row r="464" spans="1:23" ht="13.25" customHeight="1" x14ac:dyDescent="0.25">
      <c r="A464" s="31" t="s">
        <v>337</v>
      </c>
      <c r="B464" s="31" t="s">
        <v>646</v>
      </c>
      <c r="C464" s="31" t="s">
        <v>2530</v>
      </c>
      <c r="D464" s="31" t="s">
        <v>39</v>
      </c>
      <c r="E464" s="31" t="s">
        <v>3200</v>
      </c>
      <c r="F464" s="31" t="s">
        <v>341</v>
      </c>
      <c r="G464" s="31" t="s">
        <v>670</v>
      </c>
      <c r="J464" s="31" t="s">
        <v>342</v>
      </c>
      <c r="K464" s="31" t="s">
        <v>1815</v>
      </c>
      <c r="M464" s="31" t="s">
        <v>871</v>
      </c>
      <c r="O464" s="42">
        <v>44144</v>
      </c>
      <c r="P464" s="31" t="s">
        <v>1270</v>
      </c>
      <c r="Q464" s="32">
        <v>1100</v>
      </c>
      <c r="R464" s="48">
        <f>IFERROR(Q464/VLOOKUP(P464,'Exchange rates to USD'!$L$2:$N$225,3,FALSE),"")</f>
        <v>1100</v>
      </c>
      <c r="U464" s="152"/>
      <c r="V464" s="152"/>
      <c r="W464" s="152"/>
    </row>
    <row r="465" spans="1:23" ht="13.25" customHeight="1" x14ac:dyDescent="0.25">
      <c r="A465" s="31" t="s">
        <v>340</v>
      </c>
      <c r="B465" s="31" t="s">
        <v>646</v>
      </c>
      <c r="C465" s="31" t="s">
        <v>2530</v>
      </c>
      <c r="D465" s="31" t="s">
        <v>13</v>
      </c>
      <c r="E465" s="31" t="s">
        <v>14</v>
      </c>
      <c r="F465" s="31" t="s">
        <v>1816</v>
      </c>
      <c r="G465" s="31" t="s">
        <v>3173</v>
      </c>
      <c r="H465" s="31" t="s">
        <v>25</v>
      </c>
      <c r="J465" s="31" t="s">
        <v>1817</v>
      </c>
      <c r="K465" s="31" t="s">
        <v>1818</v>
      </c>
      <c r="M465" s="31" t="s">
        <v>101</v>
      </c>
      <c r="O465" s="42">
        <v>44144</v>
      </c>
      <c r="P465" s="31" t="s">
        <v>1270</v>
      </c>
      <c r="Q465" s="32">
        <v>7940</v>
      </c>
      <c r="R465" s="48">
        <f>IFERROR(Q465/VLOOKUP(P465,'Exchange rates to USD'!$L$2:$N$225,3,FALSE),"")</f>
        <v>7940</v>
      </c>
      <c r="U465" s="152"/>
      <c r="V465" s="152"/>
      <c r="W465" s="152"/>
    </row>
    <row r="466" spans="1:23" ht="13.25" customHeight="1" x14ac:dyDescent="0.25">
      <c r="A466" s="31" t="s">
        <v>343</v>
      </c>
      <c r="B466" s="31" t="s">
        <v>646</v>
      </c>
      <c r="C466" s="31" t="s">
        <v>2530</v>
      </c>
      <c r="D466" s="31" t="s">
        <v>13</v>
      </c>
      <c r="E466" s="31" t="s">
        <v>36</v>
      </c>
      <c r="F466" s="31" t="s">
        <v>1819</v>
      </c>
      <c r="G466" s="31" t="s">
        <v>3173</v>
      </c>
      <c r="H466" s="31" t="s">
        <v>25</v>
      </c>
      <c r="I466" s="31" t="s">
        <v>41</v>
      </c>
      <c r="J466" s="31" t="s">
        <v>1820</v>
      </c>
      <c r="K466" s="31" t="s">
        <v>1821</v>
      </c>
      <c r="M466" s="31" t="s">
        <v>871</v>
      </c>
      <c r="O466" s="42">
        <v>44144</v>
      </c>
      <c r="P466" s="31" t="s">
        <v>1270</v>
      </c>
      <c r="Q466" s="32">
        <v>2200</v>
      </c>
      <c r="R466" s="48">
        <f>IFERROR(Q466/VLOOKUP(P466,'Exchange rates to USD'!$L$2:$N$225,3,FALSE),"")</f>
        <v>2200</v>
      </c>
      <c r="U466" s="152"/>
      <c r="V466" s="152"/>
      <c r="W466" s="152"/>
    </row>
    <row r="467" spans="1:23" ht="13.25" customHeight="1" x14ac:dyDescent="0.25">
      <c r="A467" s="31" t="s">
        <v>345</v>
      </c>
      <c r="B467" s="31" t="s">
        <v>646</v>
      </c>
      <c r="C467" s="31" t="s">
        <v>2530</v>
      </c>
      <c r="D467" s="31" t="s">
        <v>13</v>
      </c>
      <c r="E467" s="31" t="s">
        <v>36</v>
      </c>
      <c r="F467" s="31" t="s">
        <v>1822</v>
      </c>
      <c r="G467" s="31" t="s">
        <v>3173</v>
      </c>
      <c r="H467" s="31" t="s">
        <v>25</v>
      </c>
      <c r="J467" s="31" t="s">
        <v>1823</v>
      </c>
      <c r="K467" s="31" t="s">
        <v>1824</v>
      </c>
      <c r="M467" s="31" t="s">
        <v>113</v>
      </c>
      <c r="O467" s="42">
        <v>44144</v>
      </c>
      <c r="R467" s="48" t="str">
        <f>IFERROR(Q467/VLOOKUP(P467,'Exchange rates to USD'!$L$2:$N$225,3,FALSE),"")</f>
        <v/>
      </c>
      <c r="U467" s="152"/>
      <c r="V467" s="152"/>
      <c r="W467" s="152"/>
    </row>
    <row r="468" spans="1:23" ht="13.25" customHeight="1" x14ac:dyDescent="0.25">
      <c r="A468" s="31" t="s">
        <v>1825</v>
      </c>
      <c r="B468" s="31" t="s">
        <v>646</v>
      </c>
      <c r="C468" s="31" t="s">
        <v>2530</v>
      </c>
      <c r="D468" s="31" t="s">
        <v>39</v>
      </c>
      <c r="E468" s="31" t="s">
        <v>36</v>
      </c>
      <c r="G468" s="31" t="s">
        <v>25</v>
      </c>
      <c r="H468" s="31" t="s">
        <v>3173</v>
      </c>
      <c r="J468" s="31" t="s">
        <v>1826</v>
      </c>
      <c r="K468" s="31" t="s">
        <v>1827</v>
      </c>
      <c r="M468" s="31" t="s">
        <v>113</v>
      </c>
      <c r="O468" s="42">
        <v>44149</v>
      </c>
      <c r="R468" s="48" t="str">
        <f>IFERROR(Q468/VLOOKUP(P468,'Exchange rates to USD'!$L$2:$N$225,3,FALSE),"")</f>
        <v/>
      </c>
      <c r="U468" s="152"/>
      <c r="V468" s="152"/>
      <c r="W468" s="152"/>
    </row>
    <row r="469" spans="1:23" ht="13.25" customHeight="1" x14ac:dyDescent="0.25">
      <c r="A469" s="31" t="s">
        <v>1828</v>
      </c>
      <c r="B469" s="31" t="s">
        <v>646</v>
      </c>
      <c r="C469" s="31" t="s">
        <v>2530</v>
      </c>
      <c r="D469" s="31" t="s">
        <v>23</v>
      </c>
      <c r="E469" s="31" t="s">
        <v>3200</v>
      </c>
      <c r="F469" s="31" t="s">
        <v>1829</v>
      </c>
      <c r="G469" s="31" t="s">
        <v>44</v>
      </c>
      <c r="J469" s="31" t="s">
        <v>1830</v>
      </c>
      <c r="K469" s="31" t="s">
        <v>1831</v>
      </c>
      <c r="M469" s="31" t="s">
        <v>113</v>
      </c>
      <c r="O469" s="42">
        <v>44149</v>
      </c>
      <c r="P469" s="31" t="s">
        <v>669</v>
      </c>
      <c r="Q469" s="32">
        <v>750</v>
      </c>
      <c r="R469" s="48">
        <f>IFERROR(Q469/VLOOKUP(P469,'Exchange rates to USD'!$L$2:$N$225,3,FALSE),"")</f>
        <v>827.00170580564122</v>
      </c>
      <c r="U469" s="152"/>
      <c r="V469" s="152"/>
      <c r="W469" s="152"/>
    </row>
    <row r="470" spans="1:23" ht="13.25" customHeight="1" x14ac:dyDescent="0.25">
      <c r="A470" s="34" t="s">
        <v>1832</v>
      </c>
      <c r="B470" s="34" t="s">
        <v>646</v>
      </c>
      <c r="C470" s="34" t="s">
        <v>22</v>
      </c>
      <c r="D470" s="34" t="s">
        <v>13</v>
      </c>
      <c r="E470" s="34" t="s">
        <v>161</v>
      </c>
      <c r="F470" s="34" t="s">
        <v>344</v>
      </c>
      <c r="G470" s="34" t="s">
        <v>3173</v>
      </c>
      <c r="H470" s="34"/>
      <c r="I470" s="34"/>
      <c r="J470" s="34" t="s">
        <v>2754</v>
      </c>
      <c r="K470" s="34" t="s">
        <v>1815</v>
      </c>
      <c r="L470" s="34"/>
      <c r="M470" s="34" t="s">
        <v>737</v>
      </c>
      <c r="N470" s="34"/>
      <c r="O470" s="43">
        <v>44144</v>
      </c>
      <c r="P470" s="34" t="s">
        <v>1270</v>
      </c>
      <c r="Q470" s="49">
        <v>7.8</v>
      </c>
      <c r="R470" s="22">
        <f>IFERROR(Q470/VLOOKUP(P470,'Exchange rates to USD'!$L$2:$N$225,3,FALSE),"")</f>
        <v>7.8</v>
      </c>
      <c r="U470" s="152"/>
      <c r="V470" s="152"/>
      <c r="W470" s="152"/>
    </row>
    <row r="471" spans="1:23" ht="13.25" customHeight="1" x14ac:dyDescent="0.25">
      <c r="A471" s="31" t="s">
        <v>333</v>
      </c>
      <c r="B471" s="31" t="s">
        <v>647</v>
      </c>
      <c r="C471" s="31" t="s">
        <v>22</v>
      </c>
      <c r="D471" s="31" t="s">
        <v>13</v>
      </c>
      <c r="E471" s="31" t="s">
        <v>172</v>
      </c>
      <c r="F471" s="31" t="s">
        <v>952</v>
      </c>
      <c r="G471" s="31" t="s">
        <v>3173</v>
      </c>
      <c r="J471" s="31" t="s">
        <v>1833</v>
      </c>
      <c r="K471" s="31" t="s">
        <v>1834</v>
      </c>
      <c r="M471" s="31" t="s">
        <v>101</v>
      </c>
      <c r="O471" s="42">
        <v>44155</v>
      </c>
      <c r="P471" s="31" t="s">
        <v>669</v>
      </c>
      <c r="Q471" s="32">
        <v>3400</v>
      </c>
      <c r="R471" s="48">
        <f>IFERROR(Q471/VLOOKUP(P471,'Exchange rates to USD'!$L$2:$N$225,3,FALSE),"")</f>
        <v>3749.0743996522401</v>
      </c>
      <c r="U471" s="152"/>
      <c r="V471" s="152"/>
      <c r="W471" s="152"/>
    </row>
    <row r="472" spans="1:23" ht="13.25" customHeight="1" x14ac:dyDescent="0.25">
      <c r="A472" s="31" t="s">
        <v>334</v>
      </c>
      <c r="B472" s="31" t="s">
        <v>647</v>
      </c>
      <c r="C472" s="31" t="s">
        <v>30</v>
      </c>
      <c r="D472" s="31" t="s">
        <v>13</v>
      </c>
      <c r="E472" s="31" t="s">
        <v>14</v>
      </c>
      <c r="G472" s="31" t="s">
        <v>3173</v>
      </c>
      <c r="H472" s="31" t="s">
        <v>25</v>
      </c>
      <c r="I472" s="31" t="s">
        <v>44</v>
      </c>
      <c r="J472" s="31" t="s">
        <v>2545</v>
      </c>
      <c r="K472" s="31" t="s">
        <v>335</v>
      </c>
      <c r="M472" s="31" t="s">
        <v>113</v>
      </c>
      <c r="P472" s="31" t="s">
        <v>669</v>
      </c>
      <c r="R472" s="48">
        <f>IFERROR(Q472/VLOOKUP(P472,'Exchange rates to USD'!$L$2:$N$225,3,FALSE),"")</f>
        <v>0</v>
      </c>
      <c r="U472" s="152"/>
      <c r="V472" s="152"/>
      <c r="W472" s="152"/>
    </row>
    <row r="473" spans="1:23" ht="13.25" customHeight="1" x14ac:dyDescent="0.25">
      <c r="A473" s="31" t="s">
        <v>1835</v>
      </c>
      <c r="B473" s="31" t="s">
        <v>647</v>
      </c>
      <c r="C473" s="31" t="s">
        <v>22</v>
      </c>
      <c r="D473" s="31" t="s">
        <v>13</v>
      </c>
      <c r="E473" s="31" t="s">
        <v>36</v>
      </c>
      <c r="F473" s="31" t="s">
        <v>1836</v>
      </c>
      <c r="G473" s="31" t="s">
        <v>3173</v>
      </c>
      <c r="H473" s="31" t="s">
        <v>25</v>
      </c>
      <c r="J473" s="31" t="s">
        <v>1837</v>
      </c>
      <c r="K473" s="31" t="s">
        <v>1838</v>
      </c>
      <c r="M473" s="31" t="s">
        <v>113</v>
      </c>
      <c r="P473" s="31" t="s">
        <v>669</v>
      </c>
      <c r="Q473" s="32">
        <v>1650</v>
      </c>
      <c r="R473" s="48">
        <f>IFERROR(Q473/VLOOKUP(P473,'Exchange rates to USD'!$L$2:$N$225,3,FALSE),"")</f>
        <v>1819.4037527724106</v>
      </c>
      <c r="U473" s="152"/>
      <c r="V473" s="152"/>
      <c r="W473" s="152"/>
    </row>
    <row r="474" spans="1:23" ht="13.25" customHeight="1" x14ac:dyDescent="0.25">
      <c r="A474" s="31" t="s">
        <v>1839</v>
      </c>
      <c r="B474" s="31" t="s">
        <v>647</v>
      </c>
      <c r="C474" s="31" t="s">
        <v>2531</v>
      </c>
      <c r="D474" s="31" t="s">
        <v>13</v>
      </c>
      <c r="E474" s="31" t="s">
        <v>36</v>
      </c>
      <c r="G474" s="31" t="s">
        <v>25</v>
      </c>
      <c r="H474" s="31" t="s">
        <v>3173</v>
      </c>
      <c r="J474" s="31" t="s">
        <v>1840</v>
      </c>
      <c r="K474" s="31" t="s">
        <v>1841</v>
      </c>
      <c r="M474" s="31" t="s">
        <v>101</v>
      </c>
      <c r="O474" s="42">
        <v>44149</v>
      </c>
      <c r="R474" s="48" t="str">
        <f>IFERROR(Q474/VLOOKUP(P474,'Exchange rates to USD'!$L$2:$N$225,3,FALSE),"")</f>
        <v/>
      </c>
      <c r="U474" s="152"/>
      <c r="V474" s="152"/>
      <c r="W474" s="152"/>
    </row>
    <row r="475" spans="1:23" ht="13.25" customHeight="1" x14ac:dyDescent="0.25">
      <c r="A475" s="31" t="s">
        <v>1842</v>
      </c>
      <c r="B475" s="31" t="s">
        <v>647</v>
      </c>
      <c r="C475" s="31" t="s">
        <v>2531</v>
      </c>
      <c r="D475" s="31" t="s">
        <v>13</v>
      </c>
      <c r="E475" s="31" t="s">
        <v>14</v>
      </c>
      <c r="G475" s="31" t="s">
        <v>3173</v>
      </c>
      <c r="J475" s="31" t="s">
        <v>1843</v>
      </c>
      <c r="K475" s="31" t="s">
        <v>1841</v>
      </c>
      <c r="M475" s="31" t="s">
        <v>101</v>
      </c>
      <c r="O475" s="42">
        <v>44149</v>
      </c>
      <c r="R475" s="48" t="str">
        <f>IFERROR(Q475/VLOOKUP(P475,'Exchange rates to USD'!$L$2:$N$225,3,FALSE),"")</f>
        <v/>
      </c>
      <c r="U475" s="152"/>
      <c r="V475" s="152"/>
      <c r="W475" s="152"/>
    </row>
    <row r="476" spans="1:23" ht="13.25" customHeight="1" x14ac:dyDescent="0.25">
      <c r="A476" s="31" t="s">
        <v>1844</v>
      </c>
      <c r="B476" s="31" t="s">
        <v>647</v>
      </c>
      <c r="C476" s="31" t="s">
        <v>2531</v>
      </c>
      <c r="D476" s="31" t="s">
        <v>13</v>
      </c>
      <c r="E476" s="31" t="s">
        <v>14</v>
      </c>
      <c r="G476" s="31" t="s">
        <v>3173</v>
      </c>
      <c r="J476" s="31" t="s">
        <v>1845</v>
      </c>
      <c r="K476" s="31" t="s">
        <v>1846</v>
      </c>
      <c r="M476" s="31" t="s">
        <v>101</v>
      </c>
      <c r="O476" s="42">
        <v>44149</v>
      </c>
      <c r="R476" s="48" t="str">
        <f>IFERROR(Q476/VLOOKUP(P476,'Exchange rates to USD'!$L$2:$N$225,3,FALSE),"")</f>
        <v/>
      </c>
      <c r="U476" s="152"/>
      <c r="V476" s="152"/>
      <c r="W476" s="152"/>
    </row>
    <row r="477" spans="1:23" ht="13.25" customHeight="1" x14ac:dyDescent="0.25">
      <c r="A477" s="38" t="s">
        <v>1847</v>
      </c>
      <c r="B477" s="38" t="s">
        <v>647</v>
      </c>
      <c r="C477" s="38" t="s">
        <v>2531</v>
      </c>
      <c r="D477" s="38" t="s">
        <v>13</v>
      </c>
      <c r="E477" s="38" t="s">
        <v>14</v>
      </c>
      <c r="F477" s="38"/>
      <c r="G477" s="38" t="s">
        <v>3173</v>
      </c>
      <c r="H477" s="38"/>
      <c r="I477" s="38"/>
      <c r="J477" s="38" t="s">
        <v>1848</v>
      </c>
      <c r="K477" s="38" t="s">
        <v>1849</v>
      </c>
      <c r="L477" s="38"/>
      <c r="M477" s="38" t="s">
        <v>101</v>
      </c>
      <c r="N477" s="38"/>
      <c r="O477" s="45">
        <v>44149</v>
      </c>
      <c r="P477" s="38"/>
      <c r="Q477" s="60"/>
      <c r="R477" s="48" t="str">
        <f>IFERROR(Q477/VLOOKUP(P477,'Exchange rates to USD'!$L$2:$N$225,3,FALSE),"")</f>
        <v/>
      </c>
      <c r="U477" s="152"/>
      <c r="V477" s="152"/>
      <c r="W477" s="152"/>
    </row>
    <row r="478" spans="1:23" ht="13.25" customHeight="1" x14ac:dyDescent="0.25">
      <c r="A478" s="38" t="s">
        <v>2546</v>
      </c>
      <c r="B478" s="38" t="s">
        <v>647</v>
      </c>
      <c r="C478" s="31" t="s">
        <v>22</v>
      </c>
      <c r="D478" s="38" t="s">
        <v>13</v>
      </c>
      <c r="E478" s="38" t="s">
        <v>14</v>
      </c>
      <c r="F478" s="38" t="s">
        <v>2548</v>
      </c>
      <c r="G478" s="38" t="s">
        <v>3173</v>
      </c>
      <c r="H478" s="38" t="s">
        <v>869</v>
      </c>
      <c r="I478" s="38"/>
      <c r="J478" s="38" t="s">
        <v>2552</v>
      </c>
      <c r="K478" s="38" t="s">
        <v>2549</v>
      </c>
      <c r="L478" s="38"/>
      <c r="M478" s="38" t="s">
        <v>113</v>
      </c>
      <c r="N478" s="38"/>
      <c r="O478" s="45">
        <v>44214</v>
      </c>
      <c r="P478" s="38" t="s">
        <v>669</v>
      </c>
      <c r="Q478" s="60">
        <v>2330</v>
      </c>
      <c r="R478" s="48">
        <f>IFERROR(Q478/VLOOKUP(P478,'Exchange rates to USD'!$L$2:$N$225,3,FALSE),"")</f>
        <v>2569.2186327028585</v>
      </c>
      <c r="U478" s="152"/>
      <c r="V478" s="152"/>
      <c r="W478" s="152"/>
    </row>
    <row r="479" spans="1:23" ht="13.25" customHeight="1" x14ac:dyDescent="0.25">
      <c r="A479" s="34" t="s">
        <v>2547</v>
      </c>
      <c r="B479" s="34" t="s">
        <v>647</v>
      </c>
      <c r="C479" s="34" t="s">
        <v>22</v>
      </c>
      <c r="D479" s="34" t="s">
        <v>13</v>
      </c>
      <c r="E479" s="34" t="s">
        <v>88</v>
      </c>
      <c r="F479" s="34" t="s">
        <v>2550</v>
      </c>
      <c r="G479" s="34" t="s">
        <v>3173</v>
      </c>
      <c r="H479" s="34" t="s">
        <v>41</v>
      </c>
      <c r="I479" s="34"/>
      <c r="J479" s="34" t="s">
        <v>2551</v>
      </c>
      <c r="K479" s="34" t="s">
        <v>2549</v>
      </c>
      <c r="L479" s="34"/>
      <c r="M479" s="34" t="s">
        <v>113</v>
      </c>
      <c r="N479" s="34"/>
      <c r="O479" s="43">
        <v>44214</v>
      </c>
      <c r="P479" s="34" t="s">
        <v>669</v>
      </c>
      <c r="Q479" s="49">
        <v>360</v>
      </c>
      <c r="R479" s="22">
        <f>IFERROR(Q479/VLOOKUP(P479,'Exchange rates to USD'!$L$2:$N$225,3,FALSE),"")</f>
        <v>396.96081878670776</v>
      </c>
      <c r="U479" s="152"/>
      <c r="V479" s="152"/>
      <c r="W479" s="152"/>
    </row>
    <row r="480" spans="1:23" ht="13.25" customHeight="1" x14ac:dyDescent="0.25">
      <c r="A480" s="31" t="s">
        <v>293</v>
      </c>
      <c r="B480" s="31" t="s">
        <v>648</v>
      </c>
      <c r="C480" s="31" t="s">
        <v>2530</v>
      </c>
      <c r="D480" s="31" t="s">
        <v>39</v>
      </c>
      <c r="E480" s="31" t="s">
        <v>88</v>
      </c>
      <c r="F480" s="31" t="s">
        <v>294</v>
      </c>
      <c r="G480" s="31" t="s">
        <v>41</v>
      </c>
      <c r="J480" s="31" t="s">
        <v>295</v>
      </c>
      <c r="K480" s="31" t="s">
        <v>296</v>
      </c>
      <c r="M480" s="31" t="s">
        <v>113</v>
      </c>
      <c r="P480" s="31" t="s">
        <v>2223</v>
      </c>
      <c r="Q480" s="32">
        <v>27.5</v>
      </c>
      <c r="R480" s="48">
        <f>IFERROR(Q480/VLOOKUP(P480,'Exchange rates to USD'!$L$2:$N$225,3,FALSE),"")</f>
        <v>18.496439170352872</v>
      </c>
      <c r="U480" s="152"/>
      <c r="V480" s="152"/>
      <c r="W480" s="152"/>
    </row>
    <row r="481" spans="1:23" ht="13.25" customHeight="1" x14ac:dyDescent="0.25">
      <c r="A481" s="31" t="s">
        <v>297</v>
      </c>
      <c r="B481" s="31" t="s">
        <v>648</v>
      </c>
      <c r="C481" s="31" t="s">
        <v>2530</v>
      </c>
      <c r="D481" s="31" t="s">
        <v>39</v>
      </c>
      <c r="E481" s="31" t="s">
        <v>191</v>
      </c>
      <c r="F481" s="31" t="s">
        <v>298</v>
      </c>
      <c r="G481" s="31" t="s">
        <v>41</v>
      </c>
      <c r="J481" s="31" t="s">
        <v>299</v>
      </c>
      <c r="K481" s="31" t="s">
        <v>296</v>
      </c>
      <c r="M481" s="31" t="s">
        <v>113</v>
      </c>
      <c r="P481" s="31" t="s">
        <v>2223</v>
      </c>
      <c r="Q481" s="32">
        <v>100</v>
      </c>
      <c r="R481" s="48">
        <f>IFERROR(Q481/VLOOKUP(P481,'Exchange rates to USD'!$L$2:$N$225,3,FALSE),"")</f>
        <v>67.259778801283161</v>
      </c>
      <c r="U481" s="152"/>
      <c r="V481" s="152"/>
      <c r="W481" s="152"/>
    </row>
    <row r="482" spans="1:23" ht="13.25" customHeight="1" x14ac:dyDescent="0.25">
      <c r="A482" s="31" t="s">
        <v>300</v>
      </c>
      <c r="B482" s="31" t="s">
        <v>648</v>
      </c>
      <c r="C482" s="31" t="s">
        <v>22</v>
      </c>
      <c r="D482" s="31" t="s">
        <v>13</v>
      </c>
      <c r="E482" s="31" t="s">
        <v>88</v>
      </c>
      <c r="F482" s="31" t="s">
        <v>301</v>
      </c>
      <c r="G482" s="31" t="s">
        <v>111</v>
      </c>
      <c r="H482" s="31" t="s">
        <v>41</v>
      </c>
      <c r="I482" s="31" t="s">
        <v>3173</v>
      </c>
      <c r="J482" s="31" t="s">
        <v>302</v>
      </c>
      <c r="K482" s="31" t="s">
        <v>296</v>
      </c>
      <c r="M482" s="31" t="s">
        <v>113</v>
      </c>
      <c r="P482" s="31" t="s">
        <v>2223</v>
      </c>
      <c r="Q482" s="32">
        <v>10.55</v>
      </c>
      <c r="R482" s="48">
        <f>IFERROR(Q482/VLOOKUP(P482,'Exchange rates to USD'!$L$2:$N$225,3,FALSE),"")</f>
        <v>7.0959066635353745</v>
      </c>
      <c r="U482" s="152"/>
      <c r="V482" s="152"/>
      <c r="W482" s="152"/>
    </row>
    <row r="483" spans="1:23" ht="13.25" customHeight="1" x14ac:dyDescent="0.25">
      <c r="A483" s="31" t="s">
        <v>303</v>
      </c>
      <c r="B483" s="31" t="s">
        <v>648</v>
      </c>
      <c r="C483" s="31" t="s">
        <v>22</v>
      </c>
      <c r="D483" s="31" t="s">
        <v>23</v>
      </c>
      <c r="E483" s="31" t="s">
        <v>88</v>
      </c>
      <c r="F483" s="31" t="s">
        <v>304</v>
      </c>
      <c r="G483" s="31" t="s">
        <v>41</v>
      </c>
      <c r="J483" s="31" t="s">
        <v>305</v>
      </c>
      <c r="K483" s="31" t="s">
        <v>296</v>
      </c>
      <c r="M483" s="31" t="s">
        <v>737</v>
      </c>
      <c r="P483" s="31" t="s">
        <v>2223</v>
      </c>
      <c r="Q483" s="32">
        <v>80</v>
      </c>
      <c r="R483" s="48">
        <f>IFERROR(Q483/VLOOKUP(P483,'Exchange rates to USD'!$L$2:$N$225,3,FALSE),"")</f>
        <v>53.807823041026531</v>
      </c>
      <c r="U483" s="152"/>
      <c r="V483" s="152"/>
      <c r="W483" s="152"/>
    </row>
    <row r="484" spans="1:23" ht="13.25" customHeight="1" x14ac:dyDescent="0.25">
      <c r="A484" s="31" t="s">
        <v>306</v>
      </c>
      <c r="B484" s="31" t="s">
        <v>648</v>
      </c>
      <c r="C484" s="31" t="s">
        <v>22</v>
      </c>
      <c r="D484" s="31" t="s">
        <v>23</v>
      </c>
      <c r="E484" s="31" t="s">
        <v>161</v>
      </c>
      <c r="F484" s="31" t="s">
        <v>307</v>
      </c>
      <c r="G484" s="31" t="s">
        <v>3173</v>
      </c>
      <c r="J484" s="31" t="s">
        <v>308</v>
      </c>
      <c r="K484" s="31" t="s">
        <v>296</v>
      </c>
      <c r="M484" s="31" t="s">
        <v>113</v>
      </c>
      <c r="P484" s="31" t="s">
        <v>2223</v>
      </c>
      <c r="Q484" s="32">
        <v>56.4</v>
      </c>
      <c r="R484" s="48">
        <f>IFERROR(Q484/VLOOKUP(P484,'Exchange rates to USD'!$L$2:$N$225,3,FALSE),"")</f>
        <v>37.934515243923705</v>
      </c>
      <c r="U484" s="152"/>
      <c r="V484" s="152"/>
      <c r="W484" s="152"/>
    </row>
    <row r="485" spans="1:23" ht="13.25" customHeight="1" x14ac:dyDescent="0.25">
      <c r="A485" s="31" t="s">
        <v>309</v>
      </c>
      <c r="B485" s="31" t="s">
        <v>648</v>
      </c>
      <c r="C485" s="31" t="s">
        <v>22</v>
      </c>
      <c r="D485" s="31" t="s">
        <v>23</v>
      </c>
      <c r="E485" s="31" t="s">
        <v>3200</v>
      </c>
      <c r="F485" s="31" t="s">
        <v>2513</v>
      </c>
      <c r="G485" s="31" t="s">
        <v>41</v>
      </c>
      <c r="J485" s="31" t="s">
        <v>310</v>
      </c>
      <c r="K485" s="64" t="s">
        <v>296</v>
      </c>
      <c r="M485" s="31" t="s">
        <v>113</v>
      </c>
      <c r="P485" s="31" t="s">
        <v>2223</v>
      </c>
      <c r="Q485" s="32">
        <v>154.245</v>
      </c>
      <c r="R485" s="48">
        <f>IFERROR(Q485/VLOOKUP(P485,'Exchange rates to USD'!$L$2:$N$225,3,FALSE),"")</f>
        <v>103.74484581203923</v>
      </c>
      <c r="U485" s="152"/>
      <c r="V485" s="152"/>
      <c r="W485" s="152"/>
    </row>
    <row r="486" spans="1:23" ht="13.25" customHeight="1" x14ac:dyDescent="0.25">
      <c r="A486" s="31" t="s">
        <v>311</v>
      </c>
      <c r="B486" s="31" t="s">
        <v>648</v>
      </c>
      <c r="C486" s="31" t="s">
        <v>22</v>
      </c>
      <c r="D486" s="31" t="s">
        <v>23</v>
      </c>
      <c r="E486" s="31" t="s">
        <v>88</v>
      </c>
      <c r="F486" s="31" t="s">
        <v>312</v>
      </c>
      <c r="G486" s="31" t="s">
        <v>41</v>
      </c>
      <c r="J486" s="31" t="s">
        <v>313</v>
      </c>
      <c r="K486" s="31" t="s">
        <v>296</v>
      </c>
      <c r="M486" s="31" t="s">
        <v>113</v>
      </c>
      <c r="P486" s="31" t="s">
        <v>2223</v>
      </c>
      <c r="Q486" s="32">
        <v>147.506</v>
      </c>
      <c r="R486" s="48">
        <f>IFERROR(Q486/VLOOKUP(P486,'Exchange rates to USD'!$L$2:$N$225,3,FALSE),"")</f>
        <v>99.212209318620751</v>
      </c>
      <c r="U486" s="152"/>
      <c r="V486" s="152"/>
      <c r="W486" s="152"/>
    </row>
    <row r="487" spans="1:23" ht="13.25" customHeight="1" x14ac:dyDescent="0.25">
      <c r="A487" s="31" t="s">
        <v>314</v>
      </c>
      <c r="B487" s="31" t="s">
        <v>648</v>
      </c>
      <c r="C487" s="31" t="s">
        <v>84</v>
      </c>
      <c r="D487" s="31" t="s">
        <v>23</v>
      </c>
      <c r="E487" s="31" t="s">
        <v>3200</v>
      </c>
      <c r="F487" s="31" t="s">
        <v>315</v>
      </c>
      <c r="G487" s="31" t="s">
        <v>41</v>
      </c>
      <c r="J487" s="31" t="s">
        <v>316</v>
      </c>
      <c r="K487" s="31" t="s">
        <v>296</v>
      </c>
      <c r="M487" s="31" t="s">
        <v>113</v>
      </c>
      <c r="P487" s="31" t="s">
        <v>2223</v>
      </c>
      <c r="Q487" s="32">
        <v>200</v>
      </c>
      <c r="R487" s="48">
        <f>IFERROR(Q487/VLOOKUP(P487,'Exchange rates to USD'!$L$2:$N$225,3,FALSE),"")</f>
        <v>134.51955760256632</v>
      </c>
      <c r="U487" s="152"/>
      <c r="V487" s="152"/>
      <c r="W487" s="152"/>
    </row>
    <row r="488" spans="1:23" ht="13.25" customHeight="1" x14ac:dyDescent="0.25">
      <c r="A488" s="31" t="s">
        <v>317</v>
      </c>
      <c r="B488" s="31" t="s">
        <v>648</v>
      </c>
      <c r="C488" s="31" t="s">
        <v>22</v>
      </c>
      <c r="D488" s="31" t="s">
        <v>23</v>
      </c>
      <c r="E488" s="31" t="s">
        <v>619</v>
      </c>
      <c r="F488" s="31" t="s">
        <v>1850</v>
      </c>
      <c r="G488" s="31" t="s">
        <v>111</v>
      </c>
      <c r="H488" s="31" t="s">
        <v>207</v>
      </c>
      <c r="J488" s="31" t="s">
        <v>318</v>
      </c>
      <c r="K488" s="31" t="s">
        <v>1851</v>
      </c>
      <c r="M488" s="31" t="s">
        <v>113</v>
      </c>
      <c r="P488" s="31" t="s">
        <v>2223</v>
      </c>
      <c r="Q488" s="32">
        <v>124</v>
      </c>
      <c r="R488" s="48">
        <f>IFERROR(Q488/VLOOKUP(P488,'Exchange rates to USD'!$L$2:$N$225,3,FALSE),"")</f>
        <v>83.402125713591133</v>
      </c>
      <c r="U488" s="152"/>
      <c r="V488" s="152"/>
      <c r="W488" s="152"/>
    </row>
    <row r="489" spans="1:23" ht="13.25" customHeight="1" x14ac:dyDescent="0.25">
      <c r="A489" s="31" t="s">
        <v>319</v>
      </c>
      <c r="B489" s="31" t="s">
        <v>648</v>
      </c>
      <c r="C489" s="31" t="s">
        <v>22</v>
      </c>
      <c r="D489" s="31" t="s">
        <v>23</v>
      </c>
      <c r="E489" s="31" t="s">
        <v>88</v>
      </c>
      <c r="F489" s="31" t="s">
        <v>320</v>
      </c>
      <c r="G489" s="31" t="s">
        <v>670</v>
      </c>
      <c r="J489" s="31" t="s">
        <v>321</v>
      </c>
      <c r="K489" s="31" t="s">
        <v>296</v>
      </c>
      <c r="M489" s="31" t="s">
        <v>113</v>
      </c>
      <c r="P489" s="31" t="s">
        <v>2223</v>
      </c>
      <c r="Q489" s="32">
        <v>433</v>
      </c>
      <c r="R489" s="48">
        <f>IFERROR(Q489/VLOOKUP(P489,'Exchange rates to USD'!$L$2:$N$225,3,FALSE),"")</f>
        <v>291.23484220955612</v>
      </c>
      <c r="U489" s="152"/>
      <c r="V489" s="152"/>
      <c r="W489" s="152"/>
    </row>
    <row r="490" spans="1:23" ht="13.25" customHeight="1" x14ac:dyDescent="0.25">
      <c r="A490" s="31" t="s">
        <v>322</v>
      </c>
      <c r="B490" s="31" t="s">
        <v>648</v>
      </c>
      <c r="C490" s="31" t="s">
        <v>22</v>
      </c>
      <c r="D490" s="31" t="s">
        <v>23</v>
      </c>
      <c r="E490" s="31" t="s">
        <v>88</v>
      </c>
      <c r="F490" s="31" t="s">
        <v>323</v>
      </c>
      <c r="G490" s="31" t="s">
        <v>41</v>
      </c>
      <c r="J490" s="31" t="s">
        <v>324</v>
      </c>
      <c r="K490" s="31" t="s">
        <v>296</v>
      </c>
      <c r="M490" s="31" t="s">
        <v>737</v>
      </c>
      <c r="P490" s="31" t="s">
        <v>2223</v>
      </c>
      <c r="Q490" s="32">
        <v>40</v>
      </c>
      <c r="R490" s="48">
        <f>IFERROR(Q490/VLOOKUP(P490,'Exchange rates to USD'!$L$2:$N$225,3,FALSE),"")</f>
        <v>26.903911520513265</v>
      </c>
      <c r="U490" s="152"/>
      <c r="V490" s="152"/>
      <c r="W490" s="152"/>
    </row>
    <row r="491" spans="1:23" ht="13.25" customHeight="1" x14ac:dyDescent="0.25">
      <c r="A491" s="31" t="s">
        <v>325</v>
      </c>
      <c r="B491" s="31" t="s">
        <v>648</v>
      </c>
      <c r="C491" s="31" t="s">
        <v>22</v>
      </c>
      <c r="D491" s="31" t="s">
        <v>23</v>
      </c>
      <c r="E491" s="31" t="s">
        <v>3200</v>
      </c>
      <c r="F491" s="31" t="s">
        <v>326</v>
      </c>
      <c r="G491" s="31" t="s">
        <v>41</v>
      </c>
      <c r="J491" s="31" t="s">
        <v>327</v>
      </c>
      <c r="K491" s="31" t="s">
        <v>296</v>
      </c>
      <c r="M491" s="31" t="s">
        <v>737</v>
      </c>
      <c r="P491" s="31" t="s">
        <v>2223</v>
      </c>
      <c r="Q491" s="32">
        <v>50</v>
      </c>
      <c r="R491" s="48">
        <f>IFERROR(Q491/VLOOKUP(P491,'Exchange rates to USD'!$L$2:$N$225,3,FALSE),"")</f>
        <v>33.629889400641581</v>
      </c>
      <c r="U491" s="152"/>
      <c r="V491" s="152"/>
      <c r="W491" s="152"/>
    </row>
    <row r="492" spans="1:23" ht="13.25" customHeight="1" x14ac:dyDescent="0.25">
      <c r="A492" s="31" t="s">
        <v>2330</v>
      </c>
      <c r="B492" s="31" t="s">
        <v>648</v>
      </c>
      <c r="C492" s="31" t="s">
        <v>22</v>
      </c>
      <c r="D492" s="31" t="s">
        <v>13</v>
      </c>
      <c r="E492" s="31" t="s">
        <v>172</v>
      </c>
      <c r="F492" s="31" t="s">
        <v>330</v>
      </c>
      <c r="G492" s="31" t="s">
        <v>3173</v>
      </c>
      <c r="J492" s="31" t="s">
        <v>2755</v>
      </c>
      <c r="K492" s="31" t="s">
        <v>328</v>
      </c>
      <c r="M492" s="31" t="s">
        <v>101</v>
      </c>
      <c r="P492" s="31" t="s">
        <v>2223</v>
      </c>
      <c r="Q492" s="32">
        <v>600</v>
      </c>
      <c r="R492" s="48">
        <f>IFERROR(Q492/VLOOKUP(P492,'Exchange rates to USD'!$L$2:$N$225,3,FALSE),"")</f>
        <v>403.558672807699</v>
      </c>
      <c r="U492" s="152"/>
      <c r="V492" s="152"/>
      <c r="W492" s="152"/>
    </row>
    <row r="493" spans="1:23" ht="13.25" customHeight="1" x14ac:dyDescent="0.25">
      <c r="A493" s="31" t="s">
        <v>329</v>
      </c>
      <c r="B493" s="31" t="s">
        <v>648</v>
      </c>
      <c r="C493" s="31" t="s">
        <v>30</v>
      </c>
      <c r="D493" s="31" t="s">
        <v>23</v>
      </c>
      <c r="E493" s="31" t="s">
        <v>3200</v>
      </c>
      <c r="G493" s="31" t="s">
        <v>44</v>
      </c>
      <c r="J493" s="31" t="s">
        <v>332</v>
      </c>
      <c r="K493" s="31" t="s">
        <v>328</v>
      </c>
      <c r="M493" s="31" t="s">
        <v>101</v>
      </c>
      <c r="P493" s="31" t="s">
        <v>2223</v>
      </c>
      <c r="Q493" s="32" t="s">
        <v>2326</v>
      </c>
      <c r="R493" s="48" t="str">
        <f>IFERROR(Q493/VLOOKUP(P493,'Exchange rates to USD'!$L$2:$N$225,3,FALSE),"")</f>
        <v/>
      </c>
      <c r="U493" s="152"/>
      <c r="V493" s="152"/>
      <c r="W493" s="152"/>
    </row>
    <row r="494" spans="1:23" ht="13.25" customHeight="1" x14ac:dyDescent="0.25">
      <c r="A494" s="31" t="s">
        <v>331</v>
      </c>
      <c r="B494" s="31" t="s">
        <v>648</v>
      </c>
      <c r="C494" s="31" t="s">
        <v>22</v>
      </c>
      <c r="D494" s="31" t="s">
        <v>13</v>
      </c>
      <c r="E494" s="31" t="s">
        <v>36</v>
      </c>
      <c r="F494" s="31" t="s">
        <v>1853</v>
      </c>
      <c r="G494" s="31" t="s">
        <v>3173</v>
      </c>
      <c r="J494" s="31" t="s">
        <v>1854</v>
      </c>
      <c r="K494" s="31" t="s">
        <v>1855</v>
      </c>
      <c r="M494" s="31" t="s">
        <v>113</v>
      </c>
      <c r="N494" s="31" t="s">
        <v>1856</v>
      </c>
      <c r="P494" s="31" t="s">
        <v>2223</v>
      </c>
      <c r="Q494" s="32">
        <v>182</v>
      </c>
      <c r="R494" s="48">
        <f>IFERROR(Q494/VLOOKUP(P494,'Exchange rates to USD'!$L$2:$N$225,3,FALSE),"")</f>
        <v>122.41279741833536</v>
      </c>
      <c r="U494" s="152"/>
      <c r="V494" s="152"/>
      <c r="W494" s="152"/>
    </row>
    <row r="495" spans="1:23" ht="13.25" customHeight="1" x14ac:dyDescent="0.25">
      <c r="A495" s="31" t="s">
        <v>1852</v>
      </c>
      <c r="B495" s="31" t="s">
        <v>648</v>
      </c>
      <c r="C495" s="31" t="s">
        <v>22</v>
      </c>
      <c r="D495" s="31" t="s">
        <v>13</v>
      </c>
      <c r="E495" s="31" t="s">
        <v>36</v>
      </c>
      <c r="F495" s="31" t="s">
        <v>1858</v>
      </c>
      <c r="G495" s="31" t="s">
        <v>3173</v>
      </c>
      <c r="H495" s="31" t="s">
        <v>25</v>
      </c>
      <c r="J495" s="31" t="s">
        <v>1859</v>
      </c>
      <c r="K495" s="31" t="s">
        <v>1860</v>
      </c>
      <c r="M495" s="31" t="s">
        <v>113</v>
      </c>
      <c r="N495" s="31" t="s">
        <v>1856</v>
      </c>
      <c r="P495" s="31" t="s">
        <v>2223</v>
      </c>
      <c r="Q495" s="32">
        <v>39</v>
      </c>
      <c r="R495" s="48">
        <f>IFERROR(Q495/VLOOKUP(P495,'Exchange rates to USD'!$L$2:$N$225,3,FALSE),"")</f>
        <v>26.231313732500436</v>
      </c>
      <c r="U495" s="152"/>
      <c r="V495" s="152"/>
      <c r="W495" s="152"/>
    </row>
    <row r="496" spans="1:23" ht="13.25" customHeight="1" x14ac:dyDescent="0.25">
      <c r="A496" s="31" t="s">
        <v>1857</v>
      </c>
      <c r="B496" s="31" t="s">
        <v>648</v>
      </c>
      <c r="C496" s="31" t="s">
        <v>22</v>
      </c>
      <c r="D496" s="31" t="s">
        <v>13</v>
      </c>
      <c r="E496" s="31" t="s">
        <v>36</v>
      </c>
      <c r="F496" s="31" t="s">
        <v>1862</v>
      </c>
      <c r="G496" s="31" t="s">
        <v>3173</v>
      </c>
      <c r="H496" s="31" t="s">
        <v>25</v>
      </c>
      <c r="J496" s="31" t="s">
        <v>1863</v>
      </c>
      <c r="K496" s="31" t="s">
        <v>1860</v>
      </c>
      <c r="M496" s="31" t="s">
        <v>113</v>
      </c>
      <c r="N496" s="31" t="s">
        <v>1856</v>
      </c>
      <c r="P496" s="31" t="s">
        <v>2223</v>
      </c>
      <c r="Q496" s="32">
        <v>220</v>
      </c>
      <c r="R496" s="48">
        <f>IFERROR(Q496/VLOOKUP(P496,'Exchange rates to USD'!$L$2:$N$225,3,FALSE),"")</f>
        <v>147.97151336282298</v>
      </c>
      <c r="U496" s="152"/>
      <c r="V496" s="152"/>
      <c r="W496" s="152"/>
    </row>
    <row r="497" spans="1:23" ht="13.25" customHeight="1" x14ac:dyDescent="0.25">
      <c r="A497" s="31" t="s">
        <v>1861</v>
      </c>
      <c r="B497" s="31" t="s">
        <v>648</v>
      </c>
      <c r="C497" s="31" t="s">
        <v>22</v>
      </c>
      <c r="D497" s="31" t="s">
        <v>13</v>
      </c>
      <c r="E497" s="31" t="s">
        <v>36</v>
      </c>
      <c r="G497" s="31" t="s">
        <v>3173</v>
      </c>
      <c r="H497" s="31" t="s">
        <v>25</v>
      </c>
      <c r="J497" s="31" t="s">
        <v>1865</v>
      </c>
      <c r="K497" s="31" t="s">
        <v>1866</v>
      </c>
      <c r="M497" s="31" t="s">
        <v>113</v>
      </c>
      <c r="N497" s="31" t="s">
        <v>1856</v>
      </c>
      <c r="P497" s="31" t="s">
        <v>2223</v>
      </c>
      <c r="Q497" s="32" t="s">
        <v>2326</v>
      </c>
      <c r="R497" s="48" t="str">
        <f>IFERROR(Q497/VLOOKUP(P497,'Exchange rates to USD'!$L$2:$N$225,3,FALSE),"")</f>
        <v/>
      </c>
      <c r="U497" s="152"/>
      <c r="V497" s="152"/>
      <c r="W497" s="152"/>
    </row>
    <row r="498" spans="1:23" ht="13.25" customHeight="1" x14ac:dyDescent="0.25">
      <c r="A498" s="31" t="s">
        <v>1864</v>
      </c>
      <c r="B498" s="31" t="s">
        <v>648</v>
      </c>
      <c r="C498" s="31" t="s">
        <v>22</v>
      </c>
      <c r="E498" s="31" t="s">
        <v>3200</v>
      </c>
      <c r="F498" s="31" t="s">
        <v>1868</v>
      </c>
      <c r="G498" s="31" t="s">
        <v>3173</v>
      </c>
      <c r="J498" s="31" t="s">
        <v>1869</v>
      </c>
      <c r="K498" s="31" t="s">
        <v>1870</v>
      </c>
      <c r="M498" s="31" t="s">
        <v>113</v>
      </c>
      <c r="N498" s="31" t="s">
        <v>1856</v>
      </c>
      <c r="P498" s="31" t="s">
        <v>2223</v>
      </c>
      <c r="Q498" s="32">
        <v>210</v>
      </c>
      <c r="R498" s="48">
        <f>IFERROR(Q498/VLOOKUP(P498,'Exchange rates to USD'!$L$2:$N$225,3,FALSE),"")</f>
        <v>141.24553548269466</v>
      </c>
      <c r="U498" s="152"/>
      <c r="V498" s="152"/>
      <c r="W498" s="152"/>
    </row>
    <row r="499" spans="1:23" ht="13.25" customHeight="1" x14ac:dyDescent="0.25">
      <c r="A499" s="31" t="s">
        <v>1867</v>
      </c>
      <c r="B499" s="31" t="s">
        <v>648</v>
      </c>
      <c r="C499" s="31" t="s">
        <v>22</v>
      </c>
      <c r="D499" s="31" t="s">
        <v>39</v>
      </c>
      <c r="E499" s="31" t="s">
        <v>3200</v>
      </c>
      <c r="F499" s="31" t="s">
        <v>1872</v>
      </c>
      <c r="G499" s="31" t="s">
        <v>41</v>
      </c>
      <c r="J499" s="31" t="s">
        <v>1873</v>
      </c>
      <c r="K499" s="31" t="s">
        <v>1874</v>
      </c>
      <c r="M499" s="31" t="s">
        <v>737</v>
      </c>
      <c r="P499" s="31" t="s">
        <v>2223</v>
      </c>
      <c r="Q499" s="32">
        <v>1.69</v>
      </c>
      <c r="R499" s="48">
        <f>IFERROR(Q499/VLOOKUP(P499,'Exchange rates to USD'!$L$2:$N$225,3,FALSE),"")</f>
        <v>1.1366902617416854</v>
      </c>
      <c r="U499" s="152"/>
      <c r="V499" s="152"/>
      <c r="W499" s="152"/>
    </row>
    <row r="500" spans="1:23" s="153" customFormat="1" ht="13.25" customHeight="1" x14ac:dyDescent="0.25">
      <c r="A500" s="153" t="s">
        <v>1871</v>
      </c>
      <c r="B500" s="153" t="s">
        <v>648</v>
      </c>
      <c r="C500" s="153" t="s">
        <v>22</v>
      </c>
      <c r="D500" s="153" t="s">
        <v>39</v>
      </c>
      <c r="E500" s="153" t="s">
        <v>619</v>
      </c>
      <c r="F500" s="153" t="s">
        <v>1875</v>
      </c>
      <c r="G500" s="153" t="s">
        <v>111</v>
      </c>
      <c r="J500" s="153" t="s">
        <v>1876</v>
      </c>
      <c r="M500" s="153" t="s">
        <v>113</v>
      </c>
      <c r="N500" s="153" t="s">
        <v>1856</v>
      </c>
      <c r="O500" s="43"/>
      <c r="P500" s="153" t="s">
        <v>2223</v>
      </c>
      <c r="Q500" s="49">
        <v>37</v>
      </c>
      <c r="R500" s="148">
        <f>IFERROR(Q500/VLOOKUP(P500,'Exchange rates to USD'!$L$2:$N$225,3,FALSE),"")</f>
        <v>24.886118156474772</v>
      </c>
    </row>
    <row r="501" spans="1:23" ht="13.25" customHeight="1" x14ac:dyDescent="0.25">
      <c r="A501" s="31" t="s">
        <v>249</v>
      </c>
      <c r="B501" s="31" t="s">
        <v>649</v>
      </c>
      <c r="C501" s="31" t="s">
        <v>22</v>
      </c>
      <c r="D501" s="31" t="s">
        <v>13</v>
      </c>
      <c r="E501" s="31" t="s">
        <v>172</v>
      </c>
      <c r="F501" s="31" t="s">
        <v>1039</v>
      </c>
      <c r="G501" s="31" t="s">
        <v>3173</v>
      </c>
      <c r="J501" s="31" t="s">
        <v>250</v>
      </c>
      <c r="M501" s="31" t="s">
        <v>101</v>
      </c>
      <c r="P501" s="31" t="s">
        <v>2222</v>
      </c>
      <c r="Q501" s="32">
        <v>6000</v>
      </c>
      <c r="R501" s="48">
        <f>IFERROR(Q501/VLOOKUP(P501,'Exchange rates to USD'!$L$2:$N$225,3,FALSE),"")</f>
        <v>735.61670167345051</v>
      </c>
      <c r="U501" s="152"/>
      <c r="V501" s="152"/>
      <c r="W501" s="152"/>
    </row>
    <row r="502" spans="1:23" ht="13.25" customHeight="1" x14ac:dyDescent="0.25">
      <c r="A502" s="31" t="s">
        <v>251</v>
      </c>
      <c r="B502" s="31" t="s">
        <v>649</v>
      </c>
      <c r="C502" s="31" t="s">
        <v>2531</v>
      </c>
      <c r="D502" s="31" t="s">
        <v>13</v>
      </c>
      <c r="E502" s="31" t="s">
        <v>172</v>
      </c>
      <c r="G502" s="31" t="s">
        <v>3173</v>
      </c>
      <c r="J502" s="31" t="s">
        <v>1040</v>
      </c>
      <c r="M502" s="31" t="s">
        <v>101</v>
      </c>
      <c r="R502" s="48" t="str">
        <f>IFERROR(Q502/VLOOKUP(P502,'Exchange rates to USD'!$L$2:$N$225,3,FALSE),"")</f>
        <v/>
      </c>
      <c r="U502" s="152"/>
      <c r="V502" s="152"/>
      <c r="W502" s="152"/>
    </row>
    <row r="503" spans="1:23" ht="13.25" customHeight="1" x14ac:dyDescent="0.25">
      <c r="A503" s="31" t="s">
        <v>252</v>
      </c>
      <c r="B503" s="31" t="s">
        <v>649</v>
      </c>
      <c r="C503" s="31" t="s">
        <v>2531</v>
      </c>
      <c r="D503" s="31" t="s">
        <v>13</v>
      </c>
      <c r="E503" s="31" t="s">
        <v>14</v>
      </c>
      <c r="F503" s="31" t="s">
        <v>253</v>
      </c>
      <c r="G503" s="31" t="s">
        <v>3173</v>
      </c>
      <c r="H503" s="31" t="s">
        <v>25</v>
      </c>
      <c r="J503" s="31" t="s">
        <v>1041</v>
      </c>
      <c r="K503" s="31" t="s">
        <v>254</v>
      </c>
      <c r="M503" s="31" t="s">
        <v>101</v>
      </c>
      <c r="P503" s="31" t="s">
        <v>2222</v>
      </c>
      <c r="Q503" s="32">
        <v>99000</v>
      </c>
      <c r="R503" s="48">
        <f>IFERROR(Q503/VLOOKUP(P503,'Exchange rates to USD'!$L$2:$N$225,3,FALSE),"")</f>
        <v>12137.675577611933</v>
      </c>
      <c r="U503" s="152"/>
      <c r="V503" s="152"/>
      <c r="W503" s="152"/>
    </row>
    <row r="504" spans="1:23" ht="13.25" customHeight="1" x14ac:dyDescent="0.25">
      <c r="A504" s="31" t="s">
        <v>255</v>
      </c>
      <c r="B504" s="31" t="s">
        <v>649</v>
      </c>
      <c r="C504" s="31" t="s">
        <v>110</v>
      </c>
      <c r="D504" s="31" t="s">
        <v>23</v>
      </c>
      <c r="E504" s="31" t="s">
        <v>3200</v>
      </c>
      <c r="F504" s="31" t="s">
        <v>2487</v>
      </c>
      <c r="G504" s="31" t="s">
        <v>3173</v>
      </c>
      <c r="H504" s="31" t="s">
        <v>25</v>
      </c>
      <c r="I504" s="31" t="s">
        <v>44</v>
      </c>
      <c r="J504" s="31" t="s">
        <v>1042</v>
      </c>
      <c r="K504" s="31" t="s">
        <v>256</v>
      </c>
      <c r="M504" s="31" t="s">
        <v>113</v>
      </c>
      <c r="O504" s="42" t="s">
        <v>1043</v>
      </c>
      <c r="P504" s="31" t="s">
        <v>2222</v>
      </c>
      <c r="Q504" s="32">
        <v>5300</v>
      </c>
      <c r="R504" s="48">
        <f>IFERROR(Q504/VLOOKUP(P504,'Exchange rates to USD'!$L$2:$N$225,3,FALSE),"")</f>
        <v>649.79475314488127</v>
      </c>
      <c r="U504" s="152"/>
      <c r="V504" s="152"/>
      <c r="W504" s="152"/>
    </row>
    <row r="505" spans="1:23" ht="13.25" customHeight="1" x14ac:dyDescent="0.25">
      <c r="A505" s="31" t="s">
        <v>257</v>
      </c>
      <c r="B505" s="31" t="s">
        <v>649</v>
      </c>
      <c r="C505" s="31" t="s">
        <v>2530</v>
      </c>
      <c r="D505" s="31" t="s">
        <v>13</v>
      </c>
      <c r="E505" s="31" t="s">
        <v>258</v>
      </c>
      <c r="F505" s="31" t="s">
        <v>1044</v>
      </c>
      <c r="G505" s="31" t="s">
        <v>3173</v>
      </c>
      <c r="H505" s="31" t="s">
        <v>25</v>
      </c>
      <c r="J505" s="31" t="s">
        <v>1045</v>
      </c>
      <c r="K505" s="31" t="s">
        <v>256</v>
      </c>
      <c r="M505" s="31" t="s">
        <v>113</v>
      </c>
      <c r="P505" s="31" t="s">
        <v>2222</v>
      </c>
      <c r="Q505" s="32">
        <v>485</v>
      </c>
      <c r="R505" s="48">
        <f>IFERROR(Q505/VLOOKUP(P505,'Exchange rates to USD'!$L$2:$N$225,3,FALSE),"")</f>
        <v>59.46235005193725</v>
      </c>
      <c r="U505" s="152"/>
      <c r="V505" s="152"/>
      <c r="W505" s="152"/>
    </row>
    <row r="506" spans="1:23" ht="13.25" customHeight="1" x14ac:dyDescent="0.25">
      <c r="A506" s="31" t="s">
        <v>259</v>
      </c>
      <c r="B506" s="31" t="s">
        <v>649</v>
      </c>
      <c r="C506" s="31" t="s">
        <v>110</v>
      </c>
      <c r="D506" s="31" t="s">
        <v>23</v>
      </c>
      <c r="E506" s="31" t="s">
        <v>3200</v>
      </c>
      <c r="F506" s="31" t="s">
        <v>1046</v>
      </c>
      <c r="G506" s="31" t="s">
        <v>3173</v>
      </c>
      <c r="H506" s="31" t="s">
        <v>25</v>
      </c>
      <c r="I506" s="31" t="s">
        <v>111</v>
      </c>
      <c r="J506" s="31" t="s">
        <v>260</v>
      </c>
      <c r="K506" s="31" t="s">
        <v>256</v>
      </c>
      <c r="M506" s="31" t="s">
        <v>113</v>
      </c>
      <c r="O506" s="42" t="s">
        <v>1043</v>
      </c>
      <c r="P506" s="31" t="s">
        <v>2222</v>
      </c>
      <c r="Q506" s="32">
        <v>1333</v>
      </c>
      <c r="R506" s="48">
        <f>IFERROR(Q506/VLOOKUP(P506,'Exchange rates to USD'!$L$2:$N$225,3,FALSE),"")</f>
        <v>163.42951055511827</v>
      </c>
      <c r="U506" s="152"/>
      <c r="V506" s="152"/>
      <c r="W506" s="152"/>
    </row>
    <row r="507" spans="1:23" ht="13.25" customHeight="1" x14ac:dyDescent="0.25">
      <c r="A507" s="31" t="s">
        <v>261</v>
      </c>
      <c r="B507" s="31" t="s">
        <v>649</v>
      </c>
      <c r="C507" s="31" t="s">
        <v>110</v>
      </c>
      <c r="D507" s="31" t="s">
        <v>23</v>
      </c>
      <c r="E507" s="31" t="s">
        <v>3200</v>
      </c>
      <c r="F507" s="31" t="s">
        <v>1047</v>
      </c>
      <c r="G507" s="31" t="s">
        <v>111</v>
      </c>
      <c r="J507" s="31" t="s">
        <v>262</v>
      </c>
      <c r="K507" s="31" t="s">
        <v>256</v>
      </c>
      <c r="M507" s="31" t="s">
        <v>113</v>
      </c>
      <c r="P507" s="31" t="s">
        <v>2222</v>
      </c>
      <c r="Q507" s="32">
        <v>100</v>
      </c>
      <c r="R507" s="48">
        <f>IFERROR(Q507/VLOOKUP(P507,'Exchange rates to USD'!$L$2:$N$225,3,FALSE),"")</f>
        <v>12.260278361224175</v>
      </c>
      <c r="U507" s="152"/>
      <c r="V507" s="152"/>
      <c r="W507" s="152"/>
    </row>
    <row r="508" spans="1:23" ht="13.25" customHeight="1" x14ac:dyDescent="0.25">
      <c r="A508" s="31" t="s">
        <v>263</v>
      </c>
      <c r="B508" s="31" t="s">
        <v>649</v>
      </c>
      <c r="C508" s="31" t="s">
        <v>22</v>
      </c>
      <c r="D508" s="31" t="s">
        <v>13</v>
      </c>
      <c r="E508" s="31" t="s">
        <v>14</v>
      </c>
      <c r="F508" s="31" t="s">
        <v>1048</v>
      </c>
      <c r="G508" s="31" t="s">
        <v>3173</v>
      </c>
      <c r="J508" s="31" t="s">
        <v>264</v>
      </c>
      <c r="K508" s="31" t="s">
        <v>256</v>
      </c>
      <c r="M508" s="31" t="s">
        <v>871</v>
      </c>
      <c r="P508" s="31" t="s">
        <v>2222</v>
      </c>
      <c r="Q508" s="32">
        <v>25</v>
      </c>
      <c r="R508" s="48">
        <f>IFERROR(Q508/VLOOKUP(P508,'Exchange rates to USD'!$L$2:$N$225,3,FALSE),"")</f>
        <v>3.0650695903060439</v>
      </c>
      <c r="U508" s="152"/>
      <c r="V508" s="152"/>
      <c r="W508" s="152"/>
    </row>
    <row r="509" spans="1:23" ht="13.25" customHeight="1" x14ac:dyDescent="0.25">
      <c r="A509" s="31" t="s">
        <v>265</v>
      </c>
      <c r="B509" s="31" t="s">
        <v>649</v>
      </c>
      <c r="C509" s="31" t="s">
        <v>22</v>
      </c>
      <c r="D509" s="31" t="s">
        <v>13</v>
      </c>
      <c r="E509" s="31" t="s">
        <v>3200</v>
      </c>
      <c r="F509" s="31" t="s">
        <v>1049</v>
      </c>
      <c r="G509" s="31" t="s">
        <v>41</v>
      </c>
      <c r="J509" s="31" t="s">
        <v>266</v>
      </c>
      <c r="K509" s="31" t="s">
        <v>256</v>
      </c>
      <c r="M509" s="31" t="s">
        <v>113</v>
      </c>
      <c r="P509" s="31" t="s">
        <v>2222</v>
      </c>
      <c r="Q509" s="32">
        <v>20</v>
      </c>
      <c r="R509" s="48">
        <f>IFERROR(Q509/VLOOKUP(P509,'Exchange rates to USD'!$L$2:$N$225,3,FALSE),"")</f>
        <v>2.452055672244835</v>
      </c>
      <c r="U509" s="152"/>
      <c r="V509" s="152"/>
      <c r="W509" s="152"/>
    </row>
    <row r="510" spans="1:23" ht="13.25" customHeight="1" x14ac:dyDescent="0.25">
      <c r="A510" s="31" t="s">
        <v>267</v>
      </c>
      <c r="B510" s="31" t="s">
        <v>649</v>
      </c>
      <c r="C510" s="31" t="s">
        <v>110</v>
      </c>
      <c r="D510" s="31" t="s">
        <v>23</v>
      </c>
      <c r="E510" s="31" t="s">
        <v>3200</v>
      </c>
      <c r="F510" s="31" t="s">
        <v>1050</v>
      </c>
      <c r="G510" s="31" t="s">
        <v>3173</v>
      </c>
      <c r="H510" s="31" t="s">
        <v>25</v>
      </c>
      <c r="I510" s="31" t="s">
        <v>41</v>
      </c>
      <c r="J510" s="31" t="s">
        <v>268</v>
      </c>
      <c r="K510" s="31" t="s">
        <v>256</v>
      </c>
      <c r="M510" s="31" t="s">
        <v>113</v>
      </c>
      <c r="P510" s="31" t="s">
        <v>2222</v>
      </c>
      <c r="Q510" s="32">
        <v>30</v>
      </c>
      <c r="R510" s="48">
        <f>IFERROR(Q510/VLOOKUP(P510,'Exchange rates to USD'!$L$2:$N$225,3,FALSE),"")</f>
        <v>3.6780835083672527</v>
      </c>
      <c r="U510" s="152"/>
      <c r="V510" s="152"/>
      <c r="W510" s="152"/>
    </row>
    <row r="511" spans="1:23" ht="13.25" customHeight="1" x14ac:dyDescent="0.25">
      <c r="A511" s="31" t="s">
        <v>269</v>
      </c>
      <c r="B511" s="31" t="s">
        <v>649</v>
      </c>
      <c r="C511" s="31" t="s">
        <v>22</v>
      </c>
      <c r="D511" s="31" t="s">
        <v>13</v>
      </c>
      <c r="E511" s="31" t="s">
        <v>3200</v>
      </c>
      <c r="F511" s="65" t="s">
        <v>1051</v>
      </c>
      <c r="G511" s="31" t="s">
        <v>3173</v>
      </c>
      <c r="J511" s="31" t="s">
        <v>270</v>
      </c>
      <c r="K511" s="31" t="s">
        <v>256</v>
      </c>
      <c r="M511" s="31" t="s">
        <v>113</v>
      </c>
      <c r="O511" s="42" t="s">
        <v>1043</v>
      </c>
      <c r="P511" s="31" t="s">
        <v>2222</v>
      </c>
      <c r="Q511" s="32">
        <v>150</v>
      </c>
      <c r="R511" s="48">
        <f>IFERROR(Q511/VLOOKUP(P511,'Exchange rates to USD'!$L$2:$N$225,3,FALSE),"")</f>
        <v>18.390417541836264</v>
      </c>
      <c r="U511" s="152"/>
      <c r="V511" s="152"/>
      <c r="W511" s="152"/>
    </row>
    <row r="512" spans="1:23" ht="13.25" customHeight="1" x14ac:dyDescent="0.25">
      <c r="A512" s="31" t="s">
        <v>271</v>
      </c>
      <c r="B512" s="31" t="s">
        <v>649</v>
      </c>
      <c r="C512" s="31" t="s">
        <v>22</v>
      </c>
      <c r="D512" s="31" t="s">
        <v>23</v>
      </c>
      <c r="E512" s="31" t="s">
        <v>3200</v>
      </c>
      <c r="F512" s="31" t="s">
        <v>1052</v>
      </c>
      <c r="G512" s="31" t="s">
        <v>41</v>
      </c>
      <c r="J512" s="31" t="s">
        <v>272</v>
      </c>
      <c r="K512" s="31" t="s">
        <v>256</v>
      </c>
      <c r="M512" s="31" t="s">
        <v>113</v>
      </c>
      <c r="P512" s="31" t="s">
        <v>2222</v>
      </c>
      <c r="Q512" s="32">
        <v>13</v>
      </c>
      <c r="R512" s="48">
        <f>IFERROR(Q512/VLOOKUP(P512,'Exchange rates to USD'!$L$2:$N$225,3,FALSE),"")</f>
        <v>1.5938361869591429</v>
      </c>
      <c r="U512" s="152"/>
      <c r="V512" s="152"/>
      <c r="W512" s="152"/>
    </row>
    <row r="513" spans="1:23" ht="13.25" customHeight="1" x14ac:dyDescent="0.25">
      <c r="A513" s="31" t="s">
        <v>273</v>
      </c>
      <c r="B513" s="31" t="s">
        <v>649</v>
      </c>
      <c r="C513" s="31" t="s">
        <v>30</v>
      </c>
      <c r="D513" s="31" t="s">
        <v>23</v>
      </c>
      <c r="E513" s="31" t="s">
        <v>3200</v>
      </c>
      <c r="G513" s="31" t="s">
        <v>3173</v>
      </c>
      <c r="J513" s="31" t="s">
        <v>1053</v>
      </c>
      <c r="K513" s="31" t="s">
        <v>256</v>
      </c>
      <c r="M513" s="31" t="s">
        <v>737</v>
      </c>
      <c r="O513" s="42" t="s">
        <v>1043</v>
      </c>
      <c r="R513" s="48" t="str">
        <f>IFERROR(Q513/VLOOKUP(P513,'Exchange rates to USD'!$L$2:$N$225,3,FALSE),"")</f>
        <v/>
      </c>
      <c r="U513" s="152"/>
      <c r="V513" s="152"/>
      <c r="W513" s="152"/>
    </row>
    <row r="514" spans="1:23" ht="13.25" customHeight="1" x14ac:dyDescent="0.25">
      <c r="A514" s="31" t="s">
        <v>274</v>
      </c>
      <c r="B514" s="31" t="s">
        <v>649</v>
      </c>
      <c r="C514" s="31" t="s">
        <v>30</v>
      </c>
      <c r="D514" s="31" t="s">
        <v>23</v>
      </c>
      <c r="E514" s="31" t="s">
        <v>3200</v>
      </c>
      <c r="G514" s="31" t="s">
        <v>3173</v>
      </c>
      <c r="J514" s="31" t="s">
        <v>275</v>
      </c>
      <c r="K514" s="31" t="s">
        <v>256</v>
      </c>
      <c r="M514" s="31" t="s">
        <v>737</v>
      </c>
      <c r="O514" s="42" t="s">
        <v>1043</v>
      </c>
      <c r="R514" s="48" t="str">
        <f>IFERROR(Q514/VLOOKUP(P514,'Exchange rates to USD'!$L$2:$N$225,3,FALSE),"")</f>
        <v/>
      </c>
      <c r="U514" s="152"/>
      <c r="V514" s="152"/>
      <c r="W514" s="152"/>
    </row>
    <row r="515" spans="1:23" ht="13.25" customHeight="1" x14ac:dyDescent="0.25">
      <c r="A515" s="31" t="s">
        <v>276</v>
      </c>
      <c r="B515" s="31" t="s">
        <v>649</v>
      </c>
      <c r="C515" s="31" t="s">
        <v>22</v>
      </c>
      <c r="D515" s="31" t="s">
        <v>13</v>
      </c>
      <c r="E515" s="31" t="s">
        <v>172</v>
      </c>
      <c r="F515" s="31" t="s">
        <v>277</v>
      </c>
      <c r="G515" s="31" t="s">
        <v>3173</v>
      </c>
      <c r="J515" s="31" t="s">
        <v>278</v>
      </c>
      <c r="K515" s="31" t="s">
        <v>256</v>
      </c>
      <c r="M515" s="31" t="s">
        <v>101</v>
      </c>
      <c r="P515" s="31" t="s">
        <v>2222</v>
      </c>
      <c r="Q515" s="32">
        <v>2000</v>
      </c>
      <c r="R515" s="48">
        <f>IFERROR(Q515/VLOOKUP(P515,'Exchange rates to USD'!$L$2:$N$225,3,FALSE),"")</f>
        <v>245.2055672244835</v>
      </c>
      <c r="U515" s="152"/>
      <c r="V515" s="152"/>
      <c r="W515" s="152"/>
    </row>
    <row r="516" spans="1:23" ht="13.25" customHeight="1" x14ac:dyDescent="0.25">
      <c r="A516" s="31" t="s">
        <v>279</v>
      </c>
      <c r="B516" s="31" t="s">
        <v>649</v>
      </c>
      <c r="C516" s="31" t="s">
        <v>22</v>
      </c>
      <c r="D516" s="31" t="s">
        <v>13</v>
      </c>
      <c r="E516" s="31" t="s">
        <v>172</v>
      </c>
      <c r="F516" s="31" t="s">
        <v>2488</v>
      </c>
      <c r="G516" s="31" t="s">
        <v>3173</v>
      </c>
      <c r="J516" s="31" t="s">
        <v>280</v>
      </c>
      <c r="K516" s="31" t="s">
        <v>256</v>
      </c>
      <c r="M516" s="31" t="s">
        <v>737</v>
      </c>
      <c r="P516" s="31" t="s">
        <v>2222</v>
      </c>
      <c r="Q516" s="32">
        <v>35</v>
      </c>
      <c r="R516" s="48">
        <f>IFERROR(Q516/VLOOKUP(P516,'Exchange rates to USD'!$L$2:$N$225,3,FALSE),"")</f>
        <v>4.2910974264284611</v>
      </c>
      <c r="U516" s="152"/>
      <c r="V516" s="152"/>
      <c r="W516" s="152"/>
    </row>
    <row r="517" spans="1:23" ht="13.25" customHeight="1" x14ac:dyDescent="0.25">
      <c r="A517" s="31" t="s">
        <v>281</v>
      </c>
      <c r="B517" s="31" t="s">
        <v>649</v>
      </c>
      <c r="C517" s="31" t="s">
        <v>22</v>
      </c>
      <c r="D517" s="31" t="s">
        <v>13</v>
      </c>
      <c r="E517" s="31" t="s">
        <v>258</v>
      </c>
      <c r="F517" s="31" t="s">
        <v>282</v>
      </c>
      <c r="G517" s="31" t="s">
        <v>3173</v>
      </c>
      <c r="H517" s="31" t="s">
        <v>25</v>
      </c>
      <c r="J517" s="31" t="s">
        <v>283</v>
      </c>
      <c r="K517" s="31" t="s">
        <v>256</v>
      </c>
      <c r="M517" s="31" t="s">
        <v>737</v>
      </c>
      <c r="P517" s="31" t="s">
        <v>2222</v>
      </c>
      <c r="Q517" s="32">
        <v>235</v>
      </c>
      <c r="R517" s="48">
        <f>IFERROR(Q517/VLOOKUP(P517,'Exchange rates to USD'!$L$2:$N$225,3,FALSE),"")</f>
        <v>28.811654148876812</v>
      </c>
      <c r="U517" s="152"/>
      <c r="V517" s="152"/>
      <c r="W517" s="152"/>
    </row>
    <row r="518" spans="1:23" ht="13.25" customHeight="1" x14ac:dyDescent="0.25">
      <c r="A518" s="31" t="s">
        <v>284</v>
      </c>
      <c r="B518" s="31" t="s">
        <v>649</v>
      </c>
      <c r="C518" s="31" t="s">
        <v>22</v>
      </c>
      <c r="D518" s="31" t="s">
        <v>13</v>
      </c>
      <c r="E518" s="31" t="s">
        <v>3200</v>
      </c>
      <c r="F518" s="31" t="s">
        <v>285</v>
      </c>
      <c r="G518" s="31" t="s">
        <v>3173</v>
      </c>
      <c r="H518" s="31" t="s">
        <v>25</v>
      </c>
      <c r="J518" s="31" t="s">
        <v>286</v>
      </c>
      <c r="K518" s="31" t="s">
        <v>256</v>
      </c>
      <c r="M518" s="31" t="s">
        <v>113</v>
      </c>
      <c r="O518" s="42" t="s">
        <v>1043</v>
      </c>
      <c r="P518" s="31" t="s">
        <v>2222</v>
      </c>
      <c r="Q518" s="32">
        <v>100</v>
      </c>
      <c r="R518" s="48">
        <f>IFERROR(Q518/VLOOKUP(P518,'Exchange rates to USD'!$L$2:$N$225,3,FALSE),"")</f>
        <v>12.260278361224175</v>
      </c>
      <c r="U518" s="152"/>
      <c r="V518" s="152"/>
      <c r="W518" s="152"/>
    </row>
    <row r="519" spans="1:23" ht="13.25" customHeight="1" x14ac:dyDescent="0.25">
      <c r="A519" s="31" t="s">
        <v>287</v>
      </c>
      <c r="B519" s="31" t="s">
        <v>649</v>
      </c>
      <c r="C519" s="31" t="s">
        <v>22</v>
      </c>
      <c r="D519" s="31" t="s">
        <v>13</v>
      </c>
      <c r="E519" s="31" t="s">
        <v>36</v>
      </c>
      <c r="F519" s="31" t="s">
        <v>288</v>
      </c>
      <c r="G519" s="31" t="s">
        <v>3173</v>
      </c>
      <c r="H519" s="31" t="s">
        <v>25</v>
      </c>
      <c r="J519" s="31" t="s">
        <v>289</v>
      </c>
      <c r="K519" s="31" t="s">
        <v>256</v>
      </c>
      <c r="M519" s="31" t="s">
        <v>737</v>
      </c>
      <c r="O519" s="42" t="s">
        <v>1043</v>
      </c>
      <c r="P519" s="31" t="s">
        <v>2222</v>
      </c>
      <c r="Q519" s="32">
        <v>1550</v>
      </c>
      <c r="R519" s="48">
        <f>IFERROR(Q519/VLOOKUP(P519,'Exchange rates to USD'!$L$2:$N$225,3,FALSE),"")</f>
        <v>190.03431459897473</v>
      </c>
      <c r="U519" s="152"/>
      <c r="V519" s="152"/>
      <c r="W519" s="152"/>
    </row>
    <row r="520" spans="1:23" ht="13.25" customHeight="1" x14ac:dyDescent="0.25">
      <c r="A520" s="31" t="s">
        <v>290</v>
      </c>
      <c r="B520" s="31" t="s">
        <v>649</v>
      </c>
      <c r="C520" s="31" t="s">
        <v>22</v>
      </c>
      <c r="D520" s="31" t="s">
        <v>13</v>
      </c>
      <c r="E520" s="31" t="s">
        <v>3200</v>
      </c>
      <c r="F520" s="31" t="s">
        <v>291</v>
      </c>
      <c r="G520" s="31" t="s">
        <v>3173</v>
      </c>
      <c r="H520" s="31" t="s">
        <v>25</v>
      </c>
      <c r="J520" s="31" t="s">
        <v>292</v>
      </c>
      <c r="K520" s="31" t="s">
        <v>256</v>
      </c>
      <c r="M520" s="31" t="s">
        <v>871</v>
      </c>
      <c r="O520" s="42" t="s">
        <v>1043</v>
      </c>
      <c r="P520" s="31" t="s">
        <v>2222</v>
      </c>
      <c r="Q520" s="32">
        <v>900</v>
      </c>
      <c r="R520" s="48">
        <f>IFERROR(Q520/VLOOKUP(P520,'Exchange rates to USD'!$L$2:$N$225,3,FALSE),"")</f>
        <v>110.34250525101758</v>
      </c>
      <c r="U520" s="152"/>
      <c r="V520" s="152"/>
      <c r="W520" s="152"/>
    </row>
    <row r="521" spans="1:23" ht="13.25" customHeight="1" x14ac:dyDescent="0.25">
      <c r="A521" s="31" t="s">
        <v>1054</v>
      </c>
      <c r="B521" s="31" t="s">
        <v>649</v>
      </c>
      <c r="C521" s="31" t="s">
        <v>22</v>
      </c>
      <c r="D521" s="31" t="s">
        <v>13</v>
      </c>
      <c r="E521" s="31" t="s">
        <v>36</v>
      </c>
      <c r="F521" s="31" t="s">
        <v>1055</v>
      </c>
      <c r="G521" s="31" t="s">
        <v>3173</v>
      </c>
      <c r="H521" s="31" t="s">
        <v>25</v>
      </c>
      <c r="J521" s="31" t="s">
        <v>1056</v>
      </c>
      <c r="K521" s="31" t="s">
        <v>1057</v>
      </c>
      <c r="M521" s="31" t="s">
        <v>737</v>
      </c>
      <c r="O521" s="42" t="s">
        <v>1058</v>
      </c>
      <c r="P521" s="31" t="s">
        <v>2222</v>
      </c>
      <c r="Q521" s="32">
        <v>1900</v>
      </c>
      <c r="R521" s="48">
        <f>IFERROR(Q521/VLOOKUP(P521,'Exchange rates to USD'!$L$2:$N$225,3,FALSE),"")</f>
        <v>232.94528886325935</v>
      </c>
      <c r="U521" s="152"/>
      <c r="V521" s="152"/>
      <c r="W521" s="152"/>
    </row>
    <row r="522" spans="1:23" ht="13.25" customHeight="1" x14ac:dyDescent="0.25">
      <c r="A522" s="31" t="s">
        <v>1059</v>
      </c>
      <c r="B522" s="31" t="s">
        <v>649</v>
      </c>
      <c r="C522" s="31" t="s">
        <v>22</v>
      </c>
      <c r="D522" s="31" t="s">
        <v>13</v>
      </c>
      <c r="E522" s="31" t="s">
        <v>14</v>
      </c>
      <c r="F522" s="31" t="s">
        <v>1060</v>
      </c>
      <c r="G522" s="31" t="s">
        <v>3173</v>
      </c>
      <c r="H522" s="31" t="s">
        <v>25</v>
      </c>
      <c r="J522" s="31" t="s">
        <v>1061</v>
      </c>
      <c r="K522" s="31" t="s">
        <v>1062</v>
      </c>
      <c r="M522" s="31" t="s">
        <v>101</v>
      </c>
      <c r="N522" s="31" t="s">
        <v>1063</v>
      </c>
      <c r="O522" s="42" t="s">
        <v>1043</v>
      </c>
      <c r="P522" s="31" t="s">
        <v>2222</v>
      </c>
      <c r="Q522" s="32">
        <v>40</v>
      </c>
      <c r="R522" s="48">
        <f>IFERROR(Q522/VLOOKUP(P522,'Exchange rates to USD'!$L$2:$N$225,3,FALSE),"")</f>
        <v>4.90411134448967</v>
      </c>
      <c r="U522" s="152"/>
      <c r="V522" s="152"/>
      <c r="W522" s="152"/>
    </row>
    <row r="523" spans="1:23" ht="13" customHeight="1" x14ac:dyDescent="0.25">
      <c r="A523" s="31" t="s">
        <v>1064</v>
      </c>
      <c r="B523" s="31" t="s">
        <v>649</v>
      </c>
      <c r="C523" s="31" t="s">
        <v>22</v>
      </c>
      <c r="D523" s="31" t="s">
        <v>23</v>
      </c>
      <c r="E523" s="31" t="s">
        <v>3200</v>
      </c>
      <c r="F523" s="31" t="s">
        <v>1065</v>
      </c>
      <c r="G523" s="31" t="s">
        <v>3173</v>
      </c>
      <c r="J523" s="31" t="s">
        <v>1066</v>
      </c>
      <c r="K523" s="31" t="s">
        <v>1067</v>
      </c>
      <c r="M523" s="31" t="s">
        <v>113</v>
      </c>
      <c r="N523" s="31" t="s">
        <v>1068</v>
      </c>
      <c r="O523" s="42" t="s">
        <v>1043</v>
      </c>
      <c r="P523" s="31" t="s">
        <v>2222</v>
      </c>
      <c r="Q523" s="32">
        <v>700</v>
      </c>
      <c r="R523" s="48">
        <f>IFERROR(Q523/VLOOKUP(P523,'Exchange rates to USD'!$L$2:$N$225,3,FALSE),"")</f>
        <v>85.821948528569237</v>
      </c>
      <c r="U523" s="152"/>
      <c r="V523" s="152"/>
      <c r="W523" s="152"/>
    </row>
    <row r="524" spans="1:23" s="153" customFormat="1" ht="13.25" customHeight="1" x14ac:dyDescent="0.25">
      <c r="A524" s="153" t="s">
        <v>1069</v>
      </c>
      <c r="B524" s="153" t="s">
        <v>649</v>
      </c>
      <c r="C524" s="153" t="s">
        <v>22</v>
      </c>
      <c r="D524" s="153" t="s">
        <v>13</v>
      </c>
      <c r="E524" s="153" t="s">
        <v>258</v>
      </c>
      <c r="F524" s="153" t="s">
        <v>1070</v>
      </c>
      <c r="G524" s="153" t="s">
        <v>3173</v>
      </c>
      <c r="H524" s="153" t="s">
        <v>25</v>
      </c>
      <c r="J524" s="153" t="s">
        <v>1071</v>
      </c>
      <c r="K524" s="153" t="s">
        <v>1072</v>
      </c>
      <c r="M524" s="153" t="s">
        <v>113</v>
      </c>
      <c r="O524" s="43"/>
      <c r="P524" s="153" t="s">
        <v>2222</v>
      </c>
      <c r="Q524" s="49">
        <v>600</v>
      </c>
      <c r="R524" s="148">
        <f>IFERROR(Q524/VLOOKUP(P524,'Exchange rates to USD'!$L$2:$N$225,3,FALSE),"")</f>
        <v>73.561670167345056</v>
      </c>
    </row>
    <row r="525" spans="1:23" ht="13.25" customHeight="1" x14ac:dyDescent="0.25">
      <c r="A525" s="31" t="s">
        <v>771</v>
      </c>
      <c r="B525" s="31" t="s">
        <v>650</v>
      </c>
      <c r="C525" s="31" t="s">
        <v>2531</v>
      </c>
      <c r="D525" s="31" t="s">
        <v>23</v>
      </c>
      <c r="E525" s="31" t="s">
        <v>14</v>
      </c>
      <c r="G525" s="31" t="s">
        <v>3173</v>
      </c>
      <c r="H525" s="31" t="s">
        <v>25</v>
      </c>
      <c r="J525" s="31" t="s">
        <v>772</v>
      </c>
      <c r="K525" s="31" t="s">
        <v>1877</v>
      </c>
      <c r="M525" s="31" t="s">
        <v>101</v>
      </c>
      <c r="O525" s="42">
        <v>44154</v>
      </c>
      <c r="P525" s="13"/>
      <c r="Q525" s="21"/>
      <c r="R525" s="48" t="str">
        <f>IFERROR(Q525/VLOOKUP(P525,'Exchange rates to USD'!$L$2:$N$225,3,FALSE),"")</f>
        <v/>
      </c>
      <c r="U525" s="152"/>
      <c r="V525" s="152"/>
      <c r="W525" s="152"/>
    </row>
    <row r="526" spans="1:23" ht="13.25" customHeight="1" x14ac:dyDescent="0.25">
      <c r="A526" s="31" t="s">
        <v>2802</v>
      </c>
      <c r="B526" s="31" t="s">
        <v>650</v>
      </c>
      <c r="C526" s="31" t="s">
        <v>30</v>
      </c>
      <c r="D526" s="31" t="s">
        <v>23</v>
      </c>
      <c r="E526" s="31" t="s">
        <v>3200</v>
      </c>
      <c r="G526" s="31" t="s">
        <v>25</v>
      </c>
      <c r="H526" s="31" t="s">
        <v>3173</v>
      </c>
      <c r="J526" s="31" t="s">
        <v>773</v>
      </c>
      <c r="K526" s="130" t="s">
        <v>2798</v>
      </c>
      <c r="L526" s="116" t="s">
        <v>2799</v>
      </c>
      <c r="M526" s="31" t="s">
        <v>101</v>
      </c>
      <c r="N526" s="31" t="s">
        <v>2800</v>
      </c>
      <c r="O526" s="42">
        <v>44264</v>
      </c>
      <c r="P526" s="13"/>
      <c r="Q526" s="21"/>
      <c r="R526" s="48" t="str">
        <f>IFERROR(Q526/VLOOKUP(P526,'Exchange rates to USD'!$L$2:$N$225,3,FALSE),"")</f>
        <v/>
      </c>
      <c r="U526" s="152"/>
      <c r="V526" s="152"/>
      <c r="W526" s="152"/>
    </row>
    <row r="527" spans="1:23" ht="13.25" customHeight="1" x14ac:dyDescent="0.25">
      <c r="A527" s="31" t="s">
        <v>2803</v>
      </c>
      <c r="B527" s="31" t="s">
        <v>650</v>
      </c>
      <c r="C527" s="31" t="s">
        <v>30</v>
      </c>
      <c r="D527" s="31" t="s">
        <v>13</v>
      </c>
      <c r="E527" s="31" t="s">
        <v>619</v>
      </c>
      <c r="G527" s="31" t="s">
        <v>111</v>
      </c>
      <c r="J527" s="31" t="s">
        <v>774</v>
      </c>
      <c r="K527" s="31" t="s">
        <v>1878</v>
      </c>
      <c r="M527" s="31" t="s">
        <v>737</v>
      </c>
      <c r="O527" s="42">
        <v>44264</v>
      </c>
      <c r="P527" s="13"/>
      <c r="Q527" s="21"/>
      <c r="R527" s="48" t="str">
        <f>IFERROR(Q527/VLOOKUP(P527,'Exchange rates to USD'!$L$2:$N$225,3,FALSE),"")</f>
        <v/>
      </c>
      <c r="U527" s="152"/>
      <c r="V527" s="152"/>
      <c r="W527" s="152"/>
    </row>
    <row r="528" spans="1:23" ht="13.25" customHeight="1" x14ac:dyDescent="0.25">
      <c r="A528" s="31" t="s">
        <v>2804</v>
      </c>
      <c r="B528" s="31" t="s">
        <v>650</v>
      </c>
      <c r="C528" s="31" t="s">
        <v>22</v>
      </c>
      <c r="D528" s="31" t="s">
        <v>23</v>
      </c>
      <c r="E528" s="31" t="s">
        <v>3200</v>
      </c>
      <c r="F528" s="31" t="s">
        <v>698</v>
      </c>
      <c r="G528" s="31" t="s">
        <v>3173</v>
      </c>
      <c r="H528" s="31" t="s">
        <v>25</v>
      </c>
      <c r="I528" s="31" t="s">
        <v>44</v>
      </c>
      <c r="J528" s="31" t="s">
        <v>1073</v>
      </c>
      <c r="K528" s="31" t="s">
        <v>1879</v>
      </c>
      <c r="M528" s="31" t="s">
        <v>113</v>
      </c>
      <c r="O528" s="42">
        <v>44154</v>
      </c>
      <c r="P528" s="13"/>
      <c r="Q528" s="21"/>
      <c r="R528" s="48" t="str">
        <f>IFERROR(Q528/VLOOKUP(P528,'Exchange rates to USD'!$L$2:$N$225,3,FALSE),"")</f>
        <v/>
      </c>
      <c r="U528" s="152"/>
      <c r="V528" s="152"/>
      <c r="W528" s="152"/>
    </row>
    <row r="529" spans="1:23" ht="13.25" customHeight="1" x14ac:dyDescent="0.25">
      <c r="A529" s="31" t="s">
        <v>2805</v>
      </c>
      <c r="B529" s="31" t="s">
        <v>650</v>
      </c>
      <c r="C529" s="31" t="s">
        <v>22</v>
      </c>
      <c r="D529" s="31" t="s">
        <v>23</v>
      </c>
      <c r="E529" s="31" t="s">
        <v>3200</v>
      </c>
      <c r="F529" s="31" t="s">
        <v>775</v>
      </c>
      <c r="G529" s="31" t="s">
        <v>3173</v>
      </c>
      <c r="H529" s="31" t="s">
        <v>25</v>
      </c>
      <c r="I529" s="31" t="s">
        <v>44</v>
      </c>
      <c r="J529" s="31" t="s">
        <v>1074</v>
      </c>
      <c r="K529" s="31" t="s">
        <v>1880</v>
      </c>
      <c r="M529" s="31" t="s">
        <v>113</v>
      </c>
      <c r="O529" s="42">
        <v>44154</v>
      </c>
      <c r="P529" s="13" t="s">
        <v>669</v>
      </c>
      <c r="Q529" s="21">
        <v>68</v>
      </c>
      <c r="R529" s="48">
        <f>IFERROR(Q529/VLOOKUP(P529,'Exchange rates to USD'!$L$2:$N$225,3,FALSE),"")</f>
        <v>74.981487993044809</v>
      </c>
      <c r="U529" s="152"/>
      <c r="V529" s="152"/>
      <c r="W529" s="152"/>
    </row>
    <row r="530" spans="1:23" ht="13.25" customHeight="1" x14ac:dyDescent="0.25">
      <c r="A530" s="31" t="s">
        <v>2806</v>
      </c>
      <c r="B530" s="31" t="s">
        <v>650</v>
      </c>
      <c r="C530" s="31" t="s">
        <v>30</v>
      </c>
      <c r="D530" s="31" t="s">
        <v>13</v>
      </c>
      <c r="E530" s="31" t="s">
        <v>14</v>
      </c>
      <c r="G530" s="31" t="s">
        <v>3173</v>
      </c>
      <c r="H530" s="31" t="s">
        <v>25</v>
      </c>
      <c r="J530" s="31" t="s">
        <v>1881</v>
      </c>
      <c r="K530" s="31" t="s">
        <v>1333</v>
      </c>
      <c r="L530" s="31" t="s">
        <v>1882</v>
      </c>
      <c r="M530" s="31" t="s">
        <v>113</v>
      </c>
      <c r="O530" s="42">
        <v>44154</v>
      </c>
      <c r="P530" s="13"/>
      <c r="Q530" s="21"/>
      <c r="R530" s="48" t="str">
        <f>IFERROR(Q530/VLOOKUP(P530,'Exchange rates to USD'!$L$2:$N$225,3,FALSE),"")</f>
        <v/>
      </c>
      <c r="U530" s="152"/>
      <c r="V530" s="152"/>
      <c r="W530" s="152"/>
    </row>
    <row r="531" spans="1:23" ht="13.25" customHeight="1" x14ac:dyDescent="0.25">
      <c r="A531" s="31" t="s">
        <v>2807</v>
      </c>
      <c r="B531" s="31" t="s">
        <v>650</v>
      </c>
      <c r="C531" s="31" t="s">
        <v>30</v>
      </c>
      <c r="D531" s="31" t="s">
        <v>13</v>
      </c>
      <c r="E531" s="31" t="s">
        <v>14</v>
      </c>
      <c r="G531" s="31" t="s">
        <v>3173</v>
      </c>
      <c r="H531" s="31" t="s">
        <v>25</v>
      </c>
      <c r="J531" s="31" t="s">
        <v>1883</v>
      </c>
      <c r="K531" s="31" t="s">
        <v>1333</v>
      </c>
      <c r="L531" s="31" t="s">
        <v>1884</v>
      </c>
      <c r="M531" s="31" t="s">
        <v>737</v>
      </c>
      <c r="O531" s="42">
        <v>44154</v>
      </c>
      <c r="P531" s="13"/>
      <c r="Q531" s="21"/>
      <c r="R531" s="48" t="str">
        <f>IFERROR(Q531/VLOOKUP(P531,'Exchange rates to USD'!$L$2:$N$225,3,FALSE),"")</f>
        <v/>
      </c>
      <c r="U531" s="152"/>
      <c r="V531" s="152"/>
      <c r="W531" s="152"/>
    </row>
    <row r="532" spans="1:23" ht="13.25" customHeight="1" x14ac:dyDescent="0.25">
      <c r="A532" s="31" t="s">
        <v>2808</v>
      </c>
      <c r="B532" s="31" t="s">
        <v>650</v>
      </c>
      <c r="C532" s="31" t="s">
        <v>30</v>
      </c>
      <c r="D532" s="31" t="s">
        <v>13</v>
      </c>
      <c r="E532" s="31" t="s">
        <v>14</v>
      </c>
      <c r="G532" s="31" t="s">
        <v>3173</v>
      </c>
      <c r="J532" s="31" t="s">
        <v>1885</v>
      </c>
      <c r="K532" s="31" t="s">
        <v>1333</v>
      </c>
      <c r="L532" s="31" t="s">
        <v>1886</v>
      </c>
      <c r="M532" s="31" t="s">
        <v>101</v>
      </c>
      <c r="O532" s="42">
        <v>44154</v>
      </c>
      <c r="P532" s="13"/>
      <c r="Q532" s="21"/>
      <c r="R532" s="48" t="str">
        <f>IFERROR(Q532/VLOOKUP(P532,'Exchange rates to USD'!$L$2:$N$225,3,FALSE),"")</f>
        <v/>
      </c>
      <c r="U532" s="152"/>
      <c r="V532" s="152"/>
      <c r="W532" s="152"/>
    </row>
    <row r="533" spans="1:23" ht="13.25" customHeight="1" x14ac:dyDescent="0.25">
      <c r="A533" s="38" t="s">
        <v>2809</v>
      </c>
      <c r="B533" s="38" t="s">
        <v>650</v>
      </c>
      <c r="C533" s="38" t="s">
        <v>22</v>
      </c>
      <c r="D533" s="38" t="s">
        <v>13</v>
      </c>
      <c r="E533" s="38" t="s">
        <v>172</v>
      </c>
      <c r="F533" s="38"/>
      <c r="G533" s="38" t="s">
        <v>3173</v>
      </c>
      <c r="H533" s="38" t="s">
        <v>25</v>
      </c>
      <c r="I533" s="38"/>
      <c r="J533" s="38" t="s">
        <v>1887</v>
      </c>
      <c r="K533" s="38" t="s">
        <v>1333</v>
      </c>
      <c r="L533" s="38" t="s">
        <v>1888</v>
      </c>
      <c r="M533" s="38" t="s">
        <v>101</v>
      </c>
      <c r="N533" s="38"/>
      <c r="O533" s="45">
        <v>44154</v>
      </c>
      <c r="P533" s="62"/>
      <c r="Q533" s="63"/>
      <c r="R533" s="48" t="str">
        <f>IFERROR(Q533/VLOOKUP(P533,'Exchange rates to USD'!$L$2:$N$225,3,FALSE),"")</f>
        <v/>
      </c>
      <c r="U533" s="152"/>
      <c r="V533" s="152"/>
      <c r="W533" s="152"/>
    </row>
    <row r="534" spans="1:23" ht="13.25" customHeight="1" x14ac:dyDescent="0.25">
      <c r="A534" s="38" t="s">
        <v>2810</v>
      </c>
      <c r="B534" s="38" t="s">
        <v>650</v>
      </c>
      <c r="C534" s="38" t="s">
        <v>22</v>
      </c>
      <c r="D534" s="38" t="s">
        <v>13</v>
      </c>
      <c r="E534" s="38" t="s">
        <v>14</v>
      </c>
      <c r="F534" s="38" t="s">
        <v>1889</v>
      </c>
      <c r="G534" s="38" t="s">
        <v>3173</v>
      </c>
      <c r="H534" s="38" t="s">
        <v>25</v>
      </c>
      <c r="I534" s="38"/>
      <c r="J534" s="38" t="s">
        <v>1890</v>
      </c>
      <c r="K534" s="38" t="s">
        <v>1333</v>
      </c>
      <c r="L534" s="38" t="s">
        <v>1891</v>
      </c>
      <c r="M534" s="38" t="s">
        <v>737</v>
      </c>
      <c r="N534" s="38"/>
      <c r="O534" s="45">
        <v>44154</v>
      </c>
      <c r="P534" s="62" t="s">
        <v>1270</v>
      </c>
      <c r="Q534" s="63">
        <f>50/3.839375</f>
        <v>13.022952954582452</v>
      </c>
      <c r="R534" s="48">
        <f>IFERROR(Q534/VLOOKUP(P534,'Exchange rates to USD'!$L$2:$N$225,3,FALSE),"")</f>
        <v>13.022952954582452</v>
      </c>
      <c r="U534" s="152"/>
      <c r="V534" s="152"/>
      <c r="W534" s="152"/>
    </row>
    <row r="535" spans="1:23" ht="13.25" customHeight="1" x14ac:dyDescent="0.25">
      <c r="A535" s="38" t="s">
        <v>2801</v>
      </c>
      <c r="B535" s="38" t="s">
        <v>650</v>
      </c>
      <c r="C535" s="38" t="s">
        <v>2530</v>
      </c>
      <c r="D535" s="38" t="s">
        <v>23</v>
      </c>
      <c r="E535" s="38" t="s">
        <v>3200</v>
      </c>
      <c r="F535" s="203"/>
      <c r="G535" s="38" t="s">
        <v>25</v>
      </c>
      <c r="H535" s="38" t="s">
        <v>3173</v>
      </c>
      <c r="I535" s="38" t="s">
        <v>809</v>
      </c>
      <c r="J535" s="120" t="s">
        <v>3167</v>
      </c>
      <c r="K535" s="38" t="s">
        <v>2813</v>
      </c>
      <c r="L535" s="38" t="s">
        <v>2815</v>
      </c>
      <c r="M535" s="38" t="s">
        <v>737</v>
      </c>
      <c r="N535" s="38" t="s">
        <v>3168</v>
      </c>
      <c r="O535" s="42">
        <v>44264</v>
      </c>
      <c r="P535" s="62" t="s">
        <v>2328</v>
      </c>
      <c r="Q535" s="63">
        <v>1.7</v>
      </c>
      <c r="R535" s="89">
        <f>IFERROR(Q535/VLOOKUP(P535,'Exchange rates to USD'!$L$2:$N$225,3,FALSE),"")</f>
        <v>0.45258754958406322</v>
      </c>
      <c r="U535" s="152"/>
      <c r="V535" s="152"/>
      <c r="W535" s="152"/>
    </row>
    <row r="536" spans="1:23" ht="13.25" customHeight="1" x14ac:dyDescent="0.25">
      <c r="A536" s="31" t="s">
        <v>2811</v>
      </c>
      <c r="B536" s="31" t="s">
        <v>650</v>
      </c>
      <c r="C536" s="38" t="s">
        <v>2530</v>
      </c>
      <c r="D536" s="38" t="s">
        <v>23</v>
      </c>
      <c r="E536" s="38" t="s">
        <v>3200</v>
      </c>
      <c r="F536" s="38" t="s">
        <v>2816</v>
      </c>
      <c r="G536" s="38" t="s">
        <v>25</v>
      </c>
      <c r="H536" s="38" t="s">
        <v>809</v>
      </c>
      <c r="I536" s="38" t="s">
        <v>3173</v>
      </c>
      <c r="J536" s="120" t="s">
        <v>3170</v>
      </c>
      <c r="K536" s="125" t="s">
        <v>2817</v>
      </c>
      <c r="L536" s="38"/>
      <c r="M536" s="38" t="s">
        <v>113</v>
      </c>
      <c r="N536" s="38" t="s">
        <v>3169</v>
      </c>
      <c r="O536" s="42">
        <v>44264</v>
      </c>
      <c r="P536" s="62" t="s">
        <v>2328</v>
      </c>
      <c r="Q536" s="63">
        <v>2.2000000000000002</v>
      </c>
      <c r="R536" s="89">
        <f>IFERROR(Q536/VLOOKUP(P536,'Exchange rates to USD'!$L$2:$N$225,3,FALSE),"")</f>
        <v>0.58570153475584663</v>
      </c>
      <c r="U536" s="152"/>
      <c r="V536" s="152"/>
      <c r="W536" s="152"/>
    </row>
    <row r="537" spans="1:23" ht="13.25" customHeight="1" x14ac:dyDescent="0.25">
      <c r="A537" s="31" t="s">
        <v>2812</v>
      </c>
      <c r="B537" s="31" t="s">
        <v>650</v>
      </c>
      <c r="C537" s="38" t="s">
        <v>84</v>
      </c>
      <c r="D537" s="38" t="s">
        <v>39</v>
      </c>
      <c r="E537" s="38" t="s">
        <v>3200</v>
      </c>
      <c r="F537" s="38" t="s">
        <v>2818</v>
      </c>
      <c r="G537" s="38" t="s">
        <v>809</v>
      </c>
      <c r="H537" s="38" t="s">
        <v>3173</v>
      </c>
      <c r="I537" s="38" t="s">
        <v>25</v>
      </c>
      <c r="J537" s="120" t="s">
        <v>3171</v>
      </c>
      <c r="K537" s="38" t="s">
        <v>2813</v>
      </c>
      <c r="L537" s="101" t="s">
        <v>2814</v>
      </c>
      <c r="M537" s="38" t="s">
        <v>113</v>
      </c>
      <c r="N537" s="38"/>
      <c r="O537" s="42">
        <v>44264</v>
      </c>
      <c r="P537" s="62" t="s">
        <v>2328</v>
      </c>
      <c r="Q537" s="63">
        <v>2</v>
      </c>
      <c r="R537" s="89">
        <f>IFERROR(Q537/VLOOKUP(P537,'Exchange rates to USD'!$L$2:$N$225,3,FALSE),"")</f>
        <v>0.5324559406871332</v>
      </c>
      <c r="U537" s="152"/>
      <c r="V537" s="152"/>
      <c r="W537" s="152"/>
    </row>
    <row r="538" spans="1:23" ht="13.25" customHeight="1" x14ac:dyDescent="0.25">
      <c r="A538" s="38" t="s">
        <v>2819</v>
      </c>
      <c r="B538" s="38" t="s">
        <v>650</v>
      </c>
      <c r="C538" s="38" t="s">
        <v>84</v>
      </c>
      <c r="D538" s="38" t="s">
        <v>39</v>
      </c>
      <c r="E538" s="38" t="s">
        <v>3200</v>
      </c>
      <c r="F538" s="38" t="s">
        <v>2828</v>
      </c>
      <c r="G538" s="38" t="s">
        <v>809</v>
      </c>
      <c r="H538" s="38" t="s">
        <v>3173</v>
      </c>
      <c r="I538" s="38" t="s">
        <v>25</v>
      </c>
      <c r="J538" s="120" t="s">
        <v>2829</v>
      </c>
      <c r="K538" s="38" t="s">
        <v>2813</v>
      </c>
      <c r="M538" s="38" t="s">
        <v>113</v>
      </c>
      <c r="N538" s="38"/>
      <c r="O538" s="42">
        <v>44264</v>
      </c>
      <c r="P538" s="62" t="s">
        <v>2328</v>
      </c>
      <c r="Q538" s="63">
        <v>3.6</v>
      </c>
      <c r="R538" s="89">
        <f>IFERROR(Q538/VLOOKUP(P538,'Exchange rates to USD'!$L$2:$N$225,3,FALSE),"")</f>
        <v>0.95842069323683976</v>
      </c>
      <c r="U538" s="152"/>
      <c r="V538" s="152"/>
      <c r="W538" s="152"/>
    </row>
    <row r="539" spans="1:23" ht="13.25" customHeight="1" x14ac:dyDescent="0.25">
      <c r="A539" s="38" t="s">
        <v>2820</v>
      </c>
      <c r="B539" s="38" t="s">
        <v>650</v>
      </c>
      <c r="C539" s="38" t="s">
        <v>84</v>
      </c>
      <c r="D539" s="38" t="s">
        <v>39</v>
      </c>
      <c r="E539" s="38" t="s">
        <v>3200</v>
      </c>
      <c r="F539" s="38" t="s">
        <v>2831</v>
      </c>
      <c r="G539" s="38" t="s">
        <v>809</v>
      </c>
      <c r="H539" s="38" t="s">
        <v>3173</v>
      </c>
      <c r="I539" s="38" t="s">
        <v>25</v>
      </c>
      <c r="J539" s="120" t="s">
        <v>2832</v>
      </c>
      <c r="K539" s="38" t="s">
        <v>2813</v>
      </c>
      <c r="L539" s="101" t="s">
        <v>2830</v>
      </c>
      <c r="M539" s="38" t="s">
        <v>113</v>
      </c>
      <c r="N539" s="38"/>
      <c r="O539" s="42">
        <v>44264</v>
      </c>
      <c r="P539" s="62" t="s">
        <v>2328</v>
      </c>
      <c r="Q539" s="63">
        <v>0.5</v>
      </c>
      <c r="R539" s="89">
        <f>IFERROR(Q539/VLOOKUP(P539,'Exchange rates to USD'!$L$2:$N$225,3,FALSE),"")</f>
        <v>0.1331139851717833</v>
      </c>
      <c r="U539" s="152"/>
      <c r="V539" s="152"/>
      <c r="W539" s="152"/>
    </row>
    <row r="540" spans="1:23" ht="13.25" customHeight="1" x14ac:dyDescent="0.25">
      <c r="A540" s="31" t="s">
        <v>2821</v>
      </c>
      <c r="B540" s="31" t="s">
        <v>650</v>
      </c>
      <c r="C540" s="38" t="s">
        <v>110</v>
      </c>
      <c r="D540" s="38" t="s">
        <v>872</v>
      </c>
      <c r="E540" s="38"/>
      <c r="F540" s="38" t="s">
        <v>2833</v>
      </c>
      <c r="G540" s="38" t="s">
        <v>809</v>
      </c>
      <c r="H540" s="38" t="s">
        <v>3173</v>
      </c>
      <c r="I540" s="38" t="s">
        <v>25</v>
      </c>
      <c r="J540" s="120" t="s">
        <v>2834</v>
      </c>
      <c r="K540" s="38" t="s">
        <v>2813</v>
      </c>
      <c r="L540" s="101"/>
      <c r="M540" s="38" t="s">
        <v>113</v>
      </c>
      <c r="N540" s="38"/>
      <c r="O540" s="42">
        <v>44264</v>
      </c>
      <c r="P540" s="62" t="s">
        <v>2328</v>
      </c>
      <c r="Q540" s="63">
        <v>304</v>
      </c>
      <c r="R540" s="89">
        <f>IFERROR(Q540/VLOOKUP(P540,'Exchange rates to USD'!$L$2:$N$225,3,FALSE),"")</f>
        <v>80.933302984444254</v>
      </c>
      <c r="U540" s="152"/>
      <c r="V540" s="152"/>
      <c r="W540" s="152"/>
    </row>
    <row r="541" spans="1:23" ht="13.25" customHeight="1" x14ac:dyDescent="0.25">
      <c r="A541" s="31" t="s">
        <v>2822</v>
      </c>
      <c r="B541" s="31" t="s">
        <v>650</v>
      </c>
      <c r="C541" s="38" t="s">
        <v>2530</v>
      </c>
      <c r="D541" s="38" t="s">
        <v>872</v>
      </c>
      <c r="E541" s="38"/>
      <c r="F541" s="38" t="s">
        <v>2835</v>
      </c>
      <c r="G541" s="38" t="s">
        <v>3173</v>
      </c>
      <c r="H541" s="38" t="s">
        <v>809</v>
      </c>
      <c r="I541" s="38" t="s">
        <v>25</v>
      </c>
      <c r="J541" s="120" t="s">
        <v>2836</v>
      </c>
      <c r="K541" s="38" t="s">
        <v>2813</v>
      </c>
      <c r="L541" s="101"/>
      <c r="M541" s="38" t="s">
        <v>113</v>
      </c>
      <c r="N541" s="38"/>
      <c r="O541" s="42">
        <v>44264</v>
      </c>
      <c r="P541" s="62" t="s">
        <v>2328</v>
      </c>
      <c r="Q541" s="63">
        <v>1.5</v>
      </c>
      <c r="R541" s="89">
        <f>IFERROR(Q541/VLOOKUP(P541,'Exchange rates to USD'!$L$2:$N$225,3,FALSE),"")</f>
        <v>0.3993419555153499</v>
      </c>
      <c r="U541" s="152"/>
      <c r="V541" s="152"/>
      <c r="W541" s="152"/>
    </row>
    <row r="542" spans="1:23" ht="13.25" customHeight="1" x14ac:dyDescent="0.25">
      <c r="A542" s="38" t="s">
        <v>2823</v>
      </c>
      <c r="B542" s="38" t="s">
        <v>650</v>
      </c>
      <c r="C542" s="38" t="s">
        <v>22</v>
      </c>
      <c r="D542" s="38" t="s">
        <v>23</v>
      </c>
      <c r="E542" s="38" t="s">
        <v>3200</v>
      </c>
      <c r="F542" s="38" t="s">
        <v>2850</v>
      </c>
      <c r="G542" s="38" t="s">
        <v>3173</v>
      </c>
      <c r="H542" s="38" t="s">
        <v>25</v>
      </c>
      <c r="I542" s="38" t="s">
        <v>44</v>
      </c>
      <c r="J542" s="124" t="s">
        <v>2837</v>
      </c>
      <c r="K542" s="125" t="s">
        <v>2840</v>
      </c>
      <c r="L542" s="101"/>
      <c r="M542" s="38" t="s">
        <v>737</v>
      </c>
      <c r="N542" s="38"/>
      <c r="O542" s="42">
        <v>44264</v>
      </c>
      <c r="P542" s="62" t="s">
        <v>669</v>
      </c>
      <c r="Q542" s="63">
        <v>1770</v>
      </c>
      <c r="R542" s="48">
        <f>IFERROR(Q542/VLOOKUP(P542,'Exchange rates to USD'!$L$2:$N$225,3,FALSE),"")</f>
        <v>1951.7240257013132</v>
      </c>
      <c r="U542" s="152"/>
      <c r="V542" s="152"/>
      <c r="W542" s="152"/>
    </row>
    <row r="543" spans="1:23" ht="13.25" customHeight="1" x14ac:dyDescent="0.25">
      <c r="A543" s="31" t="s">
        <v>2824</v>
      </c>
      <c r="B543" s="31" t="s">
        <v>650</v>
      </c>
      <c r="C543" s="38" t="s">
        <v>30</v>
      </c>
      <c r="D543" s="38" t="s">
        <v>13</v>
      </c>
      <c r="E543" s="38" t="s">
        <v>14</v>
      </c>
      <c r="G543" s="38" t="s">
        <v>3173</v>
      </c>
      <c r="H543" s="38" t="s">
        <v>25</v>
      </c>
      <c r="I543" s="38"/>
      <c r="J543" s="121" t="s">
        <v>2838</v>
      </c>
      <c r="K543" s="125" t="s">
        <v>2841</v>
      </c>
      <c r="M543" s="38" t="s">
        <v>113</v>
      </c>
      <c r="N543" s="38"/>
      <c r="O543" s="42">
        <v>44264</v>
      </c>
      <c r="P543" s="62"/>
      <c r="Q543" s="63"/>
      <c r="R543" s="48"/>
      <c r="U543" s="152"/>
      <c r="V543" s="152"/>
      <c r="W543" s="152"/>
    </row>
    <row r="544" spans="1:23" ht="13.25" customHeight="1" x14ac:dyDescent="0.25">
      <c r="A544" s="31" t="s">
        <v>2825</v>
      </c>
      <c r="B544" s="31" t="s">
        <v>650</v>
      </c>
      <c r="C544" s="38" t="s">
        <v>22</v>
      </c>
      <c r="D544" s="38" t="s">
        <v>13</v>
      </c>
      <c r="E544" s="38" t="s">
        <v>14</v>
      </c>
      <c r="F544" s="38" t="s">
        <v>2843</v>
      </c>
      <c r="G544" s="38" t="s">
        <v>3173</v>
      </c>
      <c r="H544" s="38" t="s">
        <v>25</v>
      </c>
      <c r="I544" s="38"/>
      <c r="J544" s="122" t="s">
        <v>2844</v>
      </c>
      <c r="K544" s="125" t="s">
        <v>2842</v>
      </c>
      <c r="M544" s="38" t="s">
        <v>113</v>
      </c>
      <c r="N544" s="38"/>
      <c r="O544" s="42">
        <v>44264</v>
      </c>
      <c r="P544" s="62" t="s">
        <v>2328</v>
      </c>
      <c r="Q544" s="63">
        <v>1</v>
      </c>
      <c r="R544" s="48">
        <f>IFERROR(Q544/VLOOKUP(P544,'Exchange rates to USD'!$L$2:$N$225,3,FALSE),"")</f>
        <v>0.2662279703435666</v>
      </c>
      <c r="U544" s="152"/>
      <c r="V544" s="152"/>
      <c r="W544" s="152"/>
    </row>
    <row r="545" spans="1:23" ht="13.25" customHeight="1" x14ac:dyDescent="0.25">
      <c r="A545" s="38" t="s">
        <v>2826</v>
      </c>
      <c r="B545" s="38" t="s">
        <v>650</v>
      </c>
      <c r="C545" s="38" t="s">
        <v>30</v>
      </c>
      <c r="D545" s="38" t="s">
        <v>13</v>
      </c>
      <c r="E545" s="38" t="s">
        <v>14</v>
      </c>
      <c r="F545" s="38"/>
      <c r="G545" s="38" t="s">
        <v>3173</v>
      </c>
      <c r="H545" s="38" t="s">
        <v>25</v>
      </c>
      <c r="I545" s="38"/>
      <c r="J545" s="123" t="s">
        <v>2845</v>
      </c>
      <c r="K545" s="126" t="s">
        <v>2846</v>
      </c>
      <c r="L545" s="127" t="s">
        <v>2847</v>
      </c>
      <c r="M545" s="38" t="s">
        <v>113</v>
      </c>
      <c r="N545" s="38"/>
      <c r="O545" s="42">
        <v>44264</v>
      </c>
      <c r="P545" s="62"/>
      <c r="Q545" s="63"/>
      <c r="R545" s="48"/>
      <c r="U545" s="152"/>
      <c r="V545" s="152"/>
      <c r="W545" s="152"/>
    </row>
    <row r="546" spans="1:23" ht="13.25" customHeight="1" x14ac:dyDescent="0.25">
      <c r="A546" s="34" t="s">
        <v>2827</v>
      </c>
      <c r="B546" s="34" t="s">
        <v>650</v>
      </c>
      <c r="C546" s="34" t="s">
        <v>2530</v>
      </c>
      <c r="D546" s="34" t="s">
        <v>23</v>
      </c>
      <c r="E546" s="34" t="s">
        <v>3200</v>
      </c>
      <c r="F546" s="34"/>
      <c r="G546" s="34" t="s">
        <v>3173</v>
      </c>
      <c r="H546" s="34" t="s">
        <v>25</v>
      </c>
      <c r="I546" s="34"/>
      <c r="J546" s="129" t="s">
        <v>2839</v>
      </c>
      <c r="K546" s="128" t="s">
        <v>2848</v>
      </c>
      <c r="L546" s="129" t="s">
        <v>2849</v>
      </c>
      <c r="M546" s="204" t="s">
        <v>113</v>
      </c>
      <c r="N546" s="34"/>
      <c r="O546" s="43">
        <v>44106</v>
      </c>
      <c r="P546" s="55"/>
      <c r="Q546" s="61"/>
      <c r="R546" s="22"/>
      <c r="U546" s="152"/>
      <c r="V546" s="152"/>
      <c r="W546" s="152"/>
    </row>
    <row r="547" spans="1:23" ht="13.25" customHeight="1" x14ac:dyDescent="0.25">
      <c r="A547" s="31" t="s">
        <v>238</v>
      </c>
      <c r="B547" s="31" t="s">
        <v>651</v>
      </c>
      <c r="C547" s="31" t="s">
        <v>2530</v>
      </c>
      <c r="D547" s="31" t="s">
        <v>39</v>
      </c>
      <c r="E547" s="31" t="s">
        <v>36</v>
      </c>
      <c r="G547" s="31" t="s">
        <v>3173</v>
      </c>
      <c r="J547" s="31" t="s">
        <v>239</v>
      </c>
      <c r="M547" s="31" t="s">
        <v>113</v>
      </c>
      <c r="R547" s="48" t="str">
        <f>IFERROR(Q547/VLOOKUP(P547,'Exchange rates to USD'!$L$2:$N$225,3,FALSE),"")</f>
        <v/>
      </c>
      <c r="U547" s="152"/>
      <c r="V547" s="152"/>
      <c r="W547" s="152"/>
    </row>
    <row r="548" spans="1:23" ht="13.25" customHeight="1" x14ac:dyDescent="0.25">
      <c r="A548" s="31" t="s">
        <v>240</v>
      </c>
      <c r="B548" s="31" t="s">
        <v>651</v>
      </c>
      <c r="C548" s="31" t="s">
        <v>2530</v>
      </c>
      <c r="D548" s="31" t="s">
        <v>39</v>
      </c>
      <c r="E548" s="31" t="s">
        <v>172</v>
      </c>
      <c r="G548" s="31" t="s">
        <v>3173</v>
      </c>
      <c r="J548" s="31" t="s">
        <v>241</v>
      </c>
      <c r="M548" s="31" t="s">
        <v>871</v>
      </c>
      <c r="R548" s="48" t="str">
        <f>IFERROR(Q548/VLOOKUP(P548,'Exchange rates to USD'!$L$2:$N$225,3,FALSE),"")</f>
        <v/>
      </c>
      <c r="U548" s="152"/>
      <c r="V548" s="152"/>
      <c r="W548" s="152"/>
    </row>
    <row r="549" spans="1:23" ht="13.25" customHeight="1" x14ac:dyDescent="0.25">
      <c r="A549" s="31" t="s">
        <v>242</v>
      </c>
      <c r="B549" s="31" t="s">
        <v>651</v>
      </c>
      <c r="C549" s="31" t="s">
        <v>2530</v>
      </c>
      <c r="D549" s="31" t="s">
        <v>23</v>
      </c>
      <c r="E549" s="31" t="s">
        <v>3200</v>
      </c>
      <c r="G549" s="31" t="s">
        <v>3173</v>
      </c>
      <c r="H549" s="31" t="s">
        <v>111</v>
      </c>
      <c r="J549" s="31" t="s">
        <v>243</v>
      </c>
      <c r="M549" s="31" t="s">
        <v>113</v>
      </c>
      <c r="R549" s="48" t="str">
        <f>IFERROR(Q549/VLOOKUP(P549,'Exchange rates to USD'!$L$2:$N$225,3,FALSE),"")</f>
        <v/>
      </c>
      <c r="U549" s="152"/>
      <c r="V549" s="152"/>
      <c r="W549" s="152"/>
    </row>
    <row r="550" spans="1:23" ht="13.25" customHeight="1" x14ac:dyDescent="0.25">
      <c r="A550" s="31" t="s">
        <v>244</v>
      </c>
      <c r="B550" s="31" t="s">
        <v>651</v>
      </c>
      <c r="C550" s="31" t="s">
        <v>2530</v>
      </c>
      <c r="D550" s="31" t="s">
        <v>23</v>
      </c>
      <c r="E550" s="31" t="s">
        <v>3200</v>
      </c>
      <c r="G550" s="31" t="s">
        <v>41</v>
      </c>
      <c r="H550" s="31" t="s">
        <v>670</v>
      </c>
      <c r="J550" s="31" t="s">
        <v>246</v>
      </c>
      <c r="K550" s="31" t="s">
        <v>1892</v>
      </c>
      <c r="M550" s="31" t="s">
        <v>113</v>
      </c>
      <c r="R550" s="48" t="str">
        <f>IFERROR(Q550/VLOOKUP(P550,'Exchange rates to USD'!$L$2:$N$225,3,FALSE),"")</f>
        <v/>
      </c>
      <c r="U550" s="152"/>
      <c r="V550" s="152"/>
      <c r="W550" s="152"/>
    </row>
    <row r="551" spans="1:23" ht="13.25" customHeight="1" x14ac:dyDescent="0.25">
      <c r="A551" s="31" t="s">
        <v>245</v>
      </c>
      <c r="B551" s="31" t="s">
        <v>651</v>
      </c>
      <c r="C551" s="31" t="s">
        <v>2530</v>
      </c>
      <c r="D551" s="31" t="s">
        <v>13</v>
      </c>
      <c r="E551" s="31" t="s">
        <v>98</v>
      </c>
      <c r="G551" s="31" t="s">
        <v>3173</v>
      </c>
      <c r="J551" s="31" t="s">
        <v>248</v>
      </c>
      <c r="K551" s="31" t="s">
        <v>1892</v>
      </c>
      <c r="M551" s="31" t="s">
        <v>871</v>
      </c>
      <c r="R551" s="48" t="str">
        <f>IFERROR(Q551/VLOOKUP(P551,'Exchange rates to USD'!$L$2:$N$225,3,FALSE),"")</f>
        <v/>
      </c>
      <c r="U551" s="152"/>
      <c r="V551" s="152"/>
      <c r="W551" s="152"/>
    </row>
    <row r="552" spans="1:23" ht="13.25" customHeight="1" x14ac:dyDescent="0.25">
      <c r="A552" s="31" t="s">
        <v>247</v>
      </c>
      <c r="B552" s="31" t="s">
        <v>651</v>
      </c>
      <c r="C552" s="31" t="s">
        <v>22</v>
      </c>
      <c r="D552" s="31" t="s">
        <v>39</v>
      </c>
      <c r="E552" s="31" t="s">
        <v>3200</v>
      </c>
      <c r="F552" s="31" t="s">
        <v>1894</v>
      </c>
      <c r="G552" s="31" t="s">
        <v>670</v>
      </c>
      <c r="H552" s="31" t="s">
        <v>111</v>
      </c>
      <c r="J552" s="31" t="s">
        <v>1895</v>
      </c>
      <c r="K552" s="31" t="s">
        <v>1892</v>
      </c>
      <c r="M552" s="31" t="s">
        <v>113</v>
      </c>
      <c r="O552" s="42">
        <v>44144</v>
      </c>
      <c r="P552" s="31" t="s">
        <v>669</v>
      </c>
      <c r="Q552" s="32">
        <v>140</v>
      </c>
      <c r="R552" s="48">
        <f>IFERROR(Q552/VLOOKUP(P552,'Exchange rates to USD'!$L$2:$N$225,3,FALSE),"")</f>
        <v>154.37365175038636</v>
      </c>
      <c r="U552" s="152"/>
      <c r="V552" s="152"/>
      <c r="W552" s="152"/>
    </row>
    <row r="553" spans="1:23" ht="13.25" customHeight="1" x14ac:dyDescent="0.25">
      <c r="A553" s="31" t="s">
        <v>1893</v>
      </c>
      <c r="B553" s="31" t="s">
        <v>651</v>
      </c>
      <c r="C553" s="31" t="s">
        <v>2531</v>
      </c>
      <c r="D553" s="31" t="s">
        <v>23</v>
      </c>
      <c r="E553" s="31" t="s">
        <v>3200</v>
      </c>
      <c r="F553" s="31" t="s">
        <v>1897</v>
      </c>
      <c r="G553" s="31" t="s">
        <v>670</v>
      </c>
      <c r="J553" s="31" t="s">
        <v>1898</v>
      </c>
      <c r="K553" s="31" t="s">
        <v>1892</v>
      </c>
      <c r="M553" s="31" t="s">
        <v>113</v>
      </c>
      <c r="P553" s="31" t="s">
        <v>669</v>
      </c>
      <c r="Q553" s="32">
        <v>480</v>
      </c>
      <c r="R553" s="48">
        <f>IFERROR(Q553/VLOOKUP(P553,'Exchange rates to USD'!$L$2:$N$225,3,FALSE),"")</f>
        <v>529.28109171561039</v>
      </c>
      <c r="U553" s="152"/>
      <c r="V553" s="152"/>
      <c r="W553" s="152"/>
    </row>
    <row r="554" spans="1:23" ht="13.25" customHeight="1" x14ac:dyDescent="0.25">
      <c r="A554" s="31" t="s">
        <v>1896</v>
      </c>
      <c r="B554" s="31" t="s">
        <v>651</v>
      </c>
      <c r="C554" s="31" t="s">
        <v>2531</v>
      </c>
      <c r="D554" s="31" t="s">
        <v>23</v>
      </c>
      <c r="E554" s="31" t="s">
        <v>3200</v>
      </c>
      <c r="F554" s="31" t="s">
        <v>1900</v>
      </c>
      <c r="G554" s="31" t="s">
        <v>670</v>
      </c>
      <c r="J554" s="31" t="s">
        <v>1901</v>
      </c>
      <c r="K554" s="31" t="s">
        <v>1892</v>
      </c>
      <c r="M554" s="31" t="s">
        <v>113</v>
      </c>
      <c r="P554" s="31" t="s">
        <v>669</v>
      </c>
      <c r="Q554" s="32">
        <v>724</v>
      </c>
      <c r="R554" s="48">
        <f>IFERROR(Q554/VLOOKUP(P554,'Exchange rates to USD'!$L$2:$N$225,3,FALSE),"")</f>
        <v>798.33231333771232</v>
      </c>
      <c r="U554" s="152"/>
      <c r="V554" s="152"/>
      <c r="W554" s="152"/>
    </row>
    <row r="555" spans="1:23" ht="13.25" customHeight="1" x14ac:dyDescent="0.25">
      <c r="A555" s="31" t="s">
        <v>1899</v>
      </c>
      <c r="B555" s="31" t="s">
        <v>651</v>
      </c>
      <c r="C555" s="31" t="s">
        <v>2531</v>
      </c>
      <c r="D555" s="31" t="s">
        <v>23</v>
      </c>
      <c r="E555" s="31" t="s">
        <v>3200</v>
      </c>
      <c r="F555" s="31" t="s">
        <v>1903</v>
      </c>
      <c r="G555" s="31" t="s">
        <v>670</v>
      </c>
      <c r="J555" s="31" t="s">
        <v>1904</v>
      </c>
      <c r="K555" s="31" t="s">
        <v>1892</v>
      </c>
      <c r="M555" s="31" t="s">
        <v>113</v>
      </c>
      <c r="P555" s="31" t="s">
        <v>669</v>
      </c>
      <c r="Q555" s="32">
        <v>109</v>
      </c>
      <c r="R555" s="48">
        <f>IFERROR(Q555/VLOOKUP(P555,'Exchange rates to USD'!$L$2:$N$225,3,FALSE),"")</f>
        <v>120.19091457708652</v>
      </c>
      <c r="U555" s="152"/>
      <c r="V555" s="152"/>
      <c r="W555" s="152"/>
    </row>
    <row r="556" spans="1:23" ht="13.25" customHeight="1" x14ac:dyDescent="0.25">
      <c r="A556" s="31" t="s">
        <v>1902</v>
      </c>
      <c r="B556" s="31" t="s">
        <v>651</v>
      </c>
      <c r="C556" s="31" t="s">
        <v>2531</v>
      </c>
      <c r="D556" s="31" t="s">
        <v>23</v>
      </c>
      <c r="E556" s="31" t="s">
        <v>3200</v>
      </c>
      <c r="F556" s="31" t="s">
        <v>1906</v>
      </c>
      <c r="G556" s="31" t="s">
        <v>670</v>
      </c>
      <c r="H556" s="31" t="s">
        <v>3173</v>
      </c>
      <c r="I556" s="31" t="s">
        <v>25</v>
      </c>
      <c r="J556" s="31" t="s">
        <v>1907</v>
      </c>
      <c r="K556" s="31" t="s">
        <v>1892</v>
      </c>
      <c r="M556" s="31" t="s">
        <v>113</v>
      </c>
      <c r="P556" s="31" t="s">
        <v>669</v>
      </c>
      <c r="Q556" s="32">
        <v>204</v>
      </c>
      <c r="R556" s="48">
        <f>IFERROR(Q556/VLOOKUP(P556,'Exchange rates to USD'!$L$2:$N$225,3,FALSE),"")</f>
        <v>224.94446397913441</v>
      </c>
      <c r="U556" s="152"/>
      <c r="V556" s="152"/>
      <c r="W556" s="152"/>
    </row>
    <row r="557" spans="1:23" ht="13.25" customHeight="1" x14ac:dyDescent="0.25">
      <c r="A557" s="31" t="s">
        <v>1905</v>
      </c>
      <c r="B557" s="31" t="s">
        <v>651</v>
      </c>
      <c r="C557" s="31" t="s">
        <v>22</v>
      </c>
      <c r="D557" s="31" t="s">
        <v>13</v>
      </c>
      <c r="E557" s="31" t="s">
        <v>3200</v>
      </c>
      <c r="F557" s="31" t="s">
        <v>1909</v>
      </c>
      <c r="G557" s="31" t="s">
        <v>670</v>
      </c>
      <c r="H557" s="31" t="s">
        <v>3173</v>
      </c>
      <c r="J557" s="31" t="s">
        <v>1910</v>
      </c>
      <c r="K557" s="31" t="s">
        <v>1892</v>
      </c>
      <c r="L557" s="152"/>
      <c r="M557" s="31" t="s">
        <v>113</v>
      </c>
      <c r="P557" s="31" t="s">
        <v>669</v>
      </c>
      <c r="Q557" s="32">
        <v>130</v>
      </c>
      <c r="R557" s="48">
        <f>IFERROR(Q557/VLOOKUP(P557,'Exchange rates to USD'!$L$2:$N$225,3,FALSE),"")</f>
        <v>143.34696233964448</v>
      </c>
      <c r="U557" s="152"/>
      <c r="V557" s="152"/>
      <c r="W557" s="152"/>
    </row>
    <row r="558" spans="1:23" ht="13.25" customHeight="1" x14ac:dyDescent="0.25">
      <c r="A558" s="31" t="s">
        <v>1908</v>
      </c>
      <c r="B558" s="31" t="s">
        <v>651</v>
      </c>
      <c r="C558" s="31" t="s">
        <v>22</v>
      </c>
      <c r="D558" s="31" t="s">
        <v>13</v>
      </c>
      <c r="E558" s="31" t="s">
        <v>3200</v>
      </c>
      <c r="F558" s="31" t="s">
        <v>1912</v>
      </c>
      <c r="G558" s="31" t="s">
        <v>670</v>
      </c>
      <c r="H558" s="31" t="s">
        <v>809</v>
      </c>
      <c r="J558" s="31" t="s">
        <v>1913</v>
      </c>
      <c r="K558" s="31" t="s">
        <v>1892</v>
      </c>
      <c r="L558" s="152"/>
      <c r="M558" s="31" t="s">
        <v>737</v>
      </c>
      <c r="P558" s="31" t="s">
        <v>669</v>
      </c>
      <c r="Q558" s="32">
        <v>580</v>
      </c>
      <c r="R558" s="48">
        <f>IFERROR(Q558/VLOOKUP(P558,'Exchange rates to USD'!$L$2:$N$225,3,FALSE),"")</f>
        <v>639.54798582302919</v>
      </c>
      <c r="U558" s="152"/>
      <c r="V558" s="152"/>
      <c r="W558" s="152"/>
    </row>
    <row r="559" spans="1:23" ht="15.65" customHeight="1" x14ac:dyDescent="0.25">
      <c r="A559" s="31" t="s">
        <v>1911</v>
      </c>
      <c r="B559" s="31" t="s">
        <v>651</v>
      </c>
      <c r="C559" s="31" t="s">
        <v>22</v>
      </c>
      <c r="D559" s="31" t="s">
        <v>13</v>
      </c>
      <c r="E559" s="31" t="s">
        <v>3200</v>
      </c>
      <c r="F559" s="31" t="s">
        <v>1915</v>
      </c>
      <c r="G559" s="31" t="s">
        <v>670</v>
      </c>
      <c r="H559" s="31" t="s">
        <v>809</v>
      </c>
      <c r="J559" s="31" t="s">
        <v>1916</v>
      </c>
      <c r="K559" s="31" t="s">
        <v>1892</v>
      </c>
      <c r="L559" s="152"/>
      <c r="M559" s="31" t="s">
        <v>113</v>
      </c>
      <c r="P559" s="31" t="s">
        <v>669</v>
      </c>
      <c r="Q559" s="32">
        <v>600</v>
      </c>
      <c r="R559" s="48">
        <f>IFERROR(Q559/VLOOKUP(P559,'Exchange rates to USD'!$L$2:$N$225,3,FALSE),"")</f>
        <v>661.60136464451296</v>
      </c>
      <c r="U559" s="152"/>
      <c r="V559" s="152"/>
      <c r="W559" s="152"/>
    </row>
    <row r="560" spans="1:23" ht="13.25" customHeight="1" x14ac:dyDescent="0.25">
      <c r="A560" s="31" t="s">
        <v>1914</v>
      </c>
      <c r="B560" s="31" t="s">
        <v>651</v>
      </c>
      <c r="C560" s="31" t="s">
        <v>110</v>
      </c>
      <c r="D560" s="31" t="s">
        <v>13</v>
      </c>
      <c r="E560" s="31" t="s">
        <v>3200</v>
      </c>
      <c r="F560" s="31" t="s">
        <v>1918</v>
      </c>
      <c r="G560" s="31" t="s">
        <v>670</v>
      </c>
      <c r="H560" s="31" t="s">
        <v>3173</v>
      </c>
      <c r="I560" s="31" t="s">
        <v>41</v>
      </c>
      <c r="J560" s="31" t="s">
        <v>1919</v>
      </c>
      <c r="K560" s="31" t="s">
        <v>1892</v>
      </c>
      <c r="L560" s="152"/>
      <c r="M560" s="31" t="s">
        <v>113</v>
      </c>
      <c r="P560" s="31" t="s">
        <v>669</v>
      </c>
      <c r="Q560" s="32">
        <v>150</v>
      </c>
      <c r="R560" s="48">
        <f>IFERROR(Q560/VLOOKUP(P560,'Exchange rates to USD'!$L$2:$N$225,3,FALSE),"")</f>
        <v>165.40034116112824</v>
      </c>
      <c r="U560" s="152"/>
      <c r="V560" s="152"/>
      <c r="W560" s="152"/>
    </row>
    <row r="561" spans="1:23" ht="13.25" customHeight="1" x14ac:dyDescent="0.25">
      <c r="A561" s="31" t="s">
        <v>1917</v>
      </c>
      <c r="B561" s="31" t="s">
        <v>651</v>
      </c>
      <c r="C561" s="31" t="s">
        <v>22</v>
      </c>
      <c r="D561" s="31" t="s">
        <v>13</v>
      </c>
      <c r="E561" s="31" t="s">
        <v>88</v>
      </c>
      <c r="F561" s="31" t="s">
        <v>1921</v>
      </c>
      <c r="G561" s="31" t="s">
        <v>670</v>
      </c>
      <c r="H561" s="31" t="s">
        <v>111</v>
      </c>
      <c r="I561" s="31" t="s">
        <v>3173</v>
      </c>
      <c r="J561" s="31" t="s">
        <v>1922</v>
      </c>
      <c r="K561" s="31" t="s">
        <v>1892</v>
      </c>
      <c r="L561" s="152"/>
      <c r="M561" s="31" t="s">
        <v>113</v>
      </c>
      <c r="P561" s="31" t="s">
        <v>669</v>
      </c>
      <c r="Q561" s="32">
        <v>75</v>
      </c>
      <c r="R561" s="48">
        <f>IFERROR(Q561/VLOOKUP(P561,'Exchange rates to USD'!$L$2:$N$225,3,FALSE),"")</f>
        <v>82.700170580564119</v>
      </c>
      <c r="U561" s="152"/>
      <c r="V561" s="152"/>
      <c r="W561" s="152"/>
    </row>
    <row r="562" spans="1:23" ht="13.25" customHeight="1" x14ac:dyDescent="0.25">
      <c r="A562" s="31" t="s">
        <v>1920</v>
      </c>
      <c r="B562" s="31" t="s">
        <v>651</v>
      </c>
      <c r="C562" s="31" t="s">
        <v>2531</v>
      </c>
      <c r="D562" s="31" t="s">
        <v>13</v>
      </c>
      <c r="E562" s="31" t="s">
        <v>36</v>
      </c>
      <c r="F562" s="31" t="s">
        <v>1924</v>
      </c>
      <c r="G562" s="31" t="s">
        <v>25</v>
      </c>
      <c r="J562" s="31" t="s">
        <v>1925</v>
      </c>
      <c r="K562" s="31" t="s">
        <v>1892</v>
      </c>
      <c r="L562" s="152"/>
      <c r="M562" s="31" t="s">
        <v>113</v>
      </c>
      <c r="P562" s="31" t="s">
        <v>669</v>
      </c>
      <c r="Q562" s="32">
        <v>3.85</v>
      </c>
      <c r="R562" s="48">
        <f>IFERROR(Q562/VLOOKUP(P562,'Exchange rates to USD'!$L$2:$N$225,3,FALSE),"")</f>
        <v>4.2452754231356247</v>
      </c>
      <c r="U562" s="152"/>
      <c r="V562" s="152"/>
      <c r="W562" s="152"/>
    </row>
    <row r="563" spans="1:23" ht="13.25" customHeight="1" x14ac:dyDescent="0.25">
      <c r="A563" s="31" t="s">
        <v>1923</v>
      </c>
      <c r="B563" s="31" t="s">
        <v>651</v>
      </c>
      <c r="C563" s="31" t="s">
        <v>22</v>
      </c>
      <c r="D563" s="31" t="s">
        <v>23</v>
      </c>
      <c r="E563" s="31" t="s">
        <v>619</v>
      </c>
      <c r="F563" s="31" t="s">
        <v>1927</v>
      </c>
      <c r="G563" s="31" t="s">
        <v>111</v>
      </c>
      <c r="H563" s="31" t="s">
        <v>670</v>
      </c>
      <c r="I563" s="31" t="s">
        <v>41</v>
      </c>
      <c r="J563" s="31" t="s">
        <v>1928</v>
      </c>
      <c r="K563" s="31" t="s">
        <v>1892</v>
      </c>
      <c r="L563" s="152"/>
      <c r="M563" s="31" t="s">
        <v>113</v>
      </c>
      <c r="P563" s="31" t="s">
        <v>669</v>
      </c>
      <c r="Q563" s="32">
        <v>6.9009999999999998</v>
      </c>
      <c r="R563" s="48">
        <f>IFERROR(Q563/VLOOKUP(P563,'Exchange rates to USD'!$L$2:$N$225,3,FALSE),"")</f>
        <v>7.609518362352973</v>
      </c>
      <c r="U563" s="152"/>
      <c r="V563" s="152"/>
      <c r="W563" s="152"/>
    </row>
    <row r="564" spans="1:23" ht="13.25" customHeight="1" x14ac:dyDescent="0.25">
      <c r="A564" s="31" t="s">
        <v>1926</v>
      </c>
      <c r="B564" s="31" t="s">
        <v>651</v>
      </c>
      <c r="C564" s="31" t="s">
        <v>110</v>
      </c>
      <c r="D564" s="31" t="s">
        <v>23</v>
      </c>
      <c r="E564" s="31" t="s">
        <v>619</v>
      </c>
      <c r="F564" s="31" t="s">
        <v>1930</v>
      </c>
      <c r="G564" s="31" t="s">
        <v>111</v>
      </c>
      <c r="J564" s="31" t="s">
        <v>1931</v>
      </c>
      <c r="K564" s="31" t="s">
        <v>1892</v>
      </c>
      <c r="L564" s="152"/>
      <c r="M564" s="31" t="s">
        <v>113</v>
      </c>
      <c r="P564" s="31" t="s">
        <v>669</v>
      </c>
      <c r="Q564" s="32">
        <v>223</v>
      </c>
      <c r="R564" s="48">
        <f>IFERROR(Q564/VLOOKUP(P564,'Exchange rates to USD'!$L$2:$N$225,3,FALSE),"")</f>
        <v>245.89517385954397</v>
      </c>
      <c r="U564" s="152"/>
      <c r="V564" s="152"/>
      <c r="W564" s="152"/>
    </row>
    <row r="565" spans="1:23" ht="13.25" customHeight="1" x14ac:dyDescent="0.25">
      <c r="A565" s="31" t="s">
        <v>1929</v>
      </c>
      <c r="B565" s="31" t="s">
        <v>651</v>
      </c>
      <c r="C565" s="31" t="s">
        <v>22</v>
      </c>
      <c r="D565" s="31" t="s">
        <v>23</v>
      </c>
      <c r="E565" s="31" t="s">
        <v>619</v>
      </c>
      <c r="F565" s="31" t="s">
        <v>1933</v>
      </c>
      <c r="G565" s="31" t="s">
        <v>111</v>
      </c>
      <c r="H565" s="31" t="s">
        <v>670</v>
      </c>
      <c r="J565" s="31" t="s">
        <v>1934</v>
      </c>
      <c r="K565" s="31" t="s">
        <v>1892</v>
      </c>
      <c r="L565" s="152"/>
      <c r="M565" s="31" t="s">
        <v>113</v>
      </c>
      <c r="P565" s="31" t="s">
        <v>669</v>
      </c>
      <c r="Q565" s="32">
        <v>535</v>
      </c>
      <c r="R565" s="48">
        <f>IFERROR(Q565/VLOOKUP(P565,'Exchange rates to USD'!$L$2:$N$225,3,FALSE),"")</f>
        <v>589.9278834746907</v>
      </c>
      <c r="U565" s="152"/>
      <c r="V565" s="152"/>
      <c r="W565" s="152"/>
    </row>
    <row r="566" spans="1:23" ht="13.25" customHeight="1" x14ac:dyDescent="0.25">
      <c r="A566" s="31" t="s">
        <v>1932</v>
      </c>
      <c r="B566" s="31" t="s">
        <v>651</v>
      </c>
      <c r="C566" s="31" t="s">
        <v>22</v>
      </c>
      <c r="D566" s="31" t="s">
        <v>23</v>
      </c>
      <c r="E566" s="31" t="s">
        <v>3200</v>
      </c>
      <c r="F566" s="31" t="s">
        <v>1936</v>
      </c>
      <c r="G566" s="31" t="s">
        <v>111</v>
      </c>
      <c r="H566" s="31" t="s">
        <v>207</v>
      </c>
      <c r="J566" s="31" t="s">
        <v>1937</v>
      </c>
      <c r="K566" s="31" t="s">
        <v>1892</v>
      </c>
      <c r="L566" s="152"/>
      <c r="M566" s="31" t="s">
        <v>113</v>
      </c>
      <c r="P566" s="31" t="s">
        <v>669</v>
      </c>
      <c r="Q566" s="32">
        <v>2</v>
      </c>
      <c r="R566" s="48">
        <f>IFERROR(Q566/VLOOKUP(P566,'Exchange rates to USD'!$L$2:$N$225,3,FALSE),"")</f>
        <v>2.2053378821483767</v>
      </c>
      <c r="U566" s="152"/>
      <c r="V566" s="152"/>
      <c r="W566" s="152"/>
    </row>
    <row r="567" spans="1:23" ht="13.25" customHeight="1" x14ac:dyDescent="0.25">
      <c r="A567" s="31" t="s">
        <v>1935</v>
      </c>
      <c r="B567" s="31" t="s">
        <v>651</v>
      </c>
      <c r="C567" s="31" t="s">
        <v>2531</v>
      </c>
      <c r="D567" s="31" t="s">
        <v>13</v>
      </c>
      <c r="E567" s="31" t="s">
        <v>619</v>
      </c>
      <c r="F567" s="31" t="s">
        <v>1909</v>
      </c>
      <c r="G567" s="31" t="s">
        <v>111</v>
      </c>
      <c r="J567" s="31" t="s">
        <v>1939</v>
      </c>
      <c r="K567" s="31" t="s">
        <v>1892</v>
      </c>
      <c r="L567" s="152"/>
      <c r="M567" s="31" t="s">
        <v>113</v>
      </c>
      <c r="P567" s="31" t="s">
        <v>669</v>
      </c>
      <c r="Q567" s="32">
        <v>130</v>
      </c>
      <c r="R567" s="48">
        <f>IFERROR(Q567/VLOOKUP(P567,'Exchange rates to USD'!$L$2:$N$225,3,FALSE),"")</f>
        <v>143.34696233964448</v>
      </c>
      <c r="U567" s="152"/>
      <c r="V567" s="152"/>
      <c r="W567" s="152"/>
    </row>
    <row r="568" spans="1:23" ht="13.25" customHeight="1" x14ac:dyDescent="0.25">
      <c r="A568" s="31" t="s">
        <v>1938</v>
      </c>
      <c r="B568" s="31" t="s">
        <v>651</v>
      </c>
      <c r="C568" s="31" t="s">
        <v>2531</v>
      </c>
      <c r="D568" s="31" t="s">
        <v>13</v>
      </c>
      <c r="E568" s="31" t="s">
        <v>619</v>
      </c>
      <c r="F568" s="31" t="s">
        <v>1921</v>
      </c>
      <c r="G568" s="31" t="s">
        <v>111</v>
      </c>
      <c r="H568" s="31" t="s">
        <v>207</v>
      </c>
      <c r="J568" s="31" t="s">
        <v>1941</v>
      </c>
      <c r="K568" s="31" t="s">
        <v>1892</v>
      </c>
      <c r="L568" s="152"/>
      <c r="M568" s="31" t="s">
        <v>113</v>
      </c>
      <c r="P568" s="31" t="s">
        <v>669</v>
      </c>
      <c r="Q568" s="32">
        <v>75</v>
      </c>
      <c r="R568" s="48">
        <f>IFERROR(Q568/VLOOKUP(P568,'Exchange rates to USD'!$L$2:$N$225,3,FALSE),"")</f>
        <v>82.700170580564119</v>
      </c>
      <c r="U568" s="152"/>
      <c r="V568" s="152"/>
      <c r="W568" s="152"/>
    </row>
    <row r="569" spans="1:23" ht="13.25" customHeight="1" x14ac:dyDescent="0.25">
      <c r="A569" s="31" t="s">
        <v>1940</v>
      </c>
      <c r="B569" s="31" t="s">
        <v>651</v>
      </c>
      <c r="C569" s="31" t="s">
        <v>2531</v>
      </c>
      <c r="D569" s="31" t="s">
        <v>13</v>
      </c>
      <c r="E569" s="31" t="s">
        <v>14</v>
      </c>
      <c r="F569" s="31" t="s">
        <v>1943</v>
      </c>
      <c r="G569" s="31" t="s">
        <v>25</v>
      </c>
      <c r="H569" s="31" t="s">
        <v>809</v>
      </c>
      <c r="J569" s="31" t="s">
        <v>1944</v>
      </c>
      <c r="K569" s="31" t="s">
        <v>1892</v>
      </c>
      <c r="L569" s="152"/>
      <c r="M569" s="31" t="s">
        <v>113</v>
      </c>
      <c r="P569" s="31" t="s">
        <v>669</v>
      </c>
      <c r="Q569" s="32">
        <v>13.06</v>
      </c>
      <c r="R569" s="48">
        <f>IFERROR(Q569/VLOOKUP(P569,'Exchange rates to USD'!$L$2:$N$225,3,FALSE),"")</f>
        <v>14.400856370428899</v>
      </c>
      <c r="U569" s="152"/>
      <c r="V569" s="152"/>
      <c r="W569" s="152"/>
    </row>
    <row r="570" spans="1:23" ht="13.25" customHeight="1" x14ac:dyDescent="0.25">
      <c r="A570" s="31" t="s">
        <v>1942</v>
      </c>
      <c r="B570" s="31" t="s">
        <v>651</v>
      </c>
      <c r="C570" s="31" t="s">
        <v>2531</v>
      </c>
      <c r="D570" s="31" t="s">
        <v>13</v>
      </c>
      <c r="E570" s="31" t="s">
        <v>172</v>
      </c>
      <c r="G570" s="31" t="s">
        <v>25</v>
      </c>
      <c r="J570" s="31" t="s">
        <v>1946</v>
      </c>
      <c r="K570" s="31" t="s">
        <v>1892</v>
      </c>
      <c r="L570" s="152"/>
      <c r="M570" s="31" t="s">
        <v>113</v>
      </c>
      <c r="N570" s="31" t="s">
        <v>1947</v>
      </c>
      <c r="P570" s="31" t="s">
        <v>669</v>
      </c>
      <c r="Q570" s="32">
        <v>19.82</v>
      </c>
      <c r="R570" s="48">
        <f>IFERROR(Q570/VLOOKUP(P570,'Exchange rates to USD'!$L$2:$N$225,3,FALSE),"")</f>
        <v>21.854898412090414</v>
      </c>
      <c r="U570" s="152"/>
      <c r="V570" s="152"/>
      <c r="W570" s="152"/>
    </row>
    <row r="571" spans="1:23" ht="13.25" customHeight="1" x14ac:dyDescent="0.25">
      <c r="A571" s="31" t="s">
        <v>1945</v>
      </c>
      <c r="B571" s="31" t="s">
        <v>651</v>
      </c>
      <c r="C571" s="31" t="s">
        <v>22</v>
      </c>
      <c r="D571" s="31" t="s">
        <v>13</v>
      </c>
      <c r="E571" s="31" t="s">
        <v>191</v>
      </c>
      <c r="F571" s="31" t="s">
        <v>1949</v>
      </c>
      <c r="G571" s="31" t="s">
        <v>41</v>
      </c>
      <c r="H571" s="31" t="s">
        <v>25</v>
      </c>
      <c r="J571" s="31" t="s">
        <v>1950</v>
      </c>
      <c r="K571" s="31" t="s">
        <v>1892</v>
      </c>
      <c r="L571" s="152"/>
      <c r="M571" s="31" t="s">
        <v>113</v>
      </c>
      <c r="P571" s="31" t="s">
        <v>669</v>
      </c>
      <c r="Q571" s="32">
        <v>80</v>
      </c>
      <c r="R571" s="48">
        <f>IFERROR(Q571/VLOOKUP(P571,'Exchange rates to USD'!$L$2:$N$225,3,FALSE),"")</f>
        <v>88.21351528593506</v>
      </c>
      <c r="U571" s="152"/>
      <c r="V571" s="152"/>
      <c r="W571" s="152"/>
    </row>
    <row r="572" spans="1:23" ht="13.25" customHeight="1" x14ac:dyDescent="0.25">
      <c r="A572" s="31" t="s">
        <v>1948</v>
      </c>
      <c r="B572" s="31" t="s">
        <v>651</v>
      </c>
      <c r="C572" s="31" t="s">
        <v>22</v>
      </c>
      <c r="D572" s="31" t="s">
        <v>13</v>
      </c>
      <c r="E572" s="31" t="s">
        <v>3200</v>
      </c>
      <c r="F572" s="31" t="s">
        <v>1952</v>
      </c>
      <c r="G572" s="31" t="s">
        <v>670</v>
      </c>
      <c r="H572" s="31" t="s">
        <v>41</v>
      </c>
      <c r="I572" s="31" t="s">
        <v>3173</v>
      </c>
      <c r="J572" s="31" t="s">
        <v>1953</v>
      </c>
      <c r="K572" s="31" t="s">
        <v>1892</v>
      </c>
      <c r="L572" s="152"/>
      <c r="M572" s="31" t="s">
        <v>737</v>
      </c>
      <c r="P572" s="31" t="s">
        <v>669</v>
      </c>
      <c r="Q572" s="32">
        <v>495</v>
      </c>
      <c r="R572" s="48">
        <f>IFERROR(Q572/VLOOKUP(P572,'Exchange rates to USD'!$L$2:$N$225,3,FALSE),"")</f>
        <v>545.82112583172318</v>
      </c>
      <c r="U572" s="152"/>
      <c r="V572" s="152"/>
      <c r="W572" s="152"/>
    </row>
    <row r="573" spans="1:23" ht="13.25" customHeight="1" x14ac:dyDescent="0.25">
      <c r="A573" s="31" t="s">
        <v>1951</v>
      </c>
      <c r="B573" s="31" t="s">
        <v>651</v>
      </c>
      <c r="C573" s="31" t="s">
        <v>22</v>
      </c>
      <c r="D573" s="31" t="s">
        <v>13</v>
      </c>
      <c r="E573" s="31" t="s">
        <v>3200</v>
      </c>
      <c r="F573" s="31" t="s">
        <v>1955</v>
      </c>
      <c r="G573" s="31" t="s">
        <v>670</v>
      </c>
      <c r="H573" s="31" t="s">
        <v>41</v>
      </c>
      <c r="I573" s="31" t="s">
        <v>111</v>
      </c>
      <c r="J573" s="31" t="s">
        <v>1956</v>
      </c>
      <c r="K573" s="31" t="s">
        <v>1892</v>
      </c>
      <c r="L573" s="152"/>
      <c r="M573" s="31" t="s">
        <v>113</v>
      </c>
      <c r="P573" s="31" t="s">
        <v>669</v>
      </c>
      <c r="Q573" s="32">
        <v>74</v>
      </c>
      <c r="R573" s="48">
        <f>IFERROR(Q573/VLOOKUP(P573,'Exchange rates to USD'!$L$2:$N$225,3,FALSE),"")</f>
        <v>81.597501639489934</v>
      </c>
      <c r="U573" s="152"/>
      <c r="V573" s="152"/>
      <c r="W573" s="152"/>
    </row>
    <row r="574" spans="1:23" ht="13.25" customHeight="1" x14ac:dyDescent="0.25">
      <c r="A574" s="31" t="s">
        <v>1954</v>
      </c>
      <c r="B574" s="31" t="s">
        <v>651</v>
      </c>
      <c r="C574" s="31" t="s">
        <v>22</v>
      </c>
      <c r="D574" s="31" t="s">
        <v>13</v>
      </c>
      <c r="E574" s="31" t="s">
        <v>3200</v>
      </c>
      <c r="F574" s="31" t="s">
        <v>1958</v>
      </c>
      <c r="G574" s="31" t="s">
        <v>670</v>
      </c>
      <c r="H574" s="31" t="s">
        <v>41</v>
      </c>
      <c r="I574" s="31" t="s">
        <v>111</v>
      </c>
      <c r="J574" s="31" t="s">
        <v>1959</v>
      </c>
      <c r="K574" s="31" t="s">
        <v>1892</v>
      </c>
      <c r="L574" s="152"/>
      <c r="M574" s="31" t="s">
        <v>113</v>
      </c>
      <c r="P574" s="31" t="s">
        <v>669</v>
      </c>
      <c r="Q574" s="32">
        <v>231</v>
      </c>
      <c r="R574" s="48">
        <f>IFERROR(Q574/VLOOKUP(P574,'Exchange rates to USD'!$L$2:$N$225,3,FALSE),"")</f>
        <v>254.71652538813748</v>
      </c>
      <c r="U574" s="152"/>
      <c r="V574" s="152"/>
      <c r="W574" s="152"/>
    </row>
    <row r="575" spans="1:23" ht="13.25" customHeight="1" x14ac:dyDescent="0.25">
      <c r="A575" s="31" t="s">
        <v>1957</v>
      </c>
      <c r="B575" s="31" t="s">
        <v>651</v>
      </c>
      <c r="C575" s="31" t="s">
        <v>22</v>
      </c>
      <c r="D575" s="31" t="s">
        <v>872</v>
      </c>
      <c r="E575" s="31" t="s">
        <v>3200</v>
      </c>
      <c r="F575" s="31" t="s">
        <v>1961</v>
      </c>
      <c r="G575" s="31" t="s">
        <v>41</v>
      </c>
      <c r="J575" s="31" t="s">
        <v>1962</v>
      </c>
      <c r="K575" s="31" t="s">
        <v>1892</v>
      </c>
      <c r="L575" s="152"/>
      <c r="M575" s="31" t="s">
        <v>113</v>
      </c>
      <c r="P575" s="31" t="s">
        <v>669</v>
      </c>
      <c r="Q575" s="32">
        <v>120</v>
      </c>
      <c r="R575" s="48">
        <f>IFERROR(Q575/VLOOKUP(P575,'Exchange rates to USD'!$L$2:$N$225,3,FALSE),"")</f>
        <v>132.3202729289026</v>
      </c>
      <c r="U575" s="152"/>
      <c r="V575" s="152"/>
      <c r="W575" s="152"/>
    </row>
    <row r="576" spans="1:23" ht="13.25" customHeight="1" x14ac:dyDescent="0.25">
      <c r="A576" s="31" t="s">
        <v>1960</v>
      </c>
      <c r="B576" s="31" t="s">
        <v>651</v>
      </c>
      <c r="C576" s="31" t="s">
        <v>22</v>
      </c>
      <c r="D576" s="31" t="s">
        <v>872</v>
      </c>
      <c r="E576" s="31" t="s">
        <v>3200</v>
      </c>
      <c r="F576" s="31" t="s">
        <v>1963</v>
      </c>
      <c r="G576" s="31" t="s">
        <v>41</v>
      </c>
      <c r="J576" s="31" t="s">
        <v>1964</v>
      </c>
      <c r="K576" s="31" t="s">
        <v>1892</v>
      </c>
      <c r="L576" s="152"/>
      <c r="M576" s="31" t="s">
        <v>113</v>
      </c>
      <c r="P576" s="31" t="s">
        <v>669</v>
      </c>
      <c r="Q576" s="32">
        <v>100</v>
      </c>
      <c r="R576" s="48">
        <f>IFERROR(Q576/VLOOKUP(P576,'Exchange rates to USD'!$L$2:$N$225,3,FALSE),"")</f>
        <v>110.26689410741884</v>
      </c>
      <c r="U576" s="152"/>
      <c r="V576" s="152"/>
      <c r="W576" s="152"/>
    </row>
    <row r="577" spans="1:23" ht="13.25" customHeight="1" x14ac:dyDescent="0.25">
      <c r="A577" s="31" t="s">
        <v>1965</v>
      </c>
      <c r="B577" s="31" t="s">
        <v>651</v>
      </c>
      <c r="C577" s="31" t="s">
        <v>22</v>
      </c>
      <c r="D577" s="31" t="s">
        <v>23</v>
      </c>
      <c r="E577" s="31" t="s">
        <v>191</v>
      </c>
      <c r="F577" s="31" t="s">
        <v>1967</v>
      </c>
      <c r="G577" s="31" t="s">
        <v>809</v>
      </c>
      <c r="H577" s="31" t="s">
        <v>41</v>
      </c>
      <c r="I577" s="31" t="s">
        <v>25</v>
      </c>
      <c r="J577" s="31" t="s">
        <v>1968</v>
      </c>
      <c r="K577" s="31" t="s">
        <v>1892</v>
      </c>
      <c r="L577" s="152"/>
      <c r="M577" s="31" t="s">
        <v>113</v>
      </c>
      <c r="P577" s="31" t="s">
        <v>669</v>
      </c>
      <c r="Q577" s="32">
        <v>100</v>
      </c>
      <c r="R577" s="48">
        <f>IFERROR(Q577/VLOOKUP(P577,'Exchange rates to USD'!$L$2:$N$225,3,FALSE),"")</f>
        <v>110.26689410741884</v>
      </c>
      <c r="U577" s="152"/>
      <c r="V577" s="152"/>
      <c r="W577" s="152"/>
    </row>
    <row r="578" spans="1:23" ht="13.25" customHeight="1" x14ac:dyDescent="0.25">
      <c r="A578" s="31" t="s">
        <v>1966</v>
      </c>
      <c r="B578" s="31" t="s">
        <v>651</v>
      </c>
      <c r="C578" s="31" t="s">
        <v>22</v>
      </c>
      <c r="D578" s="31" t="s">
        <v>872</v>
      </c>
      <c r="E578" s="31" t="s">
        <v>191</v>
      </c>
      <c r="F578" s="31" t="s">
        <v>1970</v>
      </c>
      <c r="G578" s="31" t="s">
        <v>809</v>
      </c>
      <c r="H578" s="31" t="s">
        <v>41</v>
      </c>
      <c r="I578" s="31" t="s">
        <v>25</v>
      </c>
      <c r="J578" s="31" t="s">
        <v>1971</v>
      </c>
      <c r="K578" s="31" t="s">
        <v>1892</v>
      </c>
      <c r="L578" s="152"/>
      <c r="M578" s="31" t="s">
        <v>113</v>
      </c>
      <c r="P578" s="31" t="s">
        <v>669</v>
      </c>
      <c r="Q578" s="32">
        <v>250</v>
      </c>
      <c r="R578" s="48">
        <f>IFERROR(Q578/VLOOKUP(P578,'Exchange rates to USD'!$L$2:$N$225,3,FALSE),"")</f>
        <v>275.66723526854707</v>
      </c>
      <c r="U578" s="152"/>
      <c r="V578" s="152"/>
      <c r="W578" s="152"/>
    </row>
    <row r="579" spans="1:23" ht="13.25" customHeight="1" x14ac:dyDescent="0.25">
      <c r="A579" s="31" t="s">
        <v>1969</v>
      </c>
      <c r="B579" s="31" t="s">
        <v>651</v>
      </c>
      <c r="C579" s="31" t="s">
        <v>22</v>
      </c>
      <c r="D579" s="31" t="s">
        <v>872</v>
      </c>
      <c r="E579" s="31" t="s">
        <v>191</v>
      </c>
      <c r="F579" s="31" t="s">
        <v>1970</v>
      </c>
      <c r="G579" s="31" t="s">
        <v>809</v>
      </c>
      <c r="H579" s="31" t="s">
        <v>41</v>
      </c>
      <c r="I579" s="31" t="s">
        <v>25</v>
      </c>
      <c r="J579" s="31" t="s">
        <v>1973</v>
      </c>
      <c r="K579" s="31" t="s">
        <v>1892</v>
      </c>
      <c r="L579" s="152"/>
      <c r="M579" s="31" t="s">
        <v>113</v>
      </c>
      <c r="P579" s="31" t="s">
        <v>669</v>
      </c>
      <c r="Q579" s="32">
        <v>250</v>
      </c>
      <c r="R579" s="48">
        <f>IFERROR(Q579/VLOOKUP(P579,'Exchange rates to USD'!$L$2:$N$225,3,FALSE),"")</f>
        <v>275.66723526854707</v>
      </c>
      <c r="U579" s="152"/>
      <c r="V579" s="152"/>
      <c r="W579" s="152"/>
    </row>
    <row r="580" spans="1:23" ht="13.25" customHeight="1" x14ac:dyDescent="0.25">
      <c r="A580" s="34" t="s">
        <v>1972</v>
      </c>
      <c r="B580" s="34" t="s">
        <v>651</v>
      </c>
      <c r="C580" s="34" t="s">
        <v>22</v>
      </c>
      <c r="D580" s="34" t="s">
        <v>872</v>
      </c>
      <c r="E580" s="34" t="s">
        <v>191</v>
      </c>
      <c r="F580" s="34" t="s">
        <v>1963</v>
      </c>
      <c r="G580" s="34" t="s">
        <v>809</v>
      </c>
      <c r="H580" s="34" t="s">
        <v>41</v>
      </c>
      <c r="I580" s="34" t="s">
        <v>670</v>
      </c>
      <c r="J580" s="34" t="s">
        <v>1974</v>
      </c>
      <c r="K580" s="34" t="s">
        <v>1892</v>
      </c>
      <c r="L580" s="152"/>
      <c r="M580" s="34" t="s">
        <v>113</v>
      </c>
      <c r="N580" s="34"/>
      <c r="O580" s="43"/>
      <c r="P580" s="34" t="s">
        <v>669</v>
      </c>
      <c r="Q580" s="49">
        <v>100</v>
      </c>
      <c r="R580" s="22">
        <f>IFERROR(Q580/VLOOKUP(P580,'Exchange rates to USD'!$L$2:$N$225,3,FALSE),"")</f>
        <v>110.26689410741884</v>
      </c>
      <c r="U580" s="152"/>
      <c r="V580" s="152"/>
      <c r="W580" s="152"/>
    </row>
    <row r="581" spans="1:23" ht="13.25" customHeight="1" x14ac:dyDescent="0.25">
      <c r="A581" s="31" t="s">
        <v>228</v>
      </c>
      <c r="B581" s="31" t="s">
        <v>652</v>
      </c>
      <c r="C581" s="31" t="s">
        <v>22</v>
      </c>
      <c r="D581" s="31" t="s">
        <v>23</v>
      </c>
      <c r="E581" s="31" t="s">
        <v>3200</v>
      </c>
      <c r="F581" s="31" t="s">
        <v>229</v>
      </c>
      <c r="G581" s="31" t="s">
        <v>44</v>
      </c>
      <c r="J581" s="31" t="s">
        <v>230</v>
      </c>
      <c r="K581" s="31" t="s">
        <v>231</v>
      </c>
      <c r="M581" s="31" t="s">
        <v>871</v>
      </c>
      <c r="P581" s="31" t="s">
        <v>669</v>
      </c>
      <c r="Q581" s="32">
        <v>2097</v>
      </c>
      <c r="R581" s="48">
        <f>IFERROR(Q581/VLOOKUP(P581,'Exchange rates to USD'!$L$2:$N$225,3,FALSE),"")</f>
        <v>2312.296769432573</v>
      </c>
      <c r="U581" s="152"/>
      <c r="V581" s="152"/>
      <c r="W581" s="152"/>
    </row>
    <row r="582" spans="1:23" ht="13.25" customHeight="1" x14ac:dyDescent="0.25">
      <c r="A582" s="31" t="s">
        <v>232</v>
      </c>
      <c r="B582" s="31" t="s">
        <v>652</v>
      </c>
      <c r="C582" s="31" t="s">
        <v>2530</v>
      </c>
      <c r="D582" s="31" t="s">
        <v>23</v>
      </c>
      <c r="E582" s="31" t="s">
        <v>3200</v>
      </c>
      <c r="F582" s="31" t="s">
        <v>233</v>
      </c>
      <c r="G582" s="31" t="s">
        <v>111</v>
      </c>
      <c r="H582" s="31" t="s">
        <v>41</v>
      </c>
      <c r="I582" s="31" t="s">
        <v>25</v>
      </c>
      <c r="J582" s="31" t="s">
        <v>1975</v>
      </c>
      <c r="K582" s="31" t="s">
        <v>1976</v>
      </c>
      <c r="M582" s="31" t="s">
        <v>101</v>
      </c>
      <c r="N582" s="31" t="s">
        <v>1977</v>
      </c>
      <c r="O582" s="42">
        <v>44140</v>
      </c>
      <c r="R582" s="48" t="str">
        <f>IFERROR(Q582/VLOOKUP(P582,'Exchange rates to USD'!$L$2:$N$225,3,FALSE),"")</f>
        <v/>
      </c>
      <c r="U582" s="152"/>
      <c r="V582" s="152"/>
      <c r="W582" s="152"/>
    </row>
    <row r="583" spans="1:23" ht="13.25" customHeight="1" x14ac:dyDescent="0.25">
      <c r="A583" s="31" t="s">
        <v>234</v>
      </c>
      <c r="B583" s="31" t="s">
        <v>652</v>
      </c>
      <c r="C583" s="31" t="s">
        <v>30</v>
      </c>
      <c r="D583" s="31" t="s">
        <v>23</v>
      </c>
      <c r="E583" s="31" t="s">
        <v>3200</v>
      </c>
      <c r="F583" s="31" t="s">
        <v>233</v>
      </c>
      <c r="G583" s="31" t="s">
        <v>25</v>
      </c>
      <c r="J583" s="31" t="s">
        <v>1978</v>
      </c>
      <c r="K583" s="31" t="s">
        <v>235</v>
      </c>
      <c r="M583" s="31" t="s">
        <v>737</v>
      </c>
      <c r="R583" s="48" t="str">
        <f>IFERROR(Q583/VLOOKUP(P583,'Exchange rates to USD'!$L$2:$N$225,3,FALSE),"")</f>
        <v/>
      </c>
      <c r="U583" s="152"/>
      <c r="V583" s="152"/>
      <c r="W583" s="152"/>
    </row>
    <row r="584" spans="1:23" ht="13.25" customHeight="1" x14ac:dyDescent="0.25">
      <c r="A584" s="31" t="s">
        <v>236</v>
      </c>
      <c r="B584" s="31" t="s">
        <v>652</v>
      </c>
      <c r="C584" s="31" t="s">
        <v>30</v>
      </c>
      <c r="D584" s="31" t="s">
        <v>23</v>
      </c>
      <c r="E584" s="31" t="s">
        <v>14</v>
      </c>
      <c r="F584" s="31" t="s">
        <v>233</v>
      </c>
      <c r="G584" s="31" t="s">
        <v>3173</v>
      </c>
      <c r="J584" s="31" t="s">
        <v>1979</v>
      </c>
      <c r="K584" s="31" t="s">
        <v>235</v>
      </c>
      <c r="M584" s="31" t="s">
        <v>101</v>
      </c>
      <c r="R584" s="48" t="str">
        <f>IFERROR(Q584/VLOOKUP(P584,'Exchange rates to USD'!$L$2:$N$225,3,FALSE),"")</f>
        <v/>
      </c>
      <c r="U584" s="152"/>
      <c r="V584" s="152"/>
      <c r="W584" s="152"/>
    </row>
    <row r="585" spans="1:23" ht="13.25" customHeight="1" x14ac:dyDescent="0.25">
      <c r="A585" s="31" t="s">
        <v>237</v>
      </c>
      <c r="B585" s="31" t="s">
        <v>652</v>
      </c>
      <c r="C585" s="31" t="s">
        <v>30</v>
      </c>
      <c r="D585" s="31" t="s">
        <v>13</v>
      </c>
      <c r="E585" s="31" t="s">
        <v>88</v>
      </c>
      <c r="F585" s="31" t="s">
        <v>233</v>
      </c>
      <c r="G585" s="31" t="s">
        <v>111</v>
      </c>
      <c r="H585" s="31" t="s">
        <v>41</v>
      </c>
      <c r="I585" s="31" t="s">
        <v>44</v>
      </c>
      <c r="J585" s="31" t="s">
        <v>1980</v>
      </c>
      <c r="K585" s="31" t="s">
        <v>235</v>
      </c>
      <c r="M585" s="31" t="s">
        <v>113</v>
      </c>
      <c r="R585" s="48" t="str">
        <f>IFERROR(Q585/VLOOKUP(P585,'Exchange rates to USD'!$L$2:$N$225,3,FALSE),"")</f>
        <v/>
      </c>
      <c r="U585" s="152"/>
      <c r="V585" s="152"/>
      <c r="W585" s="152"/>
    </row>
    <row r="586" spans="1:23" ht="13.25" customHeight="1" x14ac:dyDescent="0.25">
      <c r="A586" s="31" t="s">
        <v>1981</v>
      </c>
      <c r="B586" s="31" t="s">
        <v>652</v>
      </c>
      <c r="C586" s="31" t="s">
        <v>30</v>
      </c>
      <c r="D586" s="31" t="s">
        <v>872</v>
      </c>
      <c r="E586" s="31" t="s">
        <v>619</v>
      </c>
      <c r="F586" s="31" t="s">
        <v>233</v>
      </c>
      <c r="G586" s="31" t="s">
        <v>111</v>
      </c>
      <c r="J586" s="31" t="s">
        <v>1982</v>
      </c>
      <c r="K586" s="31" t="s">
        <v>1983</v>
      </c>
      <c r="M586" s="31" t="s">
        <v>113</v>
      </c>
      <c r="N586" s="31" t="s">
        <v>1984</v>
      </c>
      <c r="O586" s="42">
        <v>44140</v>
      </c>
      <c r="R586" s="48" t="str">
        <f>IFERROR(Q586/VLOOKUP(P586,'Exchange rates to USD'!$L$2:$N$225,3,FALSE),"")</f>
        <v/>
      </c>
      <c r="U586" s="152"/>
      <c r="V586" s="152"/>
      <c r="W586" s="152"/>
    </row>
    <row r="587" spans="1:23" ht="13.25" customHeight="1" x14ac:dyDescent="0.25">
      <c r="A587" s="31" t="s">
        <v>1985</v>
      </c>
      <c r="B587" s="31" t="s">
        <v>652</v>
      </c>
      <c r="C587" s="31" t="s">
        <v>2530</v>
      </c>
      <c r="D587" s="31" t="s">
        <v>13</v>
      </c>
      <c r="E587" s="31" t="s">
        <v>3200</v>
      </c>
      <c r="F587" s="31" t="s">
        <v>1986</v>
      </c>
      <c r="G587" s="31" t="s">
        <v>25</v>
      </c>
      <c r="H587" s="31" t="s">
        <v>3173</v>
      </c>
      <c r="J587" s="31" t="s">
        <v>1987</v>
      </c>
      <c r="K587" s="31" t="s">
        <v>1988</v>
      </c>
      <c r="M587" s="31" t="s">
        <v>113</v>
      </c>
      <c r="N587" s="31" t="s">
        <v>1989</v>
      </c>
      <c r="O587" s="42">
        <v>44140</v>
      </c>
      <c r="P587" s="31" t="s">
        <v>669</v>
      </c>
      <c r="Q587" s="32">
        <v>1850</v>
      </c>
      <c r="R587" s="48">
        <f>IFERROR(Q587/VLOOKUP(P587,'Exchange rates to USD'!$L$2:$N$225,3,FALSE),"")</f>
        <v>2039.9375409872482</v>
      </c>
      <c r="U587" s="152"/>
      <c r="V587" s="152"/>
      <c r="W587" s="152"/>
    </row>
    <row r="588" spans="1:23" ht="13.25" customHeight="1" x14ac:dyDescent="0.25">
      <c r="A588" s="31" t="s">
        <v>1990</v>
      </c>
      <c r="B588" s="31" t="s">
        <v>652</v>
      </c>
      <c r="C588" s="31" t="s">
        <v>2530</v>
      </c>
      <c r="D588" s="31" t="s">
        <v>13</v>
      </c>
      <c r="E588" s="31" t="s">
        <v>619</v>
      </c>
      <c r="F588" s="31" t="s">
        <v>1991</v>
      </c>
      <c r="G588" s="31" t="s">
        <v>111</v>
      </c>
      <c r="J588" s="31" t="s">
        <v>1992</v>
      </c>
      <c r="M588" s="31" t="s">
        <v>113</v>
      </c>
      <c r="O588" s="42">
        <v>44140</v>
      </c>
      <c r="P588" s="31" t="s">
        <v>669</v>
      </c>
      <c r="Q588" s="32">
        <v>216</v>
      </c>
      <c r="R588" s="48">
        <f>IFERROR(Q588/VLOOKUP(P588,'Exchange rates to USD'!$L$2:$N$225,3,FALSE),"")</f>
        <v>238.17649127202466</v>
      </c>
      <c r="U588" s="152"/>
      <c r="V588" s="152"/>
      <c r="W588" s="152"/>
    </row>
    <row r="589" spans="1:23" ht="13.25" customHeight="1" x14ac:dyDescent="0.25">
      <c r="A589" s="31" t="s">
        <v>1993</v>
      </c>
      <c r="B589" s="31" t="s">
        <v>652</v>
      </c>
      <c r="C589" s="31" t="s">
        <v>2530</v>
      </c>
      <c r="D589" s="31" t="s">
        <v>13</v>
      </c>
      <c r="E589" s="31" t="s">
        <v>3200</v>
      </c>
      <c r="F589" s="31" t="s">
        <v>1994</v>
      </c>
      <c r="G589" s="31" t="s">
        <v>41</v>
      </c>
      <c r="J589" s="31" t="s">
        <v>1995</v>
      </c>
      <c r="M589" s="31" t="s">
        <v>113</v>
      </c>
      <c r="O589" s="42">
        <v>44140</v>
      </c>
      <c r="P589" s="31" t="s">
        <v>669</v>
      </c>
      <c r="Q589" s="32">
        <v>581</v>
      </c>
      <c r="R589" s="48">
        <f>IFERROR(Q589/VLOOKUP(P589,'Exchange rates to USD'!$L$2:$N$225,3,FALSE),"")</f>
        <v>640.65065476410336</v>
      </c>
      <c r="U589" s="152"/>
      <c r="V589" s="152"/>
      <c r="W589" s="152"/>
    </row>
    <row r="590" spans="1:23" ht="13.25" customHeight="1" x14ac:dyDescent="0.25">
      <c r="A590" s="152" t="s">
        <v>1996</v>
      </c>
      <c r="B590" s="38" t="s">
        <v>652</v>
      </c>
      <c r="C590" s="38" t="s">
        <v>2530</v>
      </c>
      <c r="D590" s="38" t="s">
        <v>13</v>
      </c>
      <c r="E590" s="38" t="s">
        <v>36</v>
      </c>
      <c r="F590" s="38" t="s">
        <v>1997</v>
      </c>
      <c r="G590" s="38" t="s">
        <v>3173</v>
      </c>
      <c r="H590" s="38" t="s">
        <v>1998</v>
      </c>
      <c r="I590" s="38"/>
      <c r="J590" s="38" t="s">
        <v>1999</v>
      </c>
      <c r="K590" s="38"/>
      <c r="L590" s="38"/>
      <c r="M590" s="38" t="s">
        <v>871</v>
      </c>
      <c r="N590" s="38"/>
      <c r="O590" s="45">
        <v>44140</v>
      </c>
      <c r="P590" s="38" t="s">
        <v>669</v>
      </c>
      <c r="Q590" s="60">
        <v>9094</v>
      </c>
      <c r="R590" s="48">
        <f>IFERROR(Q590/VLOOKUP(P590,'Exchange rates to USD'!$L$2:$N$225,3,FALSE),"")</f>
        <v>10027.671350128669</v>
      </c>
      <c r="U590" s="152"/>
      <c r="V590" s="152"/>
      <c r="W590" s="152"/>
    </row>
    <row r="591" spans="1:23" s="38" customFormat="1" ht="13.25" customHeight="1" x14ac:dyDescent="0.25">
      <c r="A591" s="152" t="s">
        <v>3144</v>
      </c>
      <c r="B591" s="38" t="s">
        <v>652</v>
      </c>
      <c r="C591" s="38" t="s">
        <v>2530</v>
      </c>
      <c r="D591" s="38" t="s">
        <v>13</v>
      </c>
      <c r="E591" s="38" t="s">
        <v>3200</v>
      </c>
      <c r="F591" s="152" t="s">
        <v>3132</v>
      </c>
      <c r="G591" s="38" t="s">
        <v>3173</v>
      </c>
      <c r="I591" s="152"/>
      <c r="J591" s="152" t="s">
        <v>3133</v>
      </c>
      <c r="M591" s="38" t="s">
        <v>113</v>
      </c>
      <c r="O591" s="45">
        <v>44294</v>
      </c>
      <c r="P591" s="152" t="s">
        <v>669</v>
      </c>
      <c r="Q591" s="60"/>
      <c r="R591" s="48"/>
      <c r="U591" s="152"/>
      <c r="V591" s="152"/>
      <c r="W591" s="152"/>
    </row>
    <row r="592" spans="1:23" s="38" customFormat="1" ht="13.25" customHeight="1" x14ac:dyDescent="0.25">
      <c r="A592" s="152" t="s">
        <v>3145</v>
      </c>
      <c r="B592" s="38" t="s">
        <v>652</v>
      </c>
      <c r="C592" s="38" t="s">
        <v>2530</v>
      </c>
      <c r="D592" s="38" t="s">
        <v>13</v>
      </c>
      <c r="E592" s="38" t="s">
        <v>3200</v>
      </c>
      <c r="F592" s="38" t="s">
        <v>3134</v>
      </c>
      <c r="G592" s="38" t="s">
        <v>3173</v>
      </c>
      <c r="J592" s="38" t="s">
        <v>3135</v>
      </c>
      <c r="M592" s="38" t="s">
        <v>113</v>
      </c>
      <c r="O592" s="45">
        <v>44294</v>
      </c>
      <c r="P592" s="38" t="s">
        <v>669</v>
      </c>
      <c r="Q592" s="60">
        <v>700</v>
      </c>
      <c r="R592" s="48">
        <f>IFERROR(Q592/VLOOKUP(P592,'Exchange rates to USD'!$L$2:$N$225,3,FALSE),"")</f>
        <v>771.86825875193176</v>
      </c>
      <c r="U592" s="152"/>
      <c r="V592" s="152"/>
      <c r="W592" s="152"/>
    </row>
    <row r="593" spans="1:23" s="38" customFormat="1" ht="13.25" customHeight="1" x14ac:dyDescent="0.25">
      <c r="A593" s="152" t="s">
        <v>3146</v>
      </c>
      <c r="B593" s="38" t="s">
        <v>652</v>
      </c>
      <c r="C593" s="38" t="s">
        <v>2530</v>
      </c>
      <c r="D593" s="38" t="s">
        <v>13</v>
      </c>
      <c r="E593" s="38" t="s">
        <v>3200</v>
      </c>
      <c r="F593" s="38" t="s">
        <v>3136</v>
      </c>
      <c r="G593" s="153" t="s">
        <v>809</v>
      </c>
      <c r="H593" s="38" t="s">
        <v>3173</v>
      </c>
      <c r="J593" s="38" t="s">
        <v>3137</v>
      </c>
      <c r="M593" s="38" t="s">
        <v>113</v>
      </c>
      <c r="O593" s="45">
        <v>44294</v>
      </c>
      <c r="P593" s="152" t="s">
        <v>669</v>
      </c>
      <c r="Q593" s="60">
        <v>150</v>
      </c>
      <c r="R593" s="48">
        <f>IFERROR(Q593/VLOOKUP(P593,'Exchange rates to USD'!$L$2:$N$225,3,FALSE),"")</f>
        <v>165.40034116112824</v>
      </c>
      <c r="U593" s="152"/>
      <c r="V593" s="152"/>
      <c r="W593" s="152"/>
    </row>
    <row r="594" spans="1:23" s="38" customFormat="1" ht="13.25" customHeight="1" x14ac:dyDescent="0.25">
      <c r="A594" s="152" t="s">
        <v>3147</v>
      </c>
      <c r="B594" s="38" t="s">
        <v>652</v>
      </c>
      <c r="C594" s="38" t="s">
        <v>2530</v>
      </c>
      <c r="D594" s="38" t="s">
        <v>13</v>
      </c>
      <c r="E594" s="38" t="s">
        <v>3200</v>
      </c>
      <c r="F594" s="38" t="s">
        <v>3138</v>
      </c>
      <c r="G594" s="38" t="s">
        <v>3173</v>
      </c>
      <c r="H594" s="152" t="s">
        <v>25</v>
      </c>
      <c r="J594" s="38" t="s">
        <v>3139</v>
      </c>
      <c r="M594" s="38" t="s">
        <v>113</v>
      </c>
      <c r="O594" s="45">
        <v>44294</v>
      </c>
      <c r="P594" s="38" t="s">
        <v>669</v>
      </c>
      <c r="Q594" s="60">
        <v>300</v>
      </c>
      <c r="R594" s="48">
        <f>IFERROR(Q594/VLOOKUP(P594,'Exchange rates to USD'!$L$2:$N$225,3,FALSE),"")</f>
        <v>330.80068232225648</v>
      </c>
      <c r="U594" s="152"/>
      <c r="V594" s="152"/>
      <c r="W594" s="152"/>
    </row>
    <row r="595" spans="1:23" s="38" customFormat="1" ht="13.25" customHeight="1" x14ac:dyDescent="0.25">
      <c r="A595" s="152" t="s">
        <v>3148</v>
      </c>
      <c r="B595" s="38" t="s">
        <v>652</v>
      </c>
      <c r="C595" s="38" t="s">
        <v>2530</v>
      </c>
      <c r="D595" s="38" t="s">
        <v>13</v>
      </c>
      <c r="E595" s="38" t="s">
        <v>36</v>
      </c>
      <c r="F595" s="38" t="s">
        <v>3140</v>
      </c>
      <c r="G595" s="38" t="s">
        <v>3173</v>
      </c>
      <c r="H595" s="152" t="s">
        <v>25</v>
      </c>
      <c r="J595" s="38" t="s">
        <v>3141</v>
      </c>
      <c r="M595" s="38" t="s">
        <v>113</v>
      </c>
      <c r="O595" s="45">
        <v>44294</v>
      </c>
      <c r="P595" s="152" t="s">
        <v>669</v>
      </c>
      <c r="Q595" s="60">
        <v>750</v>
      </c>
      <c r="R595" s="48">
        <f>IFERROR(Q595/VLOOKUP(P595,'Exchange rates to USD'!$L$2:$N$225,3,FALSE),"")</f>
        <v>827.00170580564122</v>
      </c>
      <c r="U595" s="152"/>
      <c r="V595" s="152"/>
      <c r="W595" s="152"/>
    </row>
    <row r="596" spans="1:23" s="38" customFormat="1" ht="13.25" customHeight="1" x14ac:dyDescent="0.25">
      <c r="A596" s="152" t="s">
        <v>3149</v>
      </c>
      <c r="B596" s="38" t="s">
        <v>652</v>
      </c>
      <c r="C596" s="38" t="s">
        <v>2530</v>
      </c>
      <c r="D596" s="38" t="s">
        <v>13</v>
      </c>
      <c r="E596" s="38" t="s">
        <v>3200</v>
      </c>
      <c r="F596" s="38" t="s">
        <v>3142</v>
      </c>
      <c r="G596" s="38" t="s">
        <v>3173</v>
      </c>
      <c r="H596" s="152" t="s">
        <v>25</v>
      </c>
      <c r="J596" s="38" t="s">
        <v>3143</v>
      </c>
      <c r="M596" s="38" t="s">
        <v>113</v>
      </c>
      <c r="O596" s="45">
        <v>44294</v>
      </c>
      <c r="P596" s="38" t="s">
        <v>669</v>
      </c>
      <c r="Q596" s="60">
        <v>220</v>
      </c>
      <c r="R596" s="48">
        <f>IFERROR(Q596/VLOOKUP(P596,'Exchange rates to USD'!$L$2:$N$225,3,FALSE),"")</f>
        <v>242.58716703632143</v>
      </c>
      <c r="U596" s="152"/>
      <c r="V596" s="152"/>
      <c r="W596" s="152"/>
    </row>
    <row r="597" spans="1:23" s="152" customFormat="1" ht="13.25" customHeight="1" x14ac:dyDescent="0.25">
      <c r="A597" s="199" t="s">
        <v>2399</v>
      </c>
      <c r="B597" s="199" t="s">
        <v>653</v>
      </c>
      <c r="C597" s="199" t="s">
        <v>22</v>
      </c>
      <c r="D597" s="199" t="s">
        <v>23</v>
      </c>
      <c r="E597" s="199" t="s">
        <v>3200</v>
      </c>
      <c r="F597" s="199" t="s">
        <v>2400</v>
      </c>
      <c r="G597" s="199"/>
      <c r="H597" s="199"/>
      <c r="I597" s="199"/>
      <c r="J597" s="199" t="s">
        <v>2401</v>
      </c>
      <c r="K597" s="199" t="s">
        <v>2402</v>
      </c>
      <c r="L597" s="199" t="s">
        <v>2403</v>
      </c>
      <c r="M597" s="199" t="s">
        <v>737</v>
      </c>
      <c r="N597" s="199" t="s">
        <v>2490</v>
      </c>
      <c r="O597" s="200">
        <v>44179</v>
      </c>
      <c r="P597" s="199" t="s">
        <v>669</v>
      </c>
      <c r="Q597" s="199">
        <v>2305</v>
      </c>
      <c r="R597" s="201">
        <f>IFERROR(Q597/VLOOKUP(P597,'[1]Exchange rates to USD'!$L$2:$N$225,3,FALSE),"")</f>
        <v>2541.6519091760042</v>
      </c>
    </row>
    <row r="598" spans="1:23" ht="13.25" customHeight="1" x14ac:dyDescent="0.25">
      <c r="A598" s="31" t="s">
        <v>204</v>
      </c>
      <c r="B598" s="31" t="s">
        <v>654</v>
      </c>
      <c r="C598" s="31" t="s">
        <v>30</v>
      </c>
      <c r="D598" s="31" t="s">
        <v>13</v>
      </c>
      <c r="E598" s="31" t="s">
        <v>88</v>
      </c>
      <c r="G598" s="31" t="s">
        <v>3173</v>
      </c>
      <c r="H598" s="31" t="s">
        <v>25</v>
      </c>
      <c r="I598" s="31" t="s">
        <v>111</v>
      </c>
      <c r="J598" s="31" t="s">
        <v>205</v>
      </c>
      <c r="K598" s="31" t="s">
        <v>1075</v>
      </c>
      <c r="M598" s="31" t="s">
        <v>737</v>
      </c>
      <c r="R598" s="48" t="str">
        <f>IFERROR(Q598/VLOOKUP(P598,'Exchange rates to USD'!$L$2:$N$225,3,FALSE),"")</f>
        <v/>
      </c>
      <c r="U598" s="152"/>
      <c r="V598" s="152"/>
      <c r="W598" s="152"/>
    </row>
    <row r="599" spans="1:23" ht="13.25" customHeight="1" x14ac:dyDescent="0.25">
      <c r="A599" s="31" t="s">
        <v>2256</v>
      </c>
      <c r="B599" s="31" t="s">
        <v>654</v>
      </c>
      <c r="C599" s="31" t="s">
        <v>84</v>
      </c>
      <c r="D599" s="31" t="s">
        <v>13</v>
      </c>
      <c r="E599" s="31" t="s">
        <v>3200</v>
      </c>
      <c r="G599" s="31" t="s">
        <v>111</v>
      </c>
      <c r="H599" s="31" t="s">
        <v>207</v>
      </c>
      <c r="J599" s="31" t="s">
        <v>208</v>
      </c>
      <c r="K599" s="31" t="s">
        <v>1076</v>
      </c>
      <c r="L599" s="31" t="s">
        <v>1077</v>
      </c>
      <c r="M599" s="31" t="s">
        <v>737</v>
      </c>
      <c r="R599" s="48" t="str">
        <f>IFERROR(Q599/VLOOKUP(P599,'Exchange rates to USD'!$L$2:$N$225,3,FALSE),"")</f>
        <v/>
      </c>
      <c r="U599" s="152"/>
      <c r="V599" s="152"/>
      <c r="W599" s="152"/>
    </row>
    <row r="600" spans="1:23" ht="13.25" customHeight="1" x14ac:dyDescent="0.25">
      <c r="A600" s="31" t="s">
        <v>206</v>
      </c>
      <c r="B600" s="31" t="s">
        <v>654</v>
      </c>
      <c r="C600" s="31" t="s">
        <v>22</v>
      </c>
      <c r="D600" s="31" t="s">
        <v>13</v>
      </c>
      <c r="E600" s="31" t="s">
        <v>3200</v>
      </c>
      <c r="G600" s="31" t="s">
        <v>41</v>
      </c>
      <c r="H600" s="31" t="s">
        <v>44</v>
      </c>
      <c r="J600" s="31" t="s">
        <v>210</v>
      </c>
      <c r="K600" s="31" t="s">
        <v>1078</v>
      </c>
      <c r="M600" s="31" t="s">
        <v>737</v>
      </c>
      <c r="R600" s="48" t="str">
        <f>IFERROR(Q600/VLOOKUP(P600,'Exchange rates to USD'!$L$2:$N$225,3,FALSE),"")</f>
        <v/>
      </c>
      <c r="U600" s="152"/>
      <c r="V600" s="152"/>
      <c r="W600" s="152"/>
    </row>
    <row r="601" spans="1:23" ht="13.25" customHeight="1" x14ac:dyDescent="0.25">
      <c r="A601" s="31" t="s">
        <v>209</v>
      </c>
      <c r="B601" s="31" t="s">
        <v>654</v>
      </c>
      <c r="C601" s="31" t="s">
        <v>2531</v>
      </c>
      <c r="D601" s="31" t="s">
        <v>13</v>
      </c>
      <c r="E601" s="31" t="s">
        <v>14</v>
      </c>
      <c r="G601" s="31" t="s">
        <v>3173</v>
      </c>
      <c r="H601" s="31" t="s">
        <v>25</v>
      </c>
      <c r="I601" s="31" t="s">
        <v>44</v>
      </c>
      <c r="J601" s="31" t="s">
        <v>212</v>
      </c>
      <c r="K601" s="31" t="s">
        <v>1079</v>
      </c>
      <c r="M601" s="31" t="s">
        <v>737</v>
      </c>
      <c r="R601" s="48" t="str">
        <f>IFERROR(Q601/VLOOKUP(P601,'Exchange rates to USD'!$L$2:$N$225,3,FALSE),"")</f>
        <v/>
      </c>
      <c r="U601" s="152"/>
      <c r="V601" s="152"/>
      <c r="W601" s="152"/>
    </row>
    <row r="602" spans="1:23" ht="13.25" customHeight="1" x14ac:dyDescent="0.25">
      <c r="A602" s="31" t="s">
        <v>211</v>
      </c>
      <c r="B602" s="31" t="s">
        <v>654</v>
      </c>
      <c r="C602" s="31" t="s">
        <v>30</v>
      </c>
      <c r="D602" s="31" t="s">
        <v>13</v>
      </c>
      <c r="E602" s="31" t="s">
        <v>3200</v>
      </c>
      <c r="G602" s="31" t="s">
        <v>41</v>
      </c>
      <c r="H602" s="31" t="s">
        <v>3173</v>
      </c>
      <c r="J602" s="31" t="s">
        <v>214</v>
      </c>
      <c r="K602" s="31" t="s">
        <v>1080</v>
      </c>
      <c r="M602" s="31" t="s">
        <v>737</v>
      </c>
      <c r="R602" s="48" t="str">
        <f>IFERROR(Q602/VLOOKUP(P602,'Exchange rates to USD'!$L$2:$N$225,3,FALSE),"")</f>
        <v/>
      </c>
      <c r="U602" s="152"/>
      <c r="V602" s="152"/>
      <c r="W602" s="152"/>
    </row>
    <row r="603" spans="1:23" ht="13.25" customHeight="1" x14ac:dyDescent="0.25">
      <c r="A603" s="31" t="s">
        <v>2257</v>
      </c>
      <c r="B603" s="31" t="s">
        <v>654</v>
      </c>
      <c r="C603" s="31" t="s">
        <v>2531</v>
      </c>
      <c r="D603" s="31" t="s">
        <v>13</v>
      </c>
      <c r="E603" s="31" t="s">
        <v>14</v>
      </c>
      <c r="G603" s="31" t="s">
        <v>25</v>
      </c>
      <c r="H603" s="31" t="s">
        <v>3173</v>
      </c>
      <c r="I603" s="31" t="s">
        <v>44</v>
      </c>
      <c r="J603" s="31" t="s">
        <v>216</v>
      </c>
      <c r="K603" s="31" t="s">
        <v>1081</v>
      </c>
      <c r="M603" s="31" t="s">
        <v>737</v>
      </c>
      <c r="R603" s="48" t="str">
        <f>IFERROR(Q603/VLOOKUP(P603,'Exchange rates to USD'!$L$2:$N$225,3,FALSE),"")</f>
        <v/>
      </c>
      <c r="U603" s="152"/>
      <c r="V603" s="152"/>
      <c r="W603" s="152"/>
    </row>
    <row r="604" spans="1:23" ht="13.25" customHeight="1" x14ac:dyDescent="0.25">
      <c r="A604" s="31" t="s">
        <v>213</v>
      </c>
      <c r="B604" s="31" t="s">
        <v>654</v>
      </c>
      <c r="C604" s="31" t="s">
        <v>30</v>
      </c>
      <c r="D604" s="31" t="s">
        <v>13</v>
      </c>
      <c r="E604" s="31" t="s">
        <v>3200</v>
      </c>
      <c r="G604" s="31" t="s">
        <v>111</v>
      </c>
      <c r="H604" s="31" t="s">
        <v>44</v>
      </c>
      <c r="J604" s="31" t="s">
        <v>218</v>
      </c>
      <c r="K604" s="31" t="s">
        <v>1082</v>
      </c>
      <c r="M604" s="31" t="s">
        <v>737</v>
      </c>
      <c r="R604" s="48" t="str">
        <f>IFERROR(Q604/VLOOKUP(P604,'Exchange rates to USD'!$L$2:$N$225,3,FALSE),"")</f>
        <v/>
      </c>
      <c r="U604" s="152"/>
      <c r="V604" s="152"/>
      <c r="W604" s="152"/>
    </row>
    <row r="605" spans="1:23" ht="13.25" customHeight="1" x14ac:dyDescent="0.25">
      <c r="A605" s="31" t="s">
        <v>2258</v>
      </c>
      <c r="B605" s="31" t="s">
        <v>654</v>
      </c>
      <c r="C605" s="31" t="s">
        <v>30</v>
      </c>
      <c r="D605" s="31" t="s">
        <v>39</v>
      </c>
      <c r="E605" s="31" t="s">
        <v>3200</v>
      </c>
      <c r="G605" s="31" t="s">
        <v>3173</v>
      </c>
      <c r="H605" s="31" t="s">
        <v>41</v>
      </c>
      <c r="I605" s="31" t="s">
        <v>111</v>
      </c>
      <c r="J605" s="31" t="s">
        <v>220</v>
      </c>
      <c r="K605" s="31" t="s">
        <v>1083</v>
      </c>
      <c r="M605" s="31" t="s">
        <v>737</v>
      </c>
      <c r="R605" s="48" t="str">
        <f>IFERROR(Q605/VLOOKUP(P605,'Exchange rates to USD'!$L$2:$N$225,3,FALSE),"")</f>
        <v/>
      </c>
      <c r="U605" s="152"/>
      <c r="V605" s="152"/>
      <c r="W605" s="152"/>
    </row>
    <row r="606" spans="1:23" ht="13.25" customHeight="1" x14ac:dyDescent="0.25">
      <c r="A606" s="31" t="s">
        <v>2259</v>
      </c>
      <c r="B606" s="31" t="s">
        <v>654</v>
      </c>
      <c r="C606" s="31" t="s">
        <v>30</v>
      </c>
      <c r="D606" s="31" t="s">
        <v>23</v>
      </c>
      <c r="E606" s="31" t="s">
        <v>3200</v>
      </c>
      <c r="G606" s="31" t="s">
        <v>41</v>
      </c>
      <c r="H606" s="31" t="s">
        <v>44</v>
      </c>
      <c r="J606" s="31" t="s">
        <v>222</v>
      </c>
      <c r="K606" s="31" t="s">
        <v>1084</v>
      </c>
      <c r="M606" s="31" t="s">
        <v>113</v>
      </c>
      <c r="R606" s="48" t="str">
        <f>IFERROR(Q606/VLOOKUP(P606,'Exchange rates to USD'!$L$2:$N$225,3,FALSE),"")</f>
        <v/>
      </c>
      <c r="U606" s="152"/>
      <c r="V606" s="152"/>
      <c r="W606" s="152"/>
    </row>
    <row r="607" spans="1:23" ht="13.25" customHeight="1" x14ac:dyDescent="0.25">
      <c r="A607" s="31" t="s">
        <v>2260</v>
      </c>
      <c r="B607" s="31" t="s">
        <v>654</v>
      </c>
      <c r="C607" s="31" t="s">
        <v>30</v>
      </c>
      <c r="D607" s="31" t="s">
        <v>13</v>
      </c>
      <c r="E607" s="31" t="s">
        <v>14</v>
      </c>
      <c r="G607" s="31" t="s">
        <v>25</v>
      </c>
      <c r="H607" s="31" t="s">
        <v>44</v>
      </c>
      <c r="J607" s="31" t="s">
        <v>1085</v>
      </c>
      <c r="K607" s="31" t="s">
        <v>1086</v>
      </c>
      <c r="M607" s="31" t="s">
        <v>113</v>
      </c>
      <c r="R607" s="48" t="str">
        <f>IFERROR(Q607/VLOOKUP(P607,'Exchange rates to USD'!$L$2:$N$225,3,FALSE),"")</f>
        <v/>
      </c>
      <c r="U607" s="152"/>
      <c r="V607" s="152"/>
      <c r="W607" s="152"/>
    </row>
    <row r="608" spans="1:23" ht="13.25" customHeight="1" x14ac:dyDescent="0.25">
      <c r="A608" s="31" t="s">
        <v>2261</v>
      </c>
      <c r="B608" s="31" t="s">
        <v>654</v>
      </c>
      <c r="C608" s="31" t="s">
        <v>22</v>
      </c>
      <c r="D608" s="31" t="s">
        <v>13</v>
      </c>
      <c r="E608" s="31" t="s">
        <v>36</v>
      </c>
      <c r="F608" s="31" t="s">
        <v>2000</v>
      </c>
      <c r="G608" s="31" t="s">
        <v>3173</v>
      </c>
      <c r="H608" s="31" t="s">
        <v>25</v>
      </c>
      <c r="I608" s="31" t="s">
        <v>44</v>
      </c>
      <c r="J608" s="31" t="s">
        <v>225</v>
      </c>
      <c r="K608" s="31" t="s">
        <v>1087</v>
      </c>
      <c r="M608" s="31" t="s">
        <v>113</v>
      </c>
      <c r="P608" s="31" t="s">
        <v>669</v>
      </c>
      <c r="Q608" s="32">
        <v>100</v>
      </c>
      <c r="R608" s="48">
        <f>IFERROR(Q608/VLOOKUP(P608,'Exchange rates to USD'!$L$2:$N$225,3,FALSE),"")</f>
        <v>110.26689410741884</v>
      </c>
      <c r="U608" s="152"/>
      <c r="V608" s="152"/>
      <c r="W608" s="152"/>
    </row>
    <row r="609" spans="1:23" ht="13.25" customHeight="1" x14ac:dyDescent="0.25">
      <c r="A609" s="31" t="s">
        <v>2262</v>
      </c>
      <c r="B609" s="31" t="s">
        <v>654</v>
      </c>
      <c r="C609" s="31" t="s">
        <v>30</v>
      </c>
      <c r="D609" s="31" t="s">
        <v>23</v>
      </c>
      <c r="E609" s="31" t="s">
        <v>3200</v>
      </c>
      <c r="G609" s="31" t="s">
        <v>3173</v>
      </c>
      <c r="H609" s="31" t="s">
        <v>44</v>
      </c>
      <c r="J609" s="31" t="s">
        <v>226</v>
      </c>
      <c r="K609" s="31" t="s">
        <v>1088</v>
      </c>
      <c r="M609" s="31" t="s">
        <v>113</v>
      </c>
      <c r="R609" s="48" t="str">
        <f>IFERROR(Q609/VLOOKUP(P609,'Exchange rates to USD'!$L$2:$N$225,3,FALSE),"")</f>
        <v/>
      </c>
      <c r="U609" s="152"/>
      <c r="V609" s="152"/>
      <c r="W609" s="152"/>
    </row>
    <row r="610" spans="1:23" ht="13.25" customHeight="1" x14ac:dyDescent="0.25">
      <c r="A610" s="31" t="s">
        <v>215</v>
      </c>
      <c r="B610" s="31" t="s">
        <v>654</v>
      </c>
      <c r="C610" s="31" t="s">
        <v>30</v>
      </c>
      <c r="D610" s="31" t="s">
        <v>13</v>
      </c>
      <c r="E610" s="31" t="s">
        <v>36</v>
      </c>
      <c r="G610" s="31" t="s">
        <v>25</v>
      </c>
      <c r="H610" s="31" t="s">
        <v>44</v>
      </c>
      <c r="J610" s="31" t="s">
        <v>227</v>
      </c>
      <c r="K610" s="31" t="s">
        <v>1089</v>
      </c>
      <c r="M610" s="31" t="s">
        <v>737</v>
      </c>
      <c r="R610" s="48" t="str">
        <f>IFERROR(Q610/VLOOKUP(P610,'Exchange rates to USD'!$L$2:$N$225,3,FALSE),"")</f>
        <v/>
      </c>
      <c r="U610" s="152"/>
      <c r="V610" s="152"/>
      <c r="W610" s="152"/>
    </row>
    <row r="611" spans="1:23" ht="13.25" customHeight="1" x14ac:dyDescent="0.25">
      <c r="A611" s="31" t="s">
        <v>2263</v>
      </c>
      <c r="B611" s="31" t="s">
        <v>654</v>
      </c>
      <c r="C611" s="31" t="s">
        <v>22</v>
      </c>
      <c r="D611" s="31" t="s">
        <v>13</v>
      </c>
      <c r="E611" s="31" t="s">
        <v>14</v>
      </c>
      <c r="G611" s="31" t="s">
        <v>3173</v>
      </c>
      <c r="H611" s="31" t="s">
        <v>44</v>
      </c>
      <c r="J611" s="31" t="s">
        <v>1090</v>
      </c>
      <c r="K611" s="31" t="s">
        <v>1091</v>
      </c>
      <c r="L611" s="31" t="s">
        <v>1092</v>
      </c>
      <c r="M611" s="31" t="s">
        <v>737</v>
      </c>
      <c r="R611" s="48" t="str">
        <f>IFERROR(Q611/VLOOKUP(P611,'Exchange rates to USD'!$L$2:$N$225,3,FALSE),"")</f>
        <v/>
      </c>
      <c r="U611" s="152"/>
      <c r="V611" s="152"/>
      <c r="W611" s="152"/>
    </row>
    <row r="612" spans="1:23" ht="13.25" customHeight="1" x14ac:dyDescent="0.25">
      <c r="A612" s="31" t="s">
        <v>217</v>
      </c>
      <c r="B612" s="31" t="s">
        <v>654</v>
      </c>
      <c r="C612" s="31" t="s">
        <v>22</v>
      </c>
      <c r="D612" s="31" t="s">
        <v>39</v>
      </c>
      <c r="E612" s="31" t="s">
        <v>14</v>
      </c>
      <c r="F612" s="31" t="s">
        <v>2001</v>
      </c>
      <c r="G612" s="31" t="s">
        <v>3173</v>
      </c>
      <c r="H612" s="31" t="s">
        <v>44</v>
      </c>
      <c r="J612" s="31" t="s">
        <v>1093</v>
      </c>
      <c r="K612" s="31" t="s">
        <v>1094</v>
      </c>
      <c r="L612" s="31" t="s">
        <v>1095</v>
      </c>
      <c r="M612" s="31" t="s">
        <v>113</v>
      </c>
      <c r="O612" s="42">
        <v>44084</v>
      </c>
      <c r="P612" s="31" t="s">
        <v>669</v>
      </c>
      <c r="Q612" s="32">
        <v>316</v>
      </c>
      <c r="R612" s="48">
        <f>IFERROR(Q612/VLOOKUP(P612,'Exchange rates to USD'!$L$2:$N$225,3,FALSE),"")</f>
        <v>348.4433853794435</v>
      </c>
      <c r="U612" s="152"/>
      <c r="V612" s="152"/>
      <c r="W612" s="152"/>
    </row>
    <row r="613" spans="1:23" ht="13.25" customHeight="1" x14ac:dyDescent="0.25">
      <c r="A613" s="31" t="s">
        <v>2264</v>
      </c>
      <c r="B613" s="31" t="s">
        <v>654</v>
      </c>
      <c r="C613" s="31" t="s">
        <v>84</v>
      </c>
      <c r="D613" s="31" t="s">
        <v>23</v>
      </c>
      <c r="E613" s="31" t="s">
        <v>3200</v>
      </c>
      <c r="F613" s="31" t="s">
        <v>2002</v>
      </c>
      <c r="G613" s="31" t="s">
        <v>41</v>
      </c>
      <c r="H613" s="31" t="s">
        <v>44</v>
      </c>
      <c r="J613" s="31" t="s">
        <v>1096</v>
      </c>
      <c r="K613" s="31" t="s">
        <v>1097</v>
      </c>
      <c r="M613" s="31" t="s">
        <v>113</v>
      </c>
      <c r="O613" s="42">
        <v>44126</v>
      </c>
      <c r="P613" s="31" t="s">
        <v>669</v>
      </c>
      <c r="Q613" s="32">
        <v>10.7</v>
      </c>
      <c r="R613" s="48">
        <f>IFERROR(Q613/VLOOKUP(P613,'Exchange rates to USD'!$L$2:$N$225,3,FALSE),"")</f>
        <v>11.798557669493814</v>
      </c>
      <c r="U613" s="152"/>
      <c r="V613" s="152"/>
      <c r="W613" s="152"/>
    </row>
    <row r="614" spans="1:23" ht="13.25" customHeight="1" x14ac:dyDescent="0.25">
      <c r="A614" s="31" t="s">
        <v>219</v>
      </c>
      <c r="B614" s="31" t="s">
        <v>654</v>
      </c>
      <c r="C614" s="31" t="s">
        <v>22</v>
      </c>
      <c r="D614" s="31" t="s">
        <v>13</v>
      </c>
      <c r="E614" s="31" t="s">
        <v>88</v>
      </c>
      <c r="F614" s="31" t="s">
        <v>2003</v>
      </c>
      <c r="G614" s="31" t="s">
        <v>41</v>
      </c>
      <c r="H614" s="31" t="s">
        <v>44</v>
      </c>
      <c r="J614" s="31" t="s">
        <v>1098</v>
      </c>
      <c r="K614" s="31" t="s">
        <v>1099</v>
      </c>
      <c r="M614" s="31" t="s">
        <v>113</v>
      </c>
      <c r="N614" s="31" t="s">
        <v>1100</v>
      </c>
      <c r="O614" s="42">
        <v>44126</v>
      </c>
      <c r="P614" s="31" t="s">
        <v>669</v>
      </c>
      <c r="Q614" s="32">
        <v>4.3</v>
      </c>
      <c r="R614" s="48">
        <f>IFERROR(Q614/VLOOKUP(P614,'Exchange rates to USD'!$L$2:$N$225,3,FALSE),"")</f>
        <v>4.7414764466190098</v>
      </c>
      <c r="U614" s="152"/>
      <c r="V614" s="152"/>
      <c r="W614" s="152"/>
    </row>
    <row r="615" spans="1:23" ht="13.25" customHeight="1" x14ac:dyDescent="0.25">
      <c r="A615" s="31" t="s">
        <v>2265</v>
      </c>
      <c r="B615" s="31" t="s">
        <v>654</v>
      </c>
      <c r="C615" s="31" t="s">
        <v>22</v>
      </c>
      <c r="D615" s="31" t="s">
        <v>13</v>
      </c>
      <c r="E615" s="31" t="s">
        <v>14</v>
      </c>
      <c r="F615" s="31" t="s">
        <v>2004</v>
      </c>
      <c r="G615" s="31" t="s">
        <v>3173</v>
      </c>
      <c r="H615" s="31" t="s">
        <v>25</v>
      </c>
      <c r="J615" s="31" t="s">
        <v>2005</v>
      </c>
      <c r="K615" s="31" t="s">
        <v>2006</v>
      </c>
      <c r="M615" s="31" t="s">
        <v>2007</v>
      </c>
      <c r="O615" s="42">
        <v>44150</v>
      </c>
      <c r="P615" s="31" t="s">
        <v>1270</v>
      </c>
      <c r="Q615" s="32">
        <v>7400</v>
      </c>
      <c r="R615" s="48">
        <f>IFERROR(Q615/VLOOKUP(P615,'Exchange rates to USD'!$L$2:$N$225,3,FALSE),"")</f>
        <v>7400</v>
      </c>
      <c r="U615" s="152"/>
      <c r="V615" s="152"/>
      <c r="W615" s="152"/>
    </row>
    <row r="616" spans="1:23" ht="13.25" customHeight="1" x14ac:dyDescent="0.25">
      <c r="A616" s="31" t="s">
        <v>221</v>
      </c>
      <c r="B616" s="31" t="s">
        <v>654</v>
      </c>
      <c r="C616" s="31" t="s">
        <v>22</v>
      </c>
      <c r="D616" s="31" t="s">
        <v>13</v>
      </c>
      <c r="E616" s="31" t="s">
        <v>36</v>
      </c>
      <c r="F616" s="31" t="s">
        <v>2008</v>
      </c>
      <c r="G616" s="31" t="s">
        <v>3173</v>
      </c>
      <c r="H616" s="31" t="s">
        <v>25</v>
      </c>
      <c r="J616" s="31" t="s">
        <v>2009</v>
      </c>
      <c r="K616" s="31" t="s">
        <v>2010</v>
      </c>
      <c r="L616" s="31" t="s">
        <v>2011</v>
      </c>
      <c r="M616" s="31" t="s">
        <v>737</v>
      </c>
      <c r="O616" s="42">
        <v>44150</v>
      </c>
      <c r="P616" s="31" t="s">
        <v>1270</v>
      </c>
      <c r="Q616" s="32">
        <v>881</v>
      </c>
      <c r="R616" s="48">
        <f>IFERROR(Q616/VLOOKUP(P616,'Exchange rates to USD'!$L$2:$N$225,3,FALSE),"")</f>
        <v>881</v>
      </c>
      <c r="U616" s="152"/>
      <c r="V616" s="152"/>
      <c r="W616" s="152"/>
    </row>
    <row r="617" spans="1:23" ht="13.25" customHeight="1" x14ac:dyDescent="0.25">
      <c r="A617" s="31" t="s">
        <v>223</v>
      </c>
      <c r="B617" s="31" t="s">
        <v>654</v>
      </c>
      <c r="C617" s="31" t="s">
        <v>22</v>
      </c>
      <c r="D617" s="31" t="s">
        <v>13</v>
      </c>
      <c r="E617" s="31" t="s">
        <v>36</v>
      </c>
      <c r="F617" s="31" t="s">
        <v>2012</v>
      </c>
      <c r="G617" s="31" t="s">
        <v>3173</v>
      </c>
      <c r="H617" s="31" t="s">
        <v>25</v>
      </c>
      <c r="J617" s="31" t="s">
        <v>2013</v>
      </c>
      <c r="K617" s="31" t="s">
        <v>2014</v>
      </c>
      <c r="M617" s="31" t="s">
        <v>737</v>
      </c>
      <c r="O617" s="42">
        <v>44150</v>
      </c>
      <c r="P617" s="31" t="s">
        <v>1270</v>
      </c>
      <c r="Q617" s="32">
        <v>303</v>
      </c>
      <c r="R617" s="48">
        <f>IFERROR(Q617/VLOOKUP(P617,'Exchange rates to USD'!$L$2:$N$225,3,FALSE),"")</f>
        <v>303</v>
      </c>
      <c r="U617" s="152"/>
      <c r="V617" s="152"/>
      <c r="W617" s="152"/>
    </row>
    <row r="618" spans="1:23" ht="13.25" customHeight="1" x14ac:dyDescent="0.25">
      <c r="A618" s="31" t="s">
        <v>2266</v>
      </c>
      <c r="B618" s="31" t="s">
        <v>654</v>
      </c>
      <c r="C618" s="31" t="s">
        <v>22</v>
      </c>
      <c r="D618" s="31" t="s">
        <v>13</v>
      </c>
      <c r="E618" s="31" t="s">
        <v>172</v>
      </c>
      <c r="F618" s="31" t="s">
        <v>2015</v>
      </c>
      <c r="G618" s="31" t="s">
        <v>3173</v>
      </c>
      <c r="J618" s="31" t="s">
        <v>2016</v>
      </c>
      <c r="M618" s="31" t="s">
        <v>101</v>
      </c>
      <c r="O618" s="42">
        <v>44150</v>
      </c>
      <c r="P618" s="31" t="s">
        <v>1270</v>
      </c>
      <c r="Q618" s="32">
        <v>1110</v>
      </c>
      <c r="R618" s="48">
        <f>IFERROR(Q618/VLOOKUP(P618,'Exchange rates to USD'!$L$2:$N$225,3,FALSE),"")</f>
        <v>1110</v>
      </c>
      <c r="U618" s="152"/>
      <c r="V618" s="152"/>
      <c r="W618" s="152"/>
    </row>
    <row r="619" spans="1:23" ht="13.25" customHeight="1" x14ac:dyDescent="0.25">
      <c r="A619" s="31" t="s">
        <v>224</v>
      </c>
      <c r="B619" s="31" t="s">
        <v>654</v>
      </c>
      <c r="C619" s="31" t="s">
        <v>22</v>
      </c>
      <c r="D619" s="31" t="s">
        <v>13</v>
      </c>
      <c r="E619" s="31" t="s">
        <v>2017</v>
      </c>
      <c r="F619" s="31" t="s">
        <v>2018</v>
      </c>
      <c r="G619" s="31" t="s">
        <v>3173</v>
      </c>
      <c r="J619" s="31" t="s">
        <v>2019</v>
      </c>
      <c r="K619" s="31" t="s">
        <v>2020</v>
      </c>
      <c r="M619" s="31" t="s">
        <v>113</v>
      </c>
      <c r="O619" s="42">
        <v>44151</v>
      </c>
      <c r="P619" s="31" t="s">
        <v>1270</v>
      </c>
      <c r="Q619" s="32">
        <v>330.3</v>
      </c>
      <c r="R619" s="48">
        <f>IFERROR(Q619/VLOOKUP(P619,'Exchange rates to USD'!$L$2:$N$225,3,FALSE),"")</f>
        <v>330.3</v>
      </c>
      <c r="U619" s="152"/>
      <c r="V619" s="152"/>
      <c r="W619" s="152"/>
    </row>
    <row r="620" spans="1:23" ht="13.25" customHeight="1" x14ac:dyDescent="0.25">
      <c r="A620" s="34" t="s">
        <v>2267</v>
      </c>
      <c r="B620" s="34" t="s">
        <v>654</v>
      </c>
      <c r="C620" s="31" t="s">
        <v>2531</v>
      </c>
      <c r="D620" s="34" t="s">
        <v>13</v>
      </c>
      <c r="E620" s="34" t="s">
        <v>14</v>
      </c>
      <c r="F620" s="34" t="s">
        <v>2021</v>
      </c>
      <c r="G620" s="34" t="s">
        <v>3173</v>
      </c>
      <c r="H620" s="34"/>
      <c r="I620" s="34"/>
      <c r="J620" s="34" t="s">
        <v>2022</v>
      </c>
      <c r="K620" s="34" t="s">
        <v>2023</v>
      </c>
      <c r="L620" s="34"/>
      <c r="M620" s="34" t="s">
        <v>113</v>
      </c>
      <c r="N620" s="34"/>
      <c r="O620" s="43">
        <v>44152</v>
      </c>
      <c r="P620" s="34" t="s">
        <v>1270</v>
      </c>
      <c r="Q620" s="49">
        <v>271</v>
      </c>
      <c r="R620" s="22">
        <f>IFERROR(Q620/VLOOKUP(P620,'Exchange rates to USD'!$L$2:$N$225,3,FALSE),"")</f>
        <v>271</v>
      </c>
      <c r="U620" s="152"/>
      <c r="V620" s="152"/>
      <c r="W620" s="152"/>
    </row>
    <row r="621" spans="1:23" ht="13.25" customHeight="1" x14ac:dyDescent="0.25">
      <c r="A621" s="31" t="s">
        <v>186</v>
      </c>
      <c r="B621" s="31" t="s">
        <v>655</v>
      </c>
      <c r="C621" s="31" t="s">
        <v>22</v>
      </c>
      <c r="D621" s="31" t="s">
        <v>13</v>
      </c>
      <c r="E621" s="31" t="s">
        <v>172</v>
      </c>
      <c r="F621" s="31" t="s">
        <v>187</v>
      </c>
      <c r="G621" s="31" t="s">
        <v>3173</v>
      </c>
      <c r="J621" s="31" t="s">
        <v>188</v>
      </c>
      <c r="K621" s="31" t="s">
        <v>189</v>
      </c>
      <c r="M621" s="31" t="s">
        <v>101</v>
      </c>
      <c r="N621" s="31" t="s">
        <v>666</v>
      </c>
      <c r="O621" s="42" t="s">
        <v>884</v>
      </c>
      <c r="P621" s="31" t="s">
        <v>2220</v>
      </c>
      <c r="Q621" s="32">
        <v>5000</v>
      </c>
      <c r="R621" s="48">
        <f>IFERROR(Q621/VLOOKUP(P621,'Exchange rates to USD'!$L$2:$N$225,3,FALSE),"")</f>
        <v>517.54260841324594</v>
      </c>
      <c r="U621" s="152"/>
      <c r="V621" s="152"/>
      <c r="W621" s="152"/>
    </row>
    <row r="622" spans="1:23" ht="13.25" customHeight="1" x14ac:dyDescent="0.25">
      <c r="A622" s="31" t="s">
        <v>190</v>
      </c>
      <c r="B622" s="31" t="s">
        <v>655</v>
      </c>
      <c r="C622" s="31" t="s">
        <v>84</v>
      </c>
      <c r="D622" s="31" t="s">
        <v>13</v>
      </c>
      <c r="E622" s="31" t="s">
        <v>191</v>
      </c>
      <c r="F622" s="31" t="s">
        <v>192</v>
      </c>
      <c r="G622" s="31" t="s">
        <v>3173</v>
      </c>
      <c r="H622" s="31" t="s">
        <v>41</v>
      </c>
      <c r="I622" s="31" t="s">
        <v>44</v>
      </c>
      <c r="J622" s="31" t="s">
        <v>193</v>
      </c>
      <c r="K622" s="31" t="s">
        <v>194</v>
      </c>
      <c r="M622" s="31" t="s">
        <v>113</v>
      </c>
      <c r="O622" s="42" t="s">
        <v>884</v>
      </c>
      <c r="P622" s="31" t="s">
        <v>2220</v>
      </c>
      <c r="Q622" s="32">
        <v>150</v>
      </c>
      <c r="R622" s="48">
        <f>IFERROR(Q622/VLOOKUP(P622,'Exchange rates to USD'!$L$2:$N$225,3,FALSE),"")</f>
        <v>15.526278252397379</v>
      </c>
      <c r="U622" s="152"/>
      <c r="V622" s="152"/>
      <c r="W622" s="152"/>
    </row>
    <row r="623" spans="1:23" ht="13.25" customHeight="1" x14ac:dyDescent="0.25">
      <c r="A623" s="31" t="s">
        <v>195</v>
      </c>
      <c r="B623" s="31" t="s">
        <v>655</v>
      </c>
      <c r="C623" s="31" t="s">
        <v>30</v>
      </c>
      <c r="D623" s="31" t="s">
        <v>13</v>
      </c>
      <c r="E623" s="31" t="s">
        <v>98</v>
      </c>
      <c r="J623" s="31" t="s">
        <v>196</v>
      </c>
      <c r="K623" s="31" t="s">
        <v>197</v>
      </c>
      <c r="M623" s="31" t="s">
        <v>737</v>
      </c>
      <c r="O623" s="42" t="s">
        <v>884</v>
      </c>
      <c r="R623" s="48" t="str">
        <f>IFERROR(Q623/VLOOKUP(P623,'Exchange rates to USD'!$L$2:$N$225,3,FALSE),"")</f>
        <v/>
      </c>
      <c r="U623" s="152"/>
      <c r="V623" s="152"/>
      <c r="W623" s="152"/>
    </row>
    <row r="624" spans="1:23" ht="13.25" customHeight="1" x14ac:dyDescent="0.25">
      <c r="A624" s="31" t="s">
        <v>198</v>
      </c>
      <c r="B624" s="31" t="s">
        <v>655</v>
      </c>
      <c r="C624" s="31" t="s">
        <v>22</v>
      </c>
      <c r="D624" s="31" t="s">
        <v>13</v>
      </c>
      <c r="E624" s="31" t="s">
        <v>14</v>
      </c>
      <c r="G624" s="31" t="s">
        <v>3173</v>
      </c>
      <c r="H624" s="31" t="s">
        <v>25</v>
      </c>
      <c r="J624" s="31" t="s">
        <v>199</v>
      </c>
      <c r="K624" s="31" t="s">
        <v>200</v>
      </c>
      <c r="M624" s="31" t="s">
        <v>113</v>
      </c>
      <c r="O624" s="42" t="s">
        <v>884</v>
      </c>
      <c r="R624" s="48" t="str">
        <f>IFERROR(Q624/VLOOKUP(P624,'Exchange rates to USD'!$L$2:$N$225,3,FALSE),"")</f>
        <v/>
      </c>
      <c r="U624" s="152"/>
      <c r="V624" s="152"/>
      <c r="W624" s="152"/>
    </row>
    <row r="625" spans="1:23" ht="13.25" customHeight="1" x14ac:dyDescent="0.25">
      <c r="A625" s="31" t="s">
        <v>201</v>
      </c>
      <c r="B625" s="31" t="s">
        <v>655</v>
      </c>
      <c r="C625" s="31" t="s">
        <v>110</v>
      </c>
      <c r="D625" s="31" t="s">
        <v>13</v>
      </c>
      <c r="E625" s="31" t="s">
        <v>14</v>
      </c>
      <c r="F625" s="31" t="s">
        <v>202</v>
      </c>
      <c r="G625" s="31" t="s">
        <v>3173</v>
      </c>
      <c r="H625" s="31" t="s">
        <v>25</v>
      </c>
      <c r="J625" s="31" t="s">
        <v>203</v>
      </c>
      <c r="K625" s="31" t="s">
        <v>200</v>
      </c>
      <c r="M625" s="31" t="s">
        <v>113</v>
      </c>
      <c r="O625" s="42" t="s">
        <v>884</v>
      </c>
      <c r="P625" s="31" t="s">
        <v>2220</v>
      </c>
      <c r="Q625" s="32">
        <v>120</v>
      </c>
      <c r="R625" s="48">
        <f>IFERROR(Q625/VLOOKUP(P625,'Exchange rates to USD'!$L$2:$N$225,3,FALSE),"")</f>
        <v>12.421022601917903</v>
      </c>
      <c r="U625" s="152"/>
      <c r="V625" s="152"/>
      <c r="W625" s="152"/>
    </row>
    <row r="626" spans="1:23" ht="13.25" customHeight="1" x14ac:dyDescent="0.25">
      <c r="A626" s="31" t="s">
        <v>1101</v>
      </c>
      <c r="B626" s="31" t="s">
        <v>655</v>
      </c>
      <c r="C626" s="1" t="s">
        <v>2530</v>
      </c>
      <c r="D626" s="31" t="s">
        <v>13</v>
      </c>
      <c r="E626" s="31" t="s">
        <v>161</v>
      </c>
      <c r="F626" s="31" t="s">
        <v>1106</v>
      </c>
      <c r="G626" s="31" t="s">
        <v>3173</v>
      </c>
      <c r="H626" s="31" t="s">
        <v>25</v>
      </c>
      <c r="J626" s="31" t="s">
        <v>1107</v>
      </c>
      <c r="K626" s="31" t="s">
        <v>1108</v>
      </c>
      <c r="M626" s="31" t="s">
        <v>113</v>
      </c>
      <c r="O626" s="42" t="s">
        <v>884</v>
      </c>
      <c r="P626" s="31" t="s">
        <v>2220</v>
      </c>
      <c r="Q626" s="32">
        <v>900</v>
      </c>
      <c r="R626" s="48">
        <f>IFERROR(Q626/VLOOKUP(P626,'Exchange rates to USD'!$L$2:$N$225,3,FALSE),"")</f>
        <v>93.157669514384267</v>
      </c>
      <c r="U626" s="152"/>
      <c r="V626" s="152"/>
      <c r="W626" s="152"/>
    </row>
    <row r="627" spans="1:23" ht="13.25" customHeight="1" x14ac:dyDescent="0.25">
      <c r="A627" s="31" t="s">
        <v>1102</v>
      </c>
      <c r="B627" s="31" t="s">
        <v>655</v>
      </c>
      <c r="C627" s="1" t="s">
        <v>2530</v>
      </c>
      <c r="D627" s="31" t="s">
        <v>13</v>
      </c>
      <c r="E627" s="31" t="s">
        <v>161</v>
      </c>
      <c r="F627" s="31" t="s">
        <v>1110</v>
      </c>
      <c r="G627" s="31" t="s">
        <v>3173</v>
      </c>
      <c r="H627" s="31" t="s">
        <v>25</v>
      </c>
      <c r="J627" s="31" t="s">
        <v>1111</v>
      </c>
      <c r="K627" s="31" t="s">
        <v>1108</v>
      </c>
      <c r="M627" s="31" t="s">
        <v>737</v>
      </c>
      <c r="O627" s="42" t="s">
        <v>884</v>
      </c>
      <c r="P627" s="31" t="s">
        <v>2220</v>
      </c>
      <c r="Q627" s="32">
        <v>1100</v>
      </c>
      <c r="R627" s="48">
        <f>IFERROR(Q627/VLOOKUP(P627,'Exchange rates to USD'!$L$2:$N$225,3,FALSE),"")</f>
        <v>113.85937385091411</v>
      </c>
      <c r="U627" s="152"/>
      <c r="V627" s="152"/>
      <c r="W627" s="152"/>
    </row>
    <row r="628" spans="1:23" ht="13.25" customHeight="1" x14ac:dyDescent="0.25">
      <c r="A628" s="31" t="s">
        <v>1103</v>
      </c>
      <c r="B628" s="31" t="s">
        <v>655</v>
      </c>
      <c r="C628" s="1" t="s">
        <v>2530</v>
      </c>
      <c r="D628" s="31" t="s">
        <v>13</v>
      </c>
      <c r="E628" s="31" t="s">
        <v>36</v>
      </c>
      <c r="F628" s="31" t="s">
        <v>1113</v>
      </c>
      <c r="G628" s="31" t="s">
        <v>3173</v>
      </c>
      <c r="H628" s="31" t="s">
        <v>25</v>
      </c>
      <c r="J628" s="31" t="s">
        <v>1114</v>
      </c>
      <c r="K628" s="31" t="s">
        <v>1108</v>
      </c>
      <c r="M628" s="31" t="s">
        <v>113</v>
      </c>
      <c r="O628" s="42" t="s">
        <v>884</v>
      </c>
      <c r="P628" s="31" t="s">
        <v>2220</v>
      </c>
      <c r="Q628" s="32">
        <v>1220</v>
      </c>
      <c r="R628" s="48">
        <f>IFERROR(Q628/VLOOKUP(P628,'Exchange rates to USD'!$L$2:$N$225,3,FALSE),"")</f>
        <v>126.28039645283201</v>
      </c>
      <c r="U628" s="152"/>
      <c r="V628" s="152"/>
      <c r="W628" s="152"/>
    </row>
    <row r="629" spans="1:23" ht="13.25" customHeight="1" x14ac:dyDescent="0.25">
      <c r="A629" s="31" t="s">
        <v>2024</v>
      </c>
      <c r="B629" s="31" t="s">
        <v>655</v>
      </c>
      <c r="C629" s="1" t="s">
        <v>2530</v>
      </c>
      <c r="D629" s="31" t="s">
        <v>13</v>
      </c>
      <c r="E629" s="31" t="s">
        <v>36</v>
      </c>
      <c r="F629" s="31" t="s">
        <v>1116</v>
      </c>
      <c r="G629" s="31" t="s">
        <v>3173</v>
      </c>
      <c r="H629" s="31" t="s">
        <v>25</v>
      </c>
      <c r="J629" s="31" t="s">
        <v>1117</v>
      </c>
      <c r="K629" s="31" t="s">
        <v>1108</v>
      </c>
      <c r="M629" s="31" t="s">
        <v>113</v>
      </c>
      <c r="O629" s="42" t="s">
        <v>884</v>
      </c>
      <c r="P629" s="31" t="s">
        <v>2220</v>
      </c>
      <c r="Q629" s="32">
        <v>150</v>
      </c>
      <c r="R629" s="48">
        <f>IFERROR(Q629/VLOOKUP(P629,'Exchange rates to USD'!$L$2:$N$225,3,FALSE),"")</f>
        <v>15.526278252397379</v>
      </c>
      <c r="U629" s="152"/>
      <c r="V629" s="152"/>
      <c r="W629" s="152"/>
    </row>
    <row r="630" spans="1:23" ht="13.25" customHeight="1" x14ac:dyDescent="0.25">
      <c r="A630" s="31" t="s">
        <v>1104</v>
      </c>
      <c r="B630" s="31" t="s">
        <v>655</v>
      </c>
      <c r="C630" s="1" t="s">
        <v>2530</v>
      </c>
      <c r="F630" s="31" t="s">
        <v>1119</v>
      </c>
      <c r="G630" s="31" t="s">
        <v>3173</v>
      </c>
      <c r="H630" s="31" t="s">
        <v>25</v>
      </c>
      <c r="J630" s="31" t="s">
        <v>1120</v>
      </c>
      <c r="K630" s="31" t="s">
        <v>1108</v>
      </c>
      <c r="M630" s="31" t="s">
        <v>113</v>
      </c>
      <c r="O630" s="42" t="s">
        <v>884</v>
      </c>
      <c r="P630" s="31" t="s">
        <v>2220</v>
      </c>
      <c r="Q630" s="32">
        <v>330</v>
      </c>
      <c r="R630" s="48">
        <f>IFERROR(Q630/VLOOKUP(P630,'Exchange rates to USD'!$L$2:$N$225,3,FALSE),"")</f>
        <v>34.157812155274236</v>
      </c>
      <c r="U630" s="152"/>
      <c r="V630" s="152"/>
      <c r="W630" s="152"/>
    </row>
    <row r="631" spans="1:23" ht="13.25" customHeight="1" x14ac:dyDescent="0.25">
      <c r="A631" s="31" t="s">
        <v>1105</v>
      </c>
      <c r="B631" s="31" t="s">
        <v>655</v>
      </c>
      <c r="C631" s="1" t="s">
        <v>2530</v>
      </c>
      <c r="D631" s="31" t="s">
        <v>872</v>
      </c>
      <c r="F631" s="31" t="s">
        <v>1116</v>
      </c>
      <c r="G631" s="31" t="s">
        <v>3173</v>
      </c>
      <c r="H631" s="31" t="s">
        <v>25</v>
      </c>
      <c r="J631" s="31" t="s">
        <v>1122</v>
      </c>
      <c r="K631" s="31" t="s">
        <v>1108</v>
      </c>
      <c r="M631" s="31" t="s">
        <v>113</v>
      </c>
      <c r="O631" s="42" t="s">
        <v>884</v>
      </c>
      <c r="P631" s="31" t="s">
        <v>2220</v>
      </c>
      <c r="Q631" s="32">
        <v>150</v>
      </c>
      <c r="R631" s="48">
        <f>IFERROR(Q631/VLOOKUP(P631,'Exchange rates to USD'!$L$2:$N$225,3,FALSE),"")</f>
        <v>15.526278252397379</v>
      </c>
      <c r="U631" s="152"/>
      <c r="V631" s="152"/>
      <c r="W631" s="152"/>
    </row>
    <row r="632" spans="1:23" ht="13.25" customHeight="1" x14ac:dyDescent="0.25">
      <c r="A632" s="31" t="s">
        <v>1109</v>
      </c>
      <c r="B632" s="31" t="s">
        <v>655</v>
      </c>
      <c r="C632" s="1" t="s">
        <v>2530</v>
      </c>
      <c r="D632" s="31" t="s">
        <v>13</v>
      </c>
      <c r="E632" s="31" t="s">
        <v>36</v>
      </c>
      <c r="F632" s="31" t="s">
        <v>1124</v>
      </c>
      <c r="G632" s="31" t="s">
        <v>3173</v>
      </c>
      <c r="H632" s="31" t="s">
        <v>25</v>
      </c>
      <c r="J632" s="31" t="s">
        <v>1125</v>
      </c>
      <c r="K632" s="31" t="s">
        <v>1108</v>
      </c>
      <c r="M632" s="31" t="s">
        <v>113</v>
      </c>
      <c r="O632" s="42" t="s">
        <v>884</v>
      </c>
      <c r="P632" s="31" t="s">
        <v>2220</v>
      </c>
      <c r="Q632" s="32">
        <v>500</v>
      </c>
      <c r="R632" s="48">
        <f>IFERROR(Q632/VLOOKUP(P632,'Exchange rates to USD'!$L$2:$N$225,3,FALSE),"")</f>
        <v>51.754260841324594</v>
      </c>
      <c r="U632" s="152"/>
      <c r="V632" s="152"/>
      <c r="W632" s="152"/>
    </row>
    <row r="633" spans="1:23" ht="13.25" customHeight="1" x14ac:dyDescent="0.25">
      <c r="A633" s="31" t="s">
        <v>1112</v>
      </c>
      <c r="B633" s="31" t="s">
        <v>655</v>
      </c>
      <c r="C633" s="1" t="s">
        <v>2530</v>
      </c>
      <c r="D633" s="31" t="s">
        <v>13</v>
      </c>
      <c r="E633" s="31" t="s">
        <v>36</v>
      </c>
      <c r="F633" s="31" t="s">
        <v>1127</v>
      </c>
      <c r="G633" s="31" t="s">
        <v>3173</v>
      </c>
      <c r="H633" s="31" t="s">
        <v>25</v>
      </c>
      <c r="J633" s="31" t="s">
        <v>1128</v>
      </c>
      <c r="K633" s="31" t="s">
        <v>1108</v>
      </c>
      <c r="M633" s="31" t="s">
        <v>113</v>
      </c>
      <c r="O633" s="42" t="s">
        <v>884</v>
      </c>
      <c r="P633" s="31" t="s">
        <v>2220</v>
      </c>
      <c r="Q633" s="32">
        <v>2000</v>
      </c>
      <c r="R633" s="48">
        <f>IFERROR(Q633/VLOOKUP(P633,'Exchange rates to USD'!$L$2:$N$225,3,FALSE),"")</f>
        <v>207.01704336529838</v>
      </c>
      <c r="U633" s="152"/>
      <c r="V633" s="152"/>
      <c r="W633" s="152"/>
    </row>
    <row r="634" spans="1:23" ht="13.25" customHeight="1" x14ac:dyDescent="0.25">
      <c r="A634" s="31" t="s">
        <v>1115</v>
      </c>
      <c r="B634" s="31" t="s">
        <v>655</v>
      </c>
      <c r="C634" s="1" t="s">
        <v>2530</v>
      </c>
      <c r="D634" s="31" t="s">
        <v>13</v>
      </c>
      <c r="E634" s="31" t="s">
        <v>36</v>
      </c>
      <c r="F634" s="31" t="s">
        <v>1124</v>
      </c>
      <c r="G634" s="31" t="s">
        <v>3173</v>
      </c>
      <c r="H634" s="31" t="s">
        <v>25</v>
      </c>
      <c r="J634" s="31" t="s">
        <v>1130</v>
      </c>
      <c r="K634" s="31" t="s">
        <v>1108</v>
      </c>
      <c r="M634" s="31" t="s">
        <v>113</v>
      </c>
      <c r="O634" s="42" t="s">
        <v>884</v>
      </c>
      <c r="P634" s="31" t="s">
        <v>2220</v>
      </c>
      <c r="Q634" s="32">
        <v>500</v>
      </c>
      <c r="R634" s="48">
        <f>IFERROR(Q634/VLOOKUP(P634,'Exchange rates to USD'!$L$2:$N$225,3,FALSE),"")</f>
        <v>51.754260841324594</v>
      </c>
      <c r="U634" s="152"/>
      <c r="V634" s="152"/>
      <c r="W634" s="152"/>
    </row>
    <row r="635" spans="1:23" ht="13.25" customHeight="1" x14ac:dyDescent="0.25">
      <c r="A635" s="31" t="s">
        <v>1118</v>
      </c>
      <c r="B635" s="31" t="s">
        <v>655</v>
      </c>
      <c r="C635" s="1" t="s">
        <v>2530</v>
      </c>
      <c r="D635" s="31" t="s">
        <v>872</v>
      </c>
      <c r="F635" s="31" t="s">
        <v>1131</v>
      </c>
      <c r="G635" s="31" t="s">
        <v>41</v>
      </c>
      <c r="H635" s="31" t="s">
        <v>3173</v>
      </c>
      <c r="J635" s="31" t="s">
        <v>1132</v>
      </c>
      <c r="K635" s="31" t="s">
        <v>1108</v>
      </c>
      <c r="M635" s="31" t="s">
        <v>113</v>
      </c>
      <c r="O635" s="42" t="s">
        <v>884</v>
      </c>
      <c r="P635" s="31" t="s">
        <v>2220</v>
      </c>
      <c r="Q635" s="32">
        <v>1590</v>
      </c>
      <c r="R635" s="48">
        <f>IFERROR(Q635/VLOOKUP(P635,'Exchange rates to USD'!$L$2:$N$225,3,FALSE),"")</f>
        <v>164.57854947541222</v>
      </c>
      <c r="U635" s="152"/>
      <c r="V635" s="152"/>
      <c r="W635" s="152"/>
    </row>
    <row r="636" spans="1:23" ht="13.25" customHeight="1" x14ac:dyDescent="0.25">
      <c r="A636" s="31" t="s">
        <v>1121</v>
      </c>
      <c r="B636" s="31" t="s">
        <v>655</v>
      </c>
      <c r="C636" s="1" t="s">
        <v>2530</v>
      </c>
      <c r="D636" s="31" t="s">
        <v>23</v>
      </c>
      <c r="F636" s="31" t="s">
        <v>1133</v>
      </c>
      <c r="G636" s="31" t="s">
        <v>3173</v>
      </c>
      <c r="H636" s="31" t="s">
        <v>25</v>
      </c>
      <c r="J636" s="31" t="s">
        <v>1134</v>
      </c>
      <c r="K636" s="31" t="s">
        <v>1108</v>
      </c>
      <c r="M636" s="31" t="s">
        <v>113</v>
      </c>
      <c r="O636" s="42" t="s">
        <v>884</v>
      </c>
      <c r="P636" s="31" t="s">
        <v>2220</v>
      </c>
      <c r="Q636" s="32">
        <v>1880</v>
      </c>
      <c r="R636" s="48">
        <f>IFERROR(Q636/VLOOKUP(P636,'Exchange rates to USD'!$L$2:$N$225,3,FALSE),"")</f>
        <v>194.59602076338049</v>
      </c>
      <c r="U636" s="152"/>
      <c r="V636" s="152"/>
      <c r="W636" s="152"/>
    </row>
    <row r="637" spans="1:23" ht="13.25" customHeight="1" x14ac:dyDescent="0.25">
      <c r="A637" s="31" t="s">
        <v>1123</v>
      </c>
      <c r="B637" s="31" t="s">
        <v>655</v>
      </c>
      <c r="C637" s="1" t="s">
        <v>2530</v>
      </c>
      <c r="D637" s="31" t="s">
        <v>13</v>
      </c>
      <c r="E637" s="31" t="s">
        <v>191</v>
      </c>
      <c r="F637" s="31" t="s">
        <v>1135</v>
      </c>
      <c r="G637" s="31" t="s">
        <v>41</v>
      </c>
      <c r="H637" s="31" t="s">
        <v>809</v>
      </c>
      <c r="J637" s="31" t="s">
        <v>1136</v>
      </c>
      <c r="K637" s="31" t="s">
        <v>1108</v>
      </c>
      <c r="M637" s="31" t="s">
        <v>113</v>
      </c>
      <c r="O637" s="42" t="s">
        <v>884</v>
      </c>
      <c r="P637" s="31" t="s">
        <v>2220</v>
      </c>
      <c r="Q637" s="32">
        <v>600</v>
      </c>
      <c r="R637" s="48">
        <f>IFERROR(Q637/VLOOKUP(P637,'Exchange rates to USD'!$L$2:$N$225,3,FALSE),"")</f>
        <v>62.105113009589516</v>
      </c>
      <c r="U637" s="152"/>
      <c r="V637" s="152"/>
      <c r="W637" s="152"/>
    </row>
    <row r="638" spans="1:23" ht="13.25" customHeight="1" x14ac:dyDescent="0.25">
      <c r="A638" s="31" t="s">
        <v>1126</v>
      </c>
      <c r="B638" s="31" t="s">
        <v>655</v>
      </c>
      <c r="C638" s="31" t="s">
        <v>2531</v>
      </c>
      <c r="D638" s="31" t="s">
        <v>13</v>
      </c>
      <c r="E638" s="31" t="s">
        <v>3200</v>
      </c>
      <c r="F638" s="31" t="s">
        <v>1137</v>
      </c>
      <c r="G638" s="31" t="s">
        <v>25</v>
      </c>
      <c r="H638" s="31" t="s">
        <v>41</v>
      </c>
      <c r="J638" s="31" t="s">
        <v>1138</v>
      </c>
      <c r="K638" s="31" t="s">
        <v>1108</v>
      </c>
      <c r="M638" s="31" t="s">
        <v>113</v>
      </c>
      <c r="O638" s="42" t="s">
        <v>884</v>
      </c>
      <c r="P638" s="31" t="s">
        <v>2220</v>
      </c>
      <c r="Q638" s="32">
        <v>200</v>
      </c>
      <c r="R638" s="48">
        <f>IFERROR(Q638/VLOOKUP(P638,'Exchange rates to USD'!$L$2:$N$225,3,FALSE),"")</f>
        <v>20.70170433652984</v>
      </c>
      <c r="U638" s="152"/>
      <c r="V638" s="152"/>
      <c r="W638" s="152"/>
    </row>
    <row r="639" spans="1:23" ht="13.25" customHeight="1" x14ac:dyDescent="0.25">
      <c r="A639" s="34" t="s">
        <v>1129</v>
      </c>
      <c r="B639" s="34" t="s">
        <v>655</v>
      </c>
      <c r="C639" s="1" t="s">
        <v>2530</v>
      </c>
      <c r="D639" s="34" t="s">
        <v>23</v>
      </c>
      <c r="E639" s="34" t="s">
        <v>3200</v>
      </c>
      <c r="F639" s="34" t="s">
        <v>1139</v>
      </c>
      <c r="G639" s="34" t="s">
        <v>111</v>
      </c>
      <c r="H639" s="34" t="s">
        <v>207</v>
      </c>
      <c r="I639" s="34"/>
      <c r="J639" s="34" t="s">
        <v>1140</v>
      </c>
      <c r="K639" s="34" t="s">
        <v>1108</v>
      </c>
      <c r="L639" s="34"/>
      <c r="M639" s="34" t="s">
        <v>113</v>
      </c>
      <c r="N639" s="34"/>
      <c r="O639" s="42" t="s">
        <v>884</v>
      </c>
      <c r="P639" s="34" t="s">
        <v>2220</v>
      </c>
      <c r="Q639" s="49">
        <v>150</v>
      </c>
      <c r="R639" s="22">
        <f>IFERROR(Q639/VLOOKUP(P639,'Exchange rates to USD'!$L$2:$N$225,3,FALSE),"")</f>
        <v>15.526278252397379</v>
      </c>
      <c r="U639" s="152"/>
      <c r="V639" s="152"/>
      <c r="W639" s="152"/>
    </row>
    <row r="640" spans="1:23" ht="13.25" customHeight="1" x14ac:dyDescent="0.25">
      <c r="A640" s="31" t="s">
        <v>164</v>
      </c>
      <c r="B640" s="31" t="s">
        <v>656</v>
      </c>
      <c r="C640" s="31" t="s">
        <v>22</v>
      </c>
      <c r="D640" s="31" t="s">
        <v>23</v>
      </c>
      <c r="E640" s="31" t="s">
        <v>3200</v>
      </c>
      <c r="F640" s="31" t="s">
        <v>2025</v>
      </c>
      <c r="J640" s="31" t="s">
        <v>165</v>
      </c>
      <c r="K640" s="64" t="s">
        <v>166</v>
      </c>
      <c r="L640" s="31" t="s">
        <v>1141</v>
      </c>
      <c r="M640" s="31" t="s">
        <v>737</v>
      </c>
      <c r="N640" s="31" t="s">
        <v>1142</v>
      </c>
      <c r="P640" s="13" t="s">
        <v>1270</v>
      </c>
      <c r="Q640" s="13">
        <v>59100</v>
      </c>
      <c r="R640" s="48">
        <f>IFERROR(Q640/VLOOKUP(P640,'Exchange rates to USD'!$L$2:$N$225,3,FALSE),"")</f>
        <v>59100</v>
      </c>
      <c r="U640" s="152"/>
      <c r="V640" s="152"/>
      <c r="W640" s="152"/>
    </row>
    <row r="641" spans="1:23" ht="13.25" customHeight="1" x14ac:dyDescent="0.25">
      <c r="A641" s="31" t="s">
        <v>167</v>
      </c>
      <c r="B641" s="31" t="s">
        <v>656</v>
      </c>
      <c r="C641" s="31" t="s">
        <v>22</v>
      </c>
      <c r="D641" s="31" t="s">
        <v>13</v>
      </c>
      <c r="E641" s="31" t="s">
        <v>36</v>
      </c>
      <c r="F641" s="31" t="s">
        <v>168</v>
      </c>
      <c r="G641" s="31" t="s">
        <v>3173</v>
      </c>
      <c r="H641" s="31" t="s">
        <v>25</v>
      </c>
      <c r="J641" s="31" t="s">
        <v>169</v>
      </c>
      <c r="K641" s="31" t="s">
        <v>170</v>
      </c>
      <c r="L641" s="31" t="s">
        <v>170</v>
      </c>
      <c r="M641" s="31" t="s">
        <v>113</v>
      </c>
      <c r="N641" s="31" t="s">
        <v>1143</v>
      </c>
      <c r="P641" s="13" t="s">
        <v>1270</v>
      </c>
      <c r="Q641" s="13">
        <v>873</v>
      </c>
      <c r="R641" s="48">
        <f>IFERROR(Q641/VLOOKUP(P641,'Exchange rates to USD'!$L$2:$N$225,3,FALSE),"")</f>
        <v>873</v>
      </c>
      <c r="U641" s="152"/>
      <c r="V641" s="152"/>
      <c r="W641" s="152"/>
    </row>
    <row r="642" spans="1:23" ht="13.25" customHeight="1" x14ac:dyDescent="0.25">
      <c r="A642" s="31" t="s">
        <v>171</v>
      </c>
      <c r="B642" s="31" t="s">
        <v>656</v>
      </c>
      <c r="C642" s="31" t="s">
        <v>22</v>
      </c>
      <c r="D642" s="31" t="s">
        <v>13</v>
      </c>
      <c r="E642" s="31" t="s">
        <v>172</v>
      </c>
      <c r="F642" s="31" t="s">
        <v>1144</v>
      </c>
      <c r="G642" s="31" t="s">
        <v>3173</v>
      </c>
      <c r="J642" s="31" t="s">
        <v>1145</v>
      </c>
      <c r="K642" s="31" t="s">
        <v>173</v>
      </c>
      <c r="L642" s="31" t="s">
        <v>1146</v>
      </c>
      <c r="M642" s="31" t="s">
        <v>101</v>
      </c>
      <c r="N642" s="31" t="s">
        <v>1147</v>
      </c>
      <c r="P642" s="13" t="s">
        <v>1270</v>
      </c>
      <c r="Q642" s="13">
        <v>1980</v>
      </c>
      <c r="R642" s="48">
        <f>IFERROR(Q642/VLOOKUP(P642,'Exchange rates to USD'!$L$2:$N$225,3,FALSE),"")</f>
        <v>1980</v>
      </c>
      <c r="U642" s="152"/>
      <c r="V642" s="152"/>
      <c r="W642" s="152"/>
    </row>
    <row r="643" spans="1:23" ht="13.25" customHeight="1" x14ac:dyDescent="0.25">
      <c r="A643" s="31" t="s">
        <v>174</v>
      </c>
      <c r="B643" s="31" t="s">
        <v>656</v>
      </c>
      <c r="C643" s="31" t="s">
        <v>22</v>
      </c>
      <c r="D643" s="31" t="s">
        <v>13</v>
      </c>
      <c r="E643" s="31" t="s">
        <v>14</v>
      </c>
      <c r="F643" s="31" t="s">
        <v>175</v>
      </c>
      <c r="G643" s="31" t="s">
        <v>3173</v>
      </c>
      <c r="H643" s="31" t="s">
        <v>44</v>
      </c>
      <c r="J643" s="31" t="s">
        <v>176</v>
      </c>
      <c r="K643" s="31" t="s">
        <v>177</v>
      </c>
      <c r="M643" s="31" t="s">
        <v>113</v>
      </c>
      <c r="P643" s="13" t="s">
        <v>1270</v>
      </c>
      <c r="Q643" s="13">
        <v>47</v>
      </c>
      <c r="R643" s="48">
        <f>IFERROR(Q643/VLOOKUP(P643,'Exchange rates to USD'!$L$2:$N$225,3,FALSE),"")</f>
        <v>47</v>
      </c>
      <c r="U643" s="152"/>
      <c r="V643" s="152"/>
      <c r="W643" s="152"/>
    </row>
    <row r="644" spans="1:23" ht="13.25" customHeight="1" x14ac:dyDescent="0.25">
      <c r="A644" s="31" t="s">
        <v>178</v>
      </c>
      <c r="B644" s="31" t="s">
        <v>656</v>
      </c>
      <c r="C644" s="31" t="s">
        <v>110</v>
      </c>
      <c r="D644" s="31" t="s">
        <v>23</v>
      </c>
      <c r="E644" s="31" t="s">
        <v>14</v>
      </c>
      <c r="F644" s="31" t="s">
        <v>179</v>
      </c>
      <c r="G644" s="31" t="s">
        <v>3173</v>
      </c>
      <c r="J644" s="31" t="s">
        <v>1148</v>
      </c>
      <c r="K644" s="31" t="s">
        <v>177</v>
      </c>
      <c r="L644" s="31" t="s">
        <v>1141</v>
      </c>
      <c r="M644" s="31" t="s">
        <v>871</v>
      </c>
      <c r="N644" s="31" t="s">
        <v>1149</v>
      </c>
      <c r="P644" s="13" t="s">
        <v>1270</v>
      </c>
      <c r="Q644" s="13">
        <v>168</v>
      </c>
      <c r="R644" s="48">
        <f>IFERROR(Q644/VLOOKUP(P644,'Exchange rates to USD'!$L$2:$N$225,3,FALSE),"")</f>
        <v>168</v>
      </c>
      <c r="U644" s="152"/>
      <c r="V644" s="152"/>
      <c r="W644" s="152"/>
    </row>
    <row r="645" spans="1:23" ht="13.25" customHeight="1" x14ac:dyDescent="0.25">
      <c r="A645" s="31" t="s">
        <v>180</v>
      </c>
      <c r="B645" s="31" t="s">
        <v>656</v>
      </c>
      <c r="C645" s="31" t="s">
        <v>30</v>
      </c>
      <c r="D645" s="31" t="s">
        <v>23</v>
      </c>
      <c r="E645" s="31" t="s">
        <v>172</v>
      </c>
      <c r="F645" s="31" t="s">
        <v>99</v>
      </c>
      <c r="G645" s="31" t="s">
        <v>3173</v>
      </c>
      <c r="H645" s="31" t="s">
        <v>41</v>
      </c>
      <c r="I645" s="31" t="s">
        <v>25</v>
      </c>
      <c r="J645" s="31" t="s">
        <v>181</v>
      </c>
      <c r="K645" s="31" t="s">
        <v>182</v>
      </c>
      <c r="M645" s="31" t="s">
        <v>871</v>
      </c>
      <c r="N645" s="31" t="s">
        <v>1150</v>
      </c>
      <c r="P645" s="13" t="s">
        <v>1270</v>
      </c>
      <c r="Q645" s="13"/>
      <c r="R645" s="48">
        <f>IFERROR(Q645/VLOOKUP(P645,'Exchange rates to USD'!$L$2:$N$225,3,FALSE),"")</f>
        <v>0</v>
      </c>
      <c r="U645" s="152"/>
      <c r="V645" s="152"/>
      <c r="W645" s="152"/>
    </row>
    <row r="646" spans="1:23" ht="13.25" customHeight="1" x14ac:dyDescent="0.25">
      <c r="A646" s="31" t="s">
        <v>183</v>
      </c>
      <c r="B646" s="31" t="s">
        <v>656</v>
      </c>
      <c r="C646" s="31" t="s">
        <v>110</v>
      </c>
      <c r="D646" s="31" t="s">
        <v>23</v>
      </c>
      <c r="E646" s="31" t="s">
        <v>14</v>
      </c>
      <c r="F646" s="31" t="s">
        <v>184</v>
      </c>
      <c r="G646" s="31" t="s">
        <v>3173</v>
      </c>
      <c r="J646" s="31" t="s">
        <v>185</v>
      </c>
      <c r="K646" s="31" t="s">
        <v>173</v>
      </c>
      <c r="M646" s="31" t="s">
        <v>113</v>
      </c>
      <c r="N646" s="31" t="s">
        <v>1151</v>
      </c>
      <c r="P646" s="13" t="s">
        <v>1270</v>
      </c>
      <c r="Q646" s="13">
        <v>221.1</v>
      </c>
      <c r="R646" s="48">
        <f>IFERROR(Q646/VLOOKUP(P646,'Exchange rates to USD'!$L$2:$N$225,3,FALSE),"")</f>
        <v>221.1</v>
      </c>
      <c r="U646" s="152"/>
      <c r="V646" s="152"/>
      <c r="W646" s="152"/>
    </row>
    <row r="647" spans="1:23" ht="13.25" customHeight="1" x14ac:dyDescent="0.25">
      <c r="A647" s="31" t="s">
        <v>2026</v>
      </c>
      <c r="B647" s="31" t="s">
        <v>656</v>
      </c>
      <c r="C647" s="31" t="s">
        <v>2531</v>
      </c>
      <c r="D647" s="31" t="s">
        <v>23</v>
      </c>
      <c r="E647" s="31" t="s">
        <v>3200</v>
      </c>
      <c r="F647" s="31" t="s">
        <v>2027</v>
      </c>
      <c r="G647" s="31" t="s">
        <v>3173</v>
      </c>
      <c r="H647" s="31" t="s">
        <v>809</v>
      </c>
      <c r="J647" s="31" t="s">
        <v>2028</v>
      </c>
      <c r="K647" s="31" t="s">
        <v>2029</v>
      </c>
      <c r="L647" s="31" t="s">
        <v>2030</v>
      </c>
      <c r="M647" s="31" t="s">
        <v>113</v>
      </c>
      <c r="N647" s="31" t="s">
        <v>2031</v>
      </c>
      <c r="P647" s="13" t="s">
        <v>1270</v>
      </c>
      <c r="Q647" s="13">
        <v>500</v>
      </c>
      <c r="R647" s="48">
        <f>IFERROR(Q647/VLOOKUP(P647,'Exchange rates to USD'!$L$2:$N$225,3,FALSE),"")</f>
        <v>500</v>
      </c>
      <c r="U647" s="152"/>
      <c r="V647" s="152"/>
      <c r="W647" s="152"/>
    </row>
    <row r="648" spans="1:23" ht="13.25" customHeight="1" x14ac:dyDescent="0.25">
      <c r="A648" s="31" t="s">
        <v>2032</v>
      </c>
      <c r="B648" s="31" t="s">
        <v>656</v>
      </c>
      <c r="C648" s="31" t="s">
        <v>2530</v>
      </c>
      <c r="D648" s="31" t="s">
        <v>13</v>
      </c>
      <c r="E648" s="31" t="s">
        <v>3200</v>
      </c>
      <c r="F648" s="31" t="s">
        <v>2033</v>
      </c>
      <c r="G648" s="31" t="s">
        <v>3173</v>
      </c>
      <c r="J648" s="31" t="s">
        <v>2034</v>
      </c>
      <c r="K648" s="31" t="s">
        <v>2035</v>
      </c>
      <c r="M648" s="31" t="s">
        <v>737</v>
      </c>
      <c r="N648" s="31" t="s">
        <v>2036</v>
      </c>
      <c r="P648" s="13" t="s">
        <v>1270</v>
      </c>
      <c r="Q648" s="13">
        <v>150</v>
      </c>
      <c r="R648" s="48">
        <f>IFERROR(Q648/VLOOKUP(P648,'Exchange rates to USD'!$L$2:$N$225,3,FALSE),"")</f>
        <v>150</v>
      </c>
      <c r="U648" s="152"/>
      <c r="V648" s="152"/>
      <c r="W648" s="152"/>
    </row>
    <row r="649" spans="1:23" ht="13.25" customHeight="1" x14ac:dyDescent="0.25">
      <c r="A649" s="34" t="s">
        <v>2037</v>
      </c>
      <c r="B649" s="34" t="s">
        <v>656</v>
      </c>
      <c r="C649" s="34" t="s">
        <v>22</v>
      </c>
      <c r="D649" s="34" t="s">
        <v>23</v>
      </c>
      <c r="E649" s="34" t="s">
        <v>3200</v>
      </c>
      <c r="F649" s="34" t="s">
        <v>2038</v>
      </c>
      <c r="G649" s="34" t="s">
        <v>3173</v>
      </c>
      <c r="H649" s="34" t="s">
        <v>809</v>
      </c>
      <c r="I649" s="34"/>
      <c r="J649" s="34" t="s">
        <v>2039</v>
      </c>
      <c r="K649" s="34" t="s">
        <v>2040</v>
      </c>
      <c r="L649" s="34"/>
      <c r="M649" s="34" t="s">
        <v>737</v>
      </c>
      <c r="N649" s="34" t="s">
        <v>2041</v>
      </c>
      <c r="O649" s="43"/>
      <c r="P649" s="55" t="s">
        <v>1270</v>
      </c>
      <c r="Q649" s="55">
        <v>70</v>
      </c>
      <c r="R649" s="22">
        <f>IFERROR(Q649/VLOOKUP(P649,'Exchange rates to USD'!$L$2:$N$225,3,FALSE),"")</f>
        <v>70</v>
      </c>
      <c r="U649" s="152"/>
      <c r="V649" s="152"/>
      <c r="W649" s="152"/>
    </row>
    <row r="650" spans="1:23" ht="13.25" customHeight="1" x14ac:dyDescent="0.25">
      <c r="A650" s="31" t="s">
        <v>1152</v>
      </c>
      <c r="B650" s="31" t="s">
        <v>657</v>
      </c>
      <c r="C650" s="31" t="s">
        <v>2531</v>
      </c>
      <c r="D650" s="31" t="s">
        <v>13</v>
      </c>
      <c r="E650" s="31" t="s">
        <v>172</v>
      </c>
      <c r="G650" s="31" t="s">
        <v>3173</v>
      </c>
      <c r="J650" s="31" t="s">
        <v>2042</v>
      </c>
      <c r="K650" s="31" t="s">
        <v>2043</v>
      </c>
      <c r="L650" s="31" t="s">
        <v>1153</v>
      </c>
      <c r="M650" s="31" t="s">
        <v>101</v>
      </c>
      <c r="O650" s="42">
        <v>44141</v>
      </c>
      <c r="U650" s="152"/>
      <c r="V650" s="152"/>
      <c r="W650" s="152"/>
    </row>
    <row r="651" spans="1:23" ht="13.25" customHeight="1" x14ac:dyDescent="0.25">
      <c r="A651" s="31" t="s">
        <v>2044</v>
      </c>
      <c r="B651" s="31" t="s">
        <v>657</v>
      </c>
      <c r="C651" s="31" t="s">
        <v>2530</v>
      </c>
      <c r="D651" s="31" t="s">
        <v>23</v>
      </c>
      <c r="F651" s="31" t="s">
        <v>2045</v>
      </c>
      <c r="G651" s="31" t="s">
        <v>111</v>
      </c>
      <c r="J651" s="31" t="s">
        <v>2046</v>
      </c>
      <c r="K651" s="31" t="s">
        <v>2047</v>
      </c>
      <c r="M651" s="31" t="s">
        <v>113</v>
      </c>
      <c r="O651" s="42">
        <v>44141</v>
      </c>
      <c r="U651" s="152"/>
      <c r="V651" s="152"/>
      <c r="W651" s="152"/>
    </row>
    <row r="652" spans="1:23" ht="13.25" customHeight="1" x14ac:dyDescent="0.25">
      <c r="A652" s="31" t="s">
        <v>2048</v>
      </c>
      <c r="B652" s="31" t="s">
        <v>657</v>
      </c>
      <c r="C652" s="31" t="s">
        <v>2530</v>
      </c>
      <c r="D652" s="31" t="s">
        <v>13</v>
      </c>
      <c r="E652" s="31" t="s">
        <v>88</v>
      </c>
      <c r="F652" s="31" t="s">
        <v>2045</v>
      </c>
      <c r="G652" s="31" t="s">
        <v>44</v>
      </c>
      <c r="J652" s="31" t="s">
        <v>2049</v>
      </c>
      <c r="K652" s="31" t="s">
        <v>2047</v>
      </c>
      <c r="M652" s="31" t="s">
        <v>871</v>
      </c>
      <c r="O652" s="42">
        <v>44141</v>
      </c>
      <c r="U652" s="152"/>
      <c r="V652" s="152"/>
      <c r="W652" s="152"/>
    </row>
    <row r="653" spans="1:23" ht="13.25" customHeight="1" x14ac:dyDescent="0.25">
      <c r="A653" s="31" t="s">
        <v>2050</v>
      </c>
      <c r="B653" s="31" t="s">
        <v>657</v>
      </c>
      <c r="C653" s="31" t="s">
        <v>30</v>
      </c>
      <c r="D653" s="31" t="s">
        <v>23</v>
      </c>
      <c r="E653" s="31" t="s">
        <v>3200</v>
      </c>
      <c r="F653" s="31" t="s">
        <v>2045</v>
      </c>
      <c r="J653" s="31" t="s">
        <v>2051</v>
      </c>
      <c r="K653" s="31" t="s">
        <v>2047</v>
      </c>
      <c r="M653" s="31" t="s">
        <v>737</v>
      </c>
      <c r="O653" s="42">
        <v>44141</v>
      </c>
      <c r="U653" s="152"/>
      <c r="V653" s="152"/>
      <c r="W653" s="152"/>
    </row>
    <row r="654" spans="1:23" ht="13.25" customHeight="1" x14ac:dyDescent="0.25">
      <c r="A654" s="31" t="s">
        <v>2052</v>
      </c>
      <c r="B654" s="31" t="s">
        <v>657</v>
      </c>
      <c r="C654" s="31" t="s">
        <v>30</v>
      </c>
      <c r="D654" s="31" t="s">
        <v>13</v>
      </c>
      <c r="E654" s="31" t="s">
        <v>14</v>
      </c>
      <c r="G654" s="31" t="s">
        <v>3173</v>
      </c>
      <c r="J654" s="31" t="s">
        <v>2053</v>
      </c>
      <c r="K654" s="31" t="s">
        <v>2054</v>
      </c>
      <c r="M654" s="31" t="s">
        <v>113</v>
      </c>
      <c r="O654" s="42">
        <v>44150</v>
      </c>
      <c r="U654" s="152"/>
      <c r="V654" s="152"/>
      <c r="W654" s="152"/>
    </row>
    <row r="655" spans="1:23" ht="13.25" customHeight="1" x14ac:dyDescent="0.25">
      <c r="A655" s="38" t="s">
        <v>2055</v>
      </c>
      <c r="B655" s="38" t="s">
        <v>657</v>
      </c>
      <c r="C655" s="38" t="s">
        <v>30</v>
      </c>
      <c r="D655" s="38" t="s">
        <v>13</v>
      </c>
      <c r="E655" s="38" t="s">
        <v>14</v>
      </c>
      <c r="F655" s="38"/>
      <c r="G655" s="38" t="s">
        <v>3173</v>
      </c>
      <c r="H655" s="38"/>
      <c r="I655" s="38"/>
      <c r="J655" s="38" t="s">
        <v>2056</v>
      </c>
      <c r="K655" s="38" t="s">
        <v>2057</v>
      </c>
      <c r="L655" s="38"/>
      <c r="M655" s="38" t="s">
        <v>113</v>
      </c>
      <c r="N655" s="38"/>
      <c r="O655" s="45">
        <v>44150</v>
      </c>
      <c r="P655" s="38"/>
      <c r="Q655" s="60"/>
      <c r="R655" s="60"/>
      <c r="T655" s="66"/>
      <c r="U655" s="152"/>
      <c r="V655" s="152"/>
      <c r="W655" s="152"/>
    </row>
    <row r="656" spans="1:23" s="46" customFormat="1" ht="13.25" customHeight="1" x14ac:dyDescent="0.25">
      <c r="A656" s="46" t="s">
        <v>2268</v>
      </c>
      <c r="B656" s="46" t="s">
        <v>658</v>
      </c>
      <c r="C656" s="46" t="s">
        <v>22</v>
      </c>
      <c r="D656" s="46" t="s">
        <v>13</v>
      </c>
      <c r="E656" s="46" t="s">
        <v>161</v>
      </c>
      <c r="F656" s="46" t="s">
        <v>3175</v>
      </c>
      <c r="G656" s="46" t="s">
        <v>3173</v>
      </c>
      <c r="J656" s="46" t="s">
        <v>3130</v>
      </c>
      <c r="K656" s="197" t="s">
        <v>3131</v>
      </c>
      <c r="M656" s="46" t="s">
        <v>113</v>
      </c>
      <c r="O656" s="196">
        <v>44294</v>
      </c>
      <c r="P656" s="46" t="s">
        <v>2221</v>
      </c>
      <c r="Q656" s="60">
        <v>500</v>
      </c>
      <c r="R656" s="48">
        <f>IFERROR(Q656/VLOOKUP(P656,'Exchange rates to USD'!$L$2:$N$225,3,FALSE),"")</f>
        <v>637.04128074594951</v>
      </c>
      <c r="U656" s="152"/>
      <c r="V656" s="152"/>
      <c r="W656" s="152"/>
    </row>
    <row r="657" spans="1:23" s="38" customFormat="1" ht="13.25" customHeight="1" x14ac:dyDescent="0.25">
      <c r="A657" s="38" t="s">
        <v>159</v>
      </c>
      <c r="B657" s="38" t="s">
        <v>658</v>
      </c>
      <c r="C657" s="38" t="s">
        <v>22</v>
      </c>
      <c r="D657" s="38" t="s">
        <v>13</v>
      </c>
      <c r="E657" s="38" t="s">
        <v>161</v>
      </c>
      <c r="F657" s="38" t="s">
        <v>3176</v>
      </c>
      <c r="G657" s="38" t="s">
        <v>3173</v>
      </c>
      <c r="J657" s="38" t="s">
        <v>3114</v>
      </c>
      <c r="K657" s="101" t="s">
        <v>3115</v>
      </c>
      <c r="M657" s="38" t="s">
        <v>113</v>
      </c>
      <c r="O657" s="45"/>
      <c r="P657" s="38" t="s">
        <v>2221</v>
      </c>
      <c r="Q657" s="60">
        <v>320</v>
      </c>
      <c r="R657" s="48">
        <f>IFERROR(Q657/VLOOKUP(P657,'Exchange rates to USD'!$L$2:$N$225,3,FALSE),"")</f>
        <v>407.70641967740767</v>
      </c>
      <c r="T657" s="198"/>
      <c r="U657" s="152"/>
      <c r="V657" s="152"/>
      <c r="W657" s="152"/>
    </row>
    <row r="658" spans="1:23" ht="13.25" customHeight="1" x14ac:dyDescent="0.25">
      <c r="A658" s="31" t="s">
        <v>160</v>
      </c>
      <c r="B658" s="38" t="s">
        <v>658</v>
      </c>
      <c r="C658" s="31" t="s">
        <v>22</v>
      </c>
      <c r="D658" s="31" t="s">
        <v>13</v>
      </c>
      <c r="E658" s="31" t="s">
        <v>161</v>
      </c>
      <c r="F658" s="31" t="s">
        <v>2058</v>
      </c>
      <c r="G658" s="31" t="s">
        <v>3173</v>
      </c>
      <c r="J658" s="31" t="s">
        <v>2698</v>
      </c>
      <c r="K658" s="31" t="s">
        <v>162</v>
      </c>
      <c r="M658" s="31" t="s">
        <v>113</v>
      </c>
      <c r="P658" s="31" t="s">
        <v>1270</v>
      </c>
      <c r="Q658" s="32">
        <v>1400</v>
      </c>
      <c r="R658" s="48">
        <f>IFERROR(Q658/VLOOKUP(P658,'Exchange rates to USD'!$L$2:$N$225,3,FALSE),"")</f>
        <v>1400</v>
      </c>
      <c r="T658" s="68"/>
      <c r="U658" s="152"/>
      <c r="V658" s="152"/>
      <c r="W658" s="152"/>
    </row>
    <row r="659" spans="1:23" ht="13.25" customHeight="1" x14ac:dyDescent="0.25">
      <c r="A659" s="31" t="s">
        <v>163</v>
      </c>
      <c r="B659" s="38" t="s">
        <v>658</v>
      </c>
      <c r="C659" s="31" t="s">
        <v>22</v>
      </c>
      <c r="D659" s="31" t="s">
        <v>13</v>
      </c>
      <c r="E659" s="31" t="s">
        <v>98</v>
      </c>
      <c r="F659" s="31" t="s">
        <v>2059</v>
      </c>
      <c r="G659" s="31" t="s">
        <v>3173</v>
      </c>
      <c r="H659" s="31" t="s">
        <v>25</v>
      </c>
      <c r="J659" s="31" t="s">
        <v>2060</v>
      </c>
      <c r="K659" s="31" t="s">
        <v>2061</v>
      </c>
      <c r="M659" s="31" t="s">
        <v>113</v>
      </c>
      <c r="O659" s="42">
        <v>44141</v>
      </c>
      <c r="P659" s="31" t="s">
        <v>1270</v>
      </c>
      <c r="Q659" s="32">
        <v>182.52</v>
      </c>
      <c r="R659" s="48">
        <f>IFERROR(Q659/VLOOKUP(P659,'Exchange rates to USD'!$L$2:$N$225,3,FALSE),"")</f>
        <v>182.52</v>
      </c>
      <c r="T659" s="67"/>
      <c r="U659" s="152"/>
      <c r="V659" s="152"/>
      <c r="W659" s="152"/>
    </row>
    <row r="660" spans="1:23" ht="13.25" customHeight="1" x14ac:dyDescent="0.25">
      <c r="A660" s="31" t="s">
        <v>2269</v>
      </c>
      <c r="B660" s="38" t="s">
        <v>658</v>
      </c>
      <c r="C660" s="31" t="s">
        <v>110</v>
      </c>
      <c r="D660" s="31" t="s">
        <v>13</v>
      </c>
      <c r="E660" s="31" t="s">
        <v>98</v>
      </c>
      <c r="F660" s="31" t="s">
        <v>2062</v>
      </c>
      <c r="G660" s="31" t="s">
        <v>3173</v>
      </c>
      <c r="H660" s="31" t="s">
        <v>111</v>
      </c>
      <c r="J660" s="31" t="s">
        <v>2063</v>
      </c>
      <c r="K660" s="31" t="s">
        <v>2061</v>
      </c>
      <c r="M660" s="31" t="s">
        <v>113</v>
      </c>
      <c r="O660" s="42">
        <v>44141</v>
      </c>
      <c r="P660" s="31" t="s">
        <v>1270</v>
      </c>
      <c r="Q660" s="32">
        <v>195.66</v>
      </c>
      <c r="R660" s="48">
        <f>IFERROR(Q660/VLOOKUP(P660,'Exchange rates to USD'!$L$2:$N$225,3,FALSE),"")</f>
        <v>195.66</v>
      </c>
      <c r="T660" s="67"/>
      <c r="U660" s="152"/>
      <c r="V660" s="152"/>
      <c r="W660" s="152"/>
    </row>
    <row r="661" spans="1:23" ht="13.25" customHeight="1" x14ac:dyDescent="0.25">
      <c r="A661" s="31" t="s">
        <v>2270</v>
      </c>
      <c r="B661" s="38" t="s">
        <v>658</v>
      </c>
      <c r="C661" s="31" t="s">
        <v>110</v>
      </c>
      <c r="D661" s="31" t="s">
        <v>13</v>
      </c>
      <c r="E661" s="31" t="s">
        <v>161</v>
      </c>
      <c r="F661" s="31" t="s">
        <v>2064</v>
      </c>
      <c r="G661" s="31" t="s">
        <v>3173</v>
      </c>
      <c r="H661" s="31" t="s">
        <v>111</v>
      </c>
      <c r="J661" s="31" t="s">
        <v>2065</v>
      </c>
      <c r="K661" s="31" t="s">
        <v>2061</v>
      </c>
      <c r="M661" s="31" t="s">
        <v>113</v>
      </c>
      <c r="O661" s="42">
        <v>44141</v>
      </c>
      <c r="P661" s="31" t="s">
        <v>1270</v>
      </c>
      <c r="Q661" s="32">
        <v>34.14</v>
      </c>
      <c r="R661" s="48">
        <f>IFERROR(Q661/VLOOKUP(P661,'Exchange rates to USD'!$L$2:$N$225,3,FALSE),"")</f>
        <v>34.14</v>
      </c>
      <c r="T661" s="67"/>
      <c r="U661" s="152"/>
      <c r="V661" s="152"/>
      <c r="W661" s="152"/>
    </row>
    <row r="662" spans="1:23" ht="13.25" customHeight="1" x14ac:dyDescent="0.25">
      <c r="A662" s="31" t="s">
        <v>2271</v>
      </c>
      <c r="B662" s="38" t="s">
        <v>658</v>
      </c>
      <c r="C662" s="31" t="s">
        <v>110</v>
      </c>
      <c r="D662" s="31" t="s">
        <v>13</v>
      </c>
      <c r="E662" s="31" t="s">
        <v>161</v>
      </c>
      <c r="F662" s="31" t="s">
        <v>2066</v>
      </c>
      <c r="G662" s="31" t="s">
        <v>3173</v>
      </c>
      <c r="H662" s="31" t="s">
        <v>111</v>
      </c>
      <c r="J662" s="31" t="s">
        <v>2067</v>
      </c>
      <c r="K662" s="31" t="s">
        <v>2061</v>
      </c>
      <c r="M662" s="31" t="s">
        <v>113</v>
      </c>
      <c r="O662" s="42">
        <v>44141</v>
      </c>
      <c r="P662" s="31" t="s">
        <v>1270</v>
      </c>
      <c r="Q662" s="32">
        <v>13.13</v>
      </c>
      <c r="R662" s="48">
        <f>IFERROR(Q662/VLOOKUP(P662,'Exchange rates to USD'!$L$2:$N$225,3,FALSE),"")</f>
        <v>13.13</v>
      </c>
      <c r="T662" s="67"/>
      <c r="U662" s="152"/>
      <c r="V662" s="152"/>
      <c r="W662" s="152"/>
    </row>
    <row r="663" spans="1:23" ht="13.25" customHeight="1" x14ac:dyDescent="0.25">
      <c r="A663" s="31" t="s">
        <v>2729</v>
      </c>
      <c r="B663" s="38" t="s">
        <v>658</v>
      </c>
      <c r="C663" s="31" t="s">
        <v>110</v>
      </c>
      <c r="D663" s="31" t="s">
        <v>23</v>
      </c>
      <c r="E663" s="31" t="s">
        <v>3200</v>
      </c>
      <c r="F663" s="31" t="s">
        <v>2068</v>
      </c>
      <c r="G663" s="31" t="s">
        <v>3173</v>
      </c>
      <c r="J663" s="31" t="s">
        <v>2069</v>
      </c>
      <c r="K663" s="31" t="s">
        <v>2061</v>
      </c>
      <c r="M663" s="31" t="s">
        <v>113</v>
      </c>
      <c r="O663" s="42">
        <v>44141</v>
      </c>
      <c r="P663" s="31" t="s">
        <v>1270</v>
      </c>
      <c r="Q663" s="32">
        <v>19.7</v>
      </c>
      <c r="R663" s="48">
        <f>IFERROR(Q663/VLOOKUP(P663,'Exchange rates to USD'!$L$2:$N$225,3,FALSE),"")</f>
        <v>19.7</v>
      </c>
      <c r="T663" s="67"/>
      <c r="U663" s="152"/>
      <c r="V663" s="152"/>
      <c r="W663" s="152"/>
    </row>
    <row r="664" spans="1:23" s="38" customFormat="1" ht="13.25" customHeight="1" x14ac:dyDescent="0.25">
      <c r="A664" s="38" t="s">
        <v>2272</v>
      </c>
      <c r="B664" s="38" t="s">
        <v>658</v>
      </c>
      <c r="C664" s="38" t="s">
        <v>30</v>
      </c>
      <c r="D664" s="38" t="s">
        <v>23</v>
      </c>
      <c r="E664" s="38" t="s">
        <v>3200</v>
      </c>
      <c r="G664" s="38" t="s">
        <v>3173</v>
      </c>
      <c r="J664" s="38" t="s">
        <v>3128</v>
      </c>
      <c r="K664" s="195" t="s">
        <v>3129</v>
      </c>
      <c r="M664" s="38" t="s">
        <v>871</v>
      </c>
      <c r="O664" s="45">
        <v>44294</v>
      </c>
      <c r="P664" s="38" t="s">
        <v>2221</v>
      </c>
      <c r="Q664" s="194"/>
      <c r="R664" s="48"/>
      <c r="U664" s="152"/>
      <c r="V664" s="152"/>
      <c r="W664" s="152"/>
    </row>
    <row r="665" spans="1:23" ht="13.25" customHeight="1" x14ac:dyDescent="0.25">
      <c r="A665" s="31" t="s">
        <v>2273</v>
      </c>
      <c r="B665" s="38" t="s">
        <v>658</v>
      </c>
      <c r="C665" s="31" t="s">
        <v>22</v>
      </c>
      <c r="D665" s="31" t="s">
        <v>23</v>
      </c>
      <c r="E665" s="31" t="s">
        <v>3200</v>
      </c>
      <c r="F665" s="31" t="s">
        <v>2071</v>
      </c>
      <c r="G665" s="31" t="s">
        <v>3173</v>
      </c>
      <c r="J665" s="31" t="s">
        <v>2072</v>
      </c>
      <c r="K665" s="31" t="s">
        <v>2070</v>
      </c>
      <c r="L665" s="31" t="s">
        <v>2073</v>
      </c>
      <c r="M665" s="31" t="s">
        <v>871</v>
      </c>
      <c r="N665" s="31" t="s">
        <v>2074</v>
      </c>
      <c r="O665" s="42">
        <v>44141</v>
      </c>
      <c r="P665" s="31" t="s">
        <v>1270</v>
      </c>
      <c r="Q665" s="32">
        <v>7340</v>
      </c>
      <c r="R665" s="48">
        <f>IFERROR(Q665/VLOOKUP(P665,'Exchange rates to USD'!$L$2:$N$225,3,FALSE),"")</f>
        <v>7340</v>
      </c>
      <c r="T665" s="67"/>
      <c r="U665" s="152"/>
      <c r="V665" s="152"/>
      <c r="W665" s="152"/>
    </row>
    <row r="666" spans="1:23" ht="13" customHeight="1" x14ac:dyDescent="0.25">
      <c r="A666" s="31" t="s">
        <v>2274</v>
      </c>
      <c r="B666" s="38" t="s">
        <v>658</v>
      </c>
      <c r="C666" s="31" t="s">
        <v>22</v>
      </c>
      <c r="D666" s="31" t="s">
        <v>13</v>
      </c>
      <c r="E666" s="31" t="s">
        <v>36</v>
      </c>
      <c r="F666" s="31" t="s">
        <v>3116</v>
      </c>
      <c r="G666" s="31" t="s">
        <v>3173</v>
      </c>
      <c r="K666" s="64" t="s">
        <v>3117</v>
      </c>
      <c r="M666" s="31" t="s">
        <v>113</v>
      </c>
      <c r="O666" s="42">
        <v>44293</v>
      </c>
      <c r="P666" s="31" t="s">
        <v>2221</v>
      </c>
      <c r="Q666" s="32">
        <v>13400</v>
      </c>
      <c r="R666" s="48">
        <f>IFERROR(Q666/VLOOKUP(P666,'Exchange rates to USD'!$L$2:$N$225,3,FALSE),"")</f>
        <v>17072.706323991446</v>
      </c>
      <c r="T666" s="66"/>
      <c r="U666" s="152"/>
      <c r="V666" s="152"/>
      <c r="W666" s="152"/>
    </row>
    <row r="667" spans="1:23" ht="13.25" customHeight="1" x14ac:dyDescent="0.25">
      <c r="A667" s="31" t="s">
        <v>2275</v>
      </c>
      <c r="B667" s="38" t="s">
        <v>658</v>
      </c>
      <c r="C667" s="31" t="s">
        <v>22</v>
      </c>
      <c r="D667" s="31" t="s">
        <v>13</v>
      </c>
      <c r="E667" s="31" t="s">
        <v>161</v>
      </c>
      <c r="F667" s="31" t="s">
        <v>3197</v>
      </c>
      <c r="G667" s="31" t="s">
        <v>3173</v>
      </c>
      <c r="J667" s="31" t="s">
        <v>3198</v>
      </c>
      <c r="K667" s="31" t="s">
        <v>2076</v>
      </c>
      <c r="L667" s="31" t="s">
        <v>2075</v>
      </c>
      <c r="M667" s="31" t="s">
        <v>113</v>
      </c>
      <c r="O667" s="42">
        <v>44207</v>
      </c>
      <c r="P667" s="31" t="s">
        <v>2221</v>
      </c>
      <c r="Q667" s="32">
        <v>110</v>
      </c>
      <c r="R667" s="48">
        <f>IFERROR(Q667/VLOOKUP(P667,'Exchange rates to USD'!$L$2:$N$225,3,FALSE),"")</f>
        <v>140.1490817641089</v>
      </c>
      <c r="T667" s="67"/>
      <c r="U667" s="152"/>
      <c r="V667" s="152"/>
      <c r="W667" s="152"/>
    </row>
    <row r="668" spans="1:23" ht="13.25" customHeight="1" x14ac:dyDescent="0.25">
      <c r="A668" s="31" t="s">
        <v>2730</v>
      </c>
      <c r="B668" s="38" t="s">
        <v>658</v>
      </c>
      <c r="C668" s="31" t="s">
        <v>110</v>
      </c>
      <c r="D668" s="31" t="s">
        <v>13</v>
      </c>
      <c r="E668" s="31" t="s">
        <v>36</v>
      </c>
      <c r="F668" s="31" t="s">
        <v>2700</v>
      </c>
      <c r="G668" s="31" t="s">
        <v>3173</v>
      </c>
      <c r="J668" s="31" t="s">
        <v>2699</v>
      </c>
      <c r="K668" s="64" t="s">
        <v>2077</v>
      </c>
      <c r="M668" s="31" t="s">
        <v>113</v>
      </c>
      <c r="O668" s="42">
        <v>44207</v>
      </c>
      <c r="P668" s="31" t="s">
        <v>2221</v>
      </c>
      <c r="Q668" s="32">
        <v>73.5</v>
      </c>
      <c r="R668" s="48">
        <f>IFERROR(Q668/VLOOKUP(P668,'Exchange rates to USD'!$L$2:$N$225,3,FALSE),"")</f>
        <v>93.645068269654587</v>
      </c>
      <c r="T668" s="67"/>
      <c r="U668" s="152"/>
      <c r="V668" s="152"/>
      <c r="W668" s="152"/>
    </row>
    <row r="669" spans="1:23" ht="13.25" customHeight="1" x14ac:dyDescent="0.25">
      <c r="A669" s="38" t="s">
        <v>2276</v>
      </c>
      <c r="B669" s="38" t="s">
        <v>658</v>
      </c>
      <c r="C669" s="31" t="s">
        <v>22</v>
      </c>
      <c r="D669" s="31" t="s">
        <v>13</v>
      </c>
      <c r="E669" s="31" t="s">
        <v>98</v>
      </c>
      <c r="F669" s="31" t="s">
        <v>2078</v>
      </c>
      <c r="G669" s="31" t="s">
        <v>3173</v>
      </c>
      <c r="J669" s="31" t="s">
        <v>2079</v>
      </c>
      <c r="K669" s="31" t="s">
        <v>2080</v>
      </c>
      <c r="M669" s="31" t="s">
        <v>737</v>
      </c>
      <c r="N669" s="152" t="s">
        <v>3174</v>
      </c>
      <c r="O669" s="42">
        <v>44294</v>
      </c>
      <c r="P669" s="31" t="s">
        <v>1270</v>
      </c>
      <c r="Q669" s="32">
        <v>495.72</v>
      </c>
      <c r="R669" s="48">
        <f>IFERROR(Q669/VLOOKUP(P669,'Exchange rates to USD'!$L$2:$N$225,3,FALSE),"")</f>
        <v>495.72</v>
      </c>
      <c r="S669" s="31" t="s">
        <v>3118</v>
      </c>
      <c r="T669" s="66"/>
      <c r="U669" s="152"/>
      <c r="V669" s="152"/>
      <c r="W669" s="152"/>
    </row>
    <row r="670" spans="1:23" ht="13.25" customHeight="1" x14ac:dyDescent="0.25">
      <c r="A670" s="152" t="s">
        <v>2277</v>
      </c>
      <c r="B670" s="38" t="s">
        <v>658</v>
      </c>
      <c r="C670" s="31" t="s">
        <v>22</v>
      </c>
      <c r="D670" s="31" t="s">
        <v>13</v>
      </c>
      <c r="E670" s="31" t="s">
        <v>98</v>
      </c>
      <c r="F670" s="31" t="s">
        <v>2081</v>
      </c>
      <c r="G670" s="31" t="s">
        <v>3173</v>
      </c>
      <c r="J670" s="31" t="s">
        <v>2082</v>
      </c>
      <c r="K670" s="31" t="s">
        <v>2080</v>
      </c>
      <c r="M670" s="31" t="s">
        <v>737</v>
      </c>
      <c r="N670" s="152" t="s">
        <v>3174</v>
      </c>
      <c r="O670" s="42">
        <v>44294</v>
      </c>
      <c r="P670" s="31" t="s">
        <v>1270</v>
      </c>
      <c r="Q670" s="32">
        <v>181.77</v>
      </c>
      <c r="R670" s="48">
        <f>IFERROR(Q670/VLOOKUP(P670,'Exchange rates to USD'!$L$2:$N$225,3,FALSE),"")</f>
        <v>181.77</v>
      </c>
      <c r="S670" s="152" t="s">
        <v>3118</v>
      </c>
      <c r="T670" s="66"/>
      <c r="U670" s="152"/>
      <c r="V670" s="152"/>
      <c r="W670" s="152"/>
    </row>
    <row r="671" spans="1:23" ht="13.25" customHeight="1" x14ac:dyDescent="0.25">
      <c r="A671" s="152" t="s">
        <v>2278</v>
      </c>
      <c r="B671" s="38" t="s">
        <v>658</v>
      </c>
      <c r="C671" s="31" t="s">
        <v>22</v>
      </c>
      <c r="D671" s="31" t="s">
        <v>13</v>
      </c>
      <c r="E671" s="31" t="s">
        <v>98</v>
      </c>
      <c r="F671" s="31" t="s">
        <v>2083</v>
      </c>
      <c r="G671" s="31" t="s">
        <v>3173</v>
      </c>
      <c r="J671" s="31" t="s">
        <v>2084</v>
      </c>
      <c r="K671" s="31" t="s">
        <v>2080</v>
      </c>
      <c r="M671" s="31" t="s">
        <v>737</v>
      </c>
      <c r="N671" s="152" t="s">
        <v>3174</v>
      </c>
      <c r="O671" s="42">
        <v>44143</v>
      </c>
      <c r="P671" s="31" t="s">
        <v>1270</v>
      </c>
      <c r="Q671" s="32">
        <v>991.45</v>
      </c>
      <c r="R671" s="48">
        <f>IFERROR(Q671/VLOOKUP(P671,'Exchange rates to USD'!$L$2:$N$225,3,FALSE),"")</f>
        <v>991.45</v>
      </c>
      <c r="S671" s="152" t="s">
        <v>3118</v>
      </c>
      <c r="T671" s="66"/>
      <c r="U671" s="152"/>
      <c r="V671" s="152"/>
      <c r="W671" s="152"/>
    </row>
    <row r="672" spans="1:23" ht="13.25" customHeight="1" x14ac:dyDescent="0.25">
      <c r="A672" s="152" t="s">
        <v>2279</v>
      </c>
      <c r="B672" s="38" t="s">
        <v>658</v>
      </c>
      <c r="C672" s="31" t="s">
        <v>22</v>
      </c>
      <c r="D672" s="31" t="s">
        <v>13</v>
      </c>
      <c r="E672" s="31" t="s">
        <v>98</v>
      </c>
      <c r="F672" s="31" t="s">
        <v>2083</v>
      </c>
      <c r="G672" s="31" t="s">
        <v>3173</v>
      </c>
      <c r="J672" s="31" t="s">
        <v>2085</v>
      </c>
      <c r="K672" s="31" t="s">
        <v>2080</v>
      </c>
      <c r="M672" s="31" t="s">
        <v>737</v>
      </c>
      <c r="N672" s="152" t="s">
        <v>3174</v>
      </c>
      <c r="O672" s="42">
        <v>44143</v>
      </c>
      <c r="P672" s="31" t="s">
        <v>1270</v>
      </c>
      <c r="Q672" s="32">
        <v>991.45</v>
      </c>
      <c r="R672" s="48">
        <f>IFERROR(Q672/VLOOKUP(P672,'Exchange rates to USD'!$L$2:$N$225,3,FALSE),"")</f>
        <v>991.45</v>
      </c>
      <c r="S672" s="152" t="s">
        <v>3118</v>
      </c>
      <c r="T672" s="66"/>
      <c r="U672" s="152"/>
      <c r="V672" s="152"/>
      <c r="W672" s="152"/>
    </row>
    <row r="673" spans="1:23" ht="13.25" customHeight="1" x14ac:dyDescent="0.25">
      <c r="A673" s="152" t="s">
        <v>2280</v>
      </c>
      <c r="B673" s="38" t="s">
        <v>658</v>
      </c>
      <c r="C673" s="31" t="s">
        <v>22</v>
      </c>
      <c r="D673" s="31" t="s">
        <v>13</v>
      </c>
      <c r="E673" s="31" t="s">
        <v>172</v>
      </c>
      <c r="F673" s="31" t="s">
        <v>2083</v>
      </c>
      <c r="G673" s="31" t="s">
        <v>3173</v>
      </c>
      <c r="J673" s="31" t="s">
        <v>2086</v>
      </c>
      <c r="K673" s="31" t="s">
        <v>2080</v>
      </c>
      <c r="M673" s="152" t="s">
        <v>737</v>
      </c>
      <c r="N673" s="31" t="s">
        <v>3174</v>
      </c>
      <c r="O673" s="42">
        <v>44143</v>
      </c>
      <c r="P673" s="31" t="s">
        <v>1270</v>
      </c>
      <c r="Q673" s="32">
        <v>991.45</v>
      </c>
      <c r="R673" s="48">
        <f>IFERROR(Q673/VLOOKUP(P673,'Exchange rates to USD'!$L$2:$N$225,3,FALSE),"")</f>
        <v>991.45</v>
      </c>
      <c r="S673" s="152" t="s">
        <v>3118</v>
      </c>
      <c r="T673" s="66"/>
      <c r="U673" s="152"/>
      <c r="V673" s="152"/>
      <c r="W673" s="152"/>
    </row>
    <row r="674" spans="1:23" ht="13.25" customHeight="1" x14ac:dyDescent="0.25">
      <c r="A674" s="152" t="s">
        <v>2281</v>
      </c>
      <c r="B674" s="38" t="s">
        <v>658</v>
      </c>
      <c r="C674" s="31" t="s">
        <v>22</v>
      </c>
      <c r="D674" s="31" t="s">
        <v>13</v>
      </c>
      <c r="E674" s="31" t="s">
        <v>172</v>
      </c>
      <c r="F674" s="31" t="s">
        <v>2083</v>
      </c>
      <c r="G674" s="31" t="s">
        <v>3173</v>
      </c>
      <c r="J674" s="31" t="s">
        <v>2087</v>
      </c>
      <c r="K674" s="31" t="s">
        <v>2080</v>
      </c>
      <c r="M674" s="152" t="s">
        <v>737</v>
      </c>
      <c r="N674" s="152" t="s">
        <v>3174</v>
      </c>
      <c r="O674" s="42">
        <v>44143</v>
      </c>
      <c r="P674" s="31" t="s">
        <v>1270</v>
      </c>
      <c r="Q674" s="32">
        <v>991.45</v>
      </c>
      <c r="R674" s="48">
        <f>IFERROR(Q674/VLOOKUP(P674,'Exchange rates to USD'!$L$2:$N$225,3,FALSE),"")</f>
        <v>991.45</v>
      </c>
      <c r="S674" s="152" t="s">
        <v>3118</v>
      </c>
      <c r="T674" s="66"/>
      <c r="U674" s="152"/>
      <c r="V674" s="152"/>
      <c r="W674" s="152"/>
    </row>
    <row r="675" spans="1:23" ht="13.25" customHeight="1" x14ac:dyDescent="0.25">
      <c r="A675" s="152" t="s">
        <v>2282</v>
      </c>
      <c r="B675" s="38" t="s">
        <v>658</v>
      </c>
      <c r="C675" s="31" t="s">
        <v>22</v>
      </c>
      <c r="D675" s="31" t="s">
        <v>13</v>
      </c>
      <c r="E675" s="31" t="s">
        <v>172</v>
      </c>
      <c r="F675" s="31" t="s">
        <v>2078</v>
      </c>
      <c r="G675" s="31" t="s">
        <v>3173</v>
      </c>
      <c r="J675" s="31" t="s">
        <v>2088</v>
      </c>
      <c r="K675" s="31" t="s">
        <v>2080</v>
      </c>
      <c r="M675" s="152" t="s">
        <v>737</v>
      </c>
      <c r="N675" s="152" t="s">
        <v>3174</v>
      </c>
      <c r="O675" s="42">
        <v>44143</v>
      </c>
      <c r="P675" s="31" t="s">
        <v>1270</v>
      </c>
      <c r="Q675" s="32">
        <v>495.72</v>
      </c>
      <c r="R675" s="48">
        <f>IFERROR(Q675/VLOOKUP(P675,'Exchange rates to USD'!$L$2:$N$225,3,FALSE),"")</f>
        <v>495.72</v>
      </c>
      <c r="S675" s="152" t="s">
        <v>3118</v>
      </c>
      <c r="T675" s="66"/>
      <c r="U675" s="152"/>
      <c r="V675" s="152"/>
      <c r="W675" s="152"/>
    </row>
    <row r="676" spans="1:23" ht="12.5" customHeight="1" x14ac:dyDescent="0.25">
      <c r="A676" s="38" t="s">
        <v>2283</v>
      </c>
      <c r="B676" s="38" t="s">
        <v>658</v>
      </c>
      <c r="C676" s="31" t="s">
        <v>22</v>
      </c>
      <c r="D676" s="31" t="s">
        <v>13</v>
      </c>
      <c r="E676" s="31" t="s">
        <v>172</v>
      </c>
      <c r="F676" s="31" t="s">
        <v>2078</v>
      </c>
      <c r="G676" s="31" t="s">
        <v>3173</v>
      </c>
      <c r="J676" s="31" t="s">
        <v>2089</v>
      </c>
      <c r="K676" s="31" t="s">
        <v>2080</v>
      </c>
      <c r="M676" s="152" t="s">
        <v>737</v>
      </c>
      <c r="N676" s="152" t="s">
        <v>3174</v>
      </c>
      <c r="O676" s="42">
        <v>44143</v>
      </c>
      <c r="P676" s="31" t="s">
        <v>1270</v>
      </c>
      <c r="Q676" s="32">
        <v>495.72</v>
      </c>
      <c r="R676" s="48">
        <f>IFERROR(Q676/VLOOKUP(P676,'Exchange rates to USD'!$L$2:$N$225,3,FALSE),"")</f>
        <v>495.72</v>
      </c>
      <c r="S676" s="152" t="s">
        <v>3118</v>
      </c>
      <c r="T676" s="66"/>
      <c r="U676" s="152"/>
      <c r="V676" s="152"/>
      <c r="W676" s="152"/>
    </row>
    <row r="677" spans="1:23" ht="13.25" customHeight="1" x14ac:dyDescent="0.25">
      <c r="A677" s="152" t="s">
        <v>2284</v>
      </c>
      <c r="B677" s="38" t="s">
        <v>658</v>
      </c>
      <c r="C677" s="31" t="s">
        <v>22</v>
      </c>
      <c r="D677" s="31" t="s">
        <v>13</v>
      </c>
      <c r="E677" s="31" t="s">
        <v>98</v>
      </c>
      <c r="G677" s="31" t="s">
        <v>3173</v>
      </c>
      <c r="J677" s="31" t="s">
        <v>2090</v>
      </c>
      <c r="K677" s="31" t="s">
        <v>2091</v>
      </c>
      <c r="M677" s="31" t="s">
        <v>113</v>
      </c>
      <c r="O677" s="42">
        <v>44143</v>
      </c>
      <c r="P677" s="31" t="s">
        <v>1270</v>
      </c>
      <c r="Q677" s="32" t="s">
        <v>2326</v>
      </c>
      <c r="R677" s="48" t="str">
        <f>IFERROR(Q677/VLOOKUP(P677,'Exchange rates to USD'!$L$2:$N$225,3,FALSE),"")</f>
        <v/>
      </c>
      <c r="S677" s="152" t="s">
        <v>3119</v>
      </c>
      <c r="T677" s="66"/>
      <c r="U677" s="152"/>
      <c r="V677" s="152"/>
      <c r="W677" s="152"/>
    </row>
    <row r="678" spans="1:23" ht="13.25" customHeight="1" x14ac:dyDescent="0.25">
      <c r="A678" s="152" t="s">
        <v>2285</v>
      </c>
      <c r="B678" s="38" t="s">
        <v>658</v>
      </c>
      <c r="C678" s="31" t="s">
        <v>22</v>
      </c>
      <c r="D678" s="31" t="s">
        <v>13</v>
      </c>
      <c r="E678" s="31" t="s">
        <v>36</v>
      </c>
      <c r="F678" s="31" t="s">
        <v>2092</v>
      </c>
      <c r="G678" s="31" t="s">
        <v>3173</v>
      </c>
      <c r="J678" s="31" t="s">
        <v>2093</v>
      </c>
      <c r="K678" s="31" t="s">
        <v>2094</v>
      </c>
      <c r="M678" s="31" t="s">
        <v>113</v>
      </c>
      <c r="O678" s="42">
        <v>44143</v>
      </c>
      <c r="P678" s="31" t="s">
        <v>1270</v>
      </c>
      <c r="Q678" s="32">
        <v>2630</v>
      </c>
      <c r="R678" s="48">
        <f>IFERROR(Q678/VLOOKUP(P678,'Exchange rates to USD'!$L$2:$N$225,3,FALSE),"")</f>
        <v>2630</v>
      </c>
      <c r="T678" s="66"/>
      <c r="U678" s="152"/>
      <c r="V678" s="152"/>
      <c r="W678" s="152"/>
    </row>
    <row r="679" spans="1:23" ht="13.25" customHeight="1" x14ac:dyDescent="0.25">
      <c r="A679" s="152" t="s">
        <v>2286</v>
      </c>
      <c r="B679" s="38" t="s">
        <v>658</v>
      </c>
      <c r="C679" s="31" t="s">
        <v>30</v>
      </c>
      <c r="D679" s="31" t="s">
        <v>13</v>
      </c>
      <c r="E679" s="31" t="s">
        <v>36</v>
      </c>
      <c r="F679" s="31" t="s">
        <v>31</v>
      </c>
      <c r="G679" s="31" t="s">
        <v>3173</v>
      </c>
      <c r="J679" s="31" t="s">
        <v>2095</v>
      </c>
      <c r="K679" s="31" t="s">
        <v>2094</v>
      </c>
      <c r="M679" s="31" t="s">
        <v>113</v>
      </c>
      <c r="O679" s="42">
        <v>44143</v>
      </c>
      <c r="P679" s="31" t="s">
        <v>1270</v>
      </c>
      <c r="Q679" s="32" t="s">
        <v>2326</v>
      </c>
      <c r="R679" s="48" t="str">
        <f>IFERROR(Q679/VLOOKUP(P679,'Exchange rates to USD'!$L$2:$N$225,3,FALSE),"")</f>
        <v/>
      </c>
      <c r="T679" s="66"/>
      <c r="U679" s="152"/>
      <c r="V679" s="152"/>
      <c r="W679" s="152"/>
    </row>
    <row r="680" spans="1:23" ht="13.25" customHeight="1" x14ac:dyDescent="0.25">
      <c r="A680" s="152" t="s">
        <v>2287</v>
      </c>
      <c r="B680" s="38" t="s">
        <v>658</v>
      </c>
      <c r="C680" s="31" t="s">
        <v>30</v>
      </c>
      <c r="D680" s="31" t="s">
        <v>13</v>
      </c>
      <c r="E680" s="31" t="s">
        <v>36</v>
      </c>
      <c r="F680" s="31" t="s">
        <v>31</v>
      </c>
      <c r="G680" s="31" t="s">
        <v>3173</v>
      </c>
      <c r="J680" s="31" t="s">
        <v>2096</v>
      </c>
      <c r="K680" s="31" t="s">
        <v>2094</v>
      </c>
      <c r="M680" s="31" t="s">
        <v>113</v>
      </c>
      <c r="O680" s="42">
        <v>44143</v>
      </c>
      <c r="P680" s="31" t="s">
        <v>1270</v>
      </c>
      <c r="Q680" s="32" t="s">
        <v>2326</v>
      </c>
      <c r="R680" s="48" t="str">
        <f>IFERROR(Q680/VLOOKUP(P680,'Exchange rates to USD'!$L$2:$N$225,3,FALSE),"")</f>
        <v/>
      </c>
      <c r="T680" s="66"/>
      <c r="U680" s="152"/>
      <c r="V680" s="152"/>
      <c r="W680" s="152"/>
    </row>
    <row r="681" spans="1:23" ht="13.25" customHeight="1" x14ac:dyDescent="0.25">
      <c r="A681" s="38" t="s">
        <v>2288</v>
      </c>
      <c r="B681" s="38" t="s">
        <v>658</v>
      </c>
      <c r="C681" s="31" t="s">
        <v>110</v>
      </c>
      <c r="D681" s="31" t="s">
        <v>13</v>
      </c>
      <c r="E681" s="31" t="s">
        <v>36</v>
      </c>
      <c r="F681" s="31" t="s">
        <v>2097</v>
      </c>
      <c r="G681" s="31" t="s">
        <v>3173</v>
      </c>
      <c r="J681" s="31" t="s">
        <v>2098</v>
      </c>
      <c r="K681" s="31" t="s">
        <v>2099</v>
      </c>
      <c r="M681" s="31" t="s">
        <v>113</v>
      </c>
      <c r="O681" s="42">
        <v>44143</v>
      </c>
      <c r="P681" s="31" t="s">
        <v>1270</v>
      </c>
      <c r="Q681" s="32">
        <v>13.14</v>
      </c>
      <c r="R681" s="48">
        <f>IFERROR(Q681/VLOOKUP(P681,'Exchange rates to USD'!$L$2:$N$225,3,FALSE),"")</f>
        <v>13.14</v>
      </c>
      <c r="T681" s="66"/>
      <c r="U681" s="152"/>
      <c r="V681" s="152"/>
      <c r="W681" s="152"/>
    </row>
    <row r="682" spans="1:23" ht="13.25" customHeight="1" x14ac:dyDescent="0.25">
      <c r="A682" s="152" t="s">
        <v>2289</v>
      </c>
      <c r="B682" s="38" t="s">
        <v>658</v>
      </c>
      <c r="C682" s="31" t="s">
        <v>22</v>
      </c>
      <c r="D682" s="31" t="s">
        <v>23</v>
      </c>
      <c r="E682" s="31" t="s">
        <v>3200</v>
      </c>
      <c r="F682" s="31" t="s">
        <v>2100</v>
      </c>
      <c r="G682" s="31" t="s">
        <v>809</v>
      </c>
      <c r="J682" s="31" t="s">
        <v>2101</v>
      </c>
      <c r="K682" s="31" t="s">
        <v>2102</v>
      </c>
      <c r="M682" s="31" t="s">
        <v>113</v>
      </c>
      <c r="O682" s="42">
        <v>44294</v>
      </c>
      <c r="P682" s="31" t="s">
        <v>1270</v>
      </c>
      <c r="Q682" s="32">
        <v>223.31</v>
      </c>
      <c r="R682" s="48">
        <f>IFERROR(Q682/VLOOKUP(P682,'Exchange rates to USD'!$L$2:$N$225,3,FALSE),"")</f>
        <v>223.31</v>
      </c>
      <c r="S682" s="31" t="s">
        <v>3120</v>
      </c>
      <c r="T682" s="66"/>
      <c r="U682" s="152"/>
      <c r="V682" s="152"/>
      <c r="W682" s="152"/>
    </row>
    <row r="683" spans="1:23" ht="13.25" customHeight="1" x14ac:dyDescent="0.25">
      <c r="A683" s="152" t="s">
        <v>2290</v>
      </c>
      <c r="B683" s="38" t="s">
        <v>658</v>
      </c>
      <c r="C683" s="31" t="s">
        <v>30</v>
      </c>
      <c r="D683" s="31" t="s">
        <v>39</v>
      </c>
      <c r="E683" s="31" t="s">
        <v>14</v>
      </c>
      <c r="G683" s="31" t="s">
        <v>3173</v>
      </c>
      <c r="H683" s="31" t="s">
        <v>25</v>
      </c>
      <c r="J683" s="31" t="s">
        <v>2103</v>
      </c>
      <c r="K683" s="31" t="s">
        <v>2104</v>
      </c>
      <c r="M683" s="31" t="s">
        <v>113</v>
      </c>
      <c r="O683" s="42">
        <v>44150</v>
      </c>
      <c r="P683" s="31" t="s">
        <v>1270</v>
      </c>
      <c r="Q683" s="32" t="s">
        <v>2326</v>
      </c>
      <c r="R683" s="48" t="str">
        <f>IFERROR(Q683/VLOOKUP(P683,'Exchange rates to USD'!$L$2:$N$225,3,FALSE),"")</f>
        <v/>
      </c>
      <c r="T683" s="66"/>
      <c r="U683" s="152"/>
      <c r="V683" s="152"/>
      <c r="W683" s="152"/>
    </row>
    <row r="684" spans="1:23" ht="13.25" customHeight="1" x14ac:dyDescent="0.25">
      <c r="A684" s="152" t="s">
        <v>2291</v>
      </c>
      <c r="B684" s="38" t="s">
        <v>658</v>
      </c>
      <c r="C684" s="31" t="s">
        <v>22</v>
      </c>
      <c r="D684" s="31" t="s">
        <v>39</v>
      </c>
      <c r="E684" s="31" t="s">
        <v>14</v>
      </c>
      <c r="F684" s="31" t="s">
        <v>2105</v>
      </c>
      <c r="G684" s="31" t="s">
        <v>3173</v>
      </c>
      <c r="J684" s="31" t="s">
        <v>2106</v>
      </c>
      <c r="K684" s="31" t="s">
        <v>2107</v>
      </c>
      <c r="M684" s="31" t="s">
        <v>113</v>
      </c>
      <c r="O684" s="42">
        <v>44150</v>
      </c>
      <c r="P684" s="31" t="s">
        <v>1270</v>
      </c>
      <c r="Q684" s="32">
        <v>80</v>
      </c>
      <c r="R684" s="48">
        <f>IFERROR(Q684/VLOOKUP(P684,'Exchange rates to USD'!$L$2:$N$225,3,FALSE),"")</f>
        <v>80</v>
      </c>
      <c r="T684" s="66"/>
      <c r="U684" s="152"/>
      <c r="V684" s="152"/>
      <c r="W684" s="152"/>
    </row>
    <row r="685" spans="1:23" ht="13.25" customHeight="1" x14ac:dyDescent="0.25">
      <c r="A685" s="152" t="s">
        <v>2292</v>
      </c>
      <c r="B685" s="38" t="s">
        <v>658</v>
      </c>
      <c r="C685" s="31" t="s">
        <v>22</v>
      </c>
      <c r="D685" s="31" t="s">
        <v>39</v>
      </c>
      <c r="E685" s="31" t="s">
        <v>14</v>
      </c>
      <c r="F685" s="31" t="s">
        <v>2108</v>
      </c>
      <c r="G685" s="31" t="s">
        <v>3173</v>
      </c>
      <c r="J685" s="31" t="s">
        <v>2109</v>
      </c>
      <c r="K685" s="31" t="s">
        <v>2110</v>
      </c>
      <c r="M685" s="31" t="s">
        <v>113</v>
      </c>
      <c r="O685" s="42">
        <v>44150</v>
      </c>
      <c r="P685" s="31" t="s">
        <v>1270</v>
      </c>
      <c r="Q685" s="32">
        <v>2020</v>
      </c>
      <c r="R685" s="48">
        <f>IFERROR(Q685/VLOOKUP(P685,'Exchange rates to USD'!$L$2:$N$225,3,FALSE),"")</f>
        <v>2020</v>
      </c>
      <c r="T685" s="66"/>
      <c r="U685" s="152"/>
      <c r="V685" s="152"/>
      <c r="W685" s="152"/>
    </row>
    <row r="686" spans="1:23" ht="13.25" customHeight="1" x14ac:dyDescent="0.25">
      <c r="A686" s="152" t="s">
        <v>2293</v>
      </c>
      <c r="B686" s="38" t="s">
        <v>658</v>
      </c>
      <c r="C686" s="31" t="s">
        <v>22</v>
      </c>
      <c r="D686" s="31" t="s">
        <v>13</v>
      </c>
      <c r="E686" s="31" t="s">
        <v>161</v>
      </c>
      <c r="F686" s="31" t="s">
        <v>2702</v>
      </c>
      <c r="G686" s="31" t="s">
        <v>3173</v>
      </c>
      <c r="J686" s="31" t="s">
        <v>2111</v>
      </c>
      <c r="K686" s="31" t="s">
        <v>2112</v>
      </c>
      <c r="M686" s="31" t="s">
        <v>871</v>
      </c>
      <c r="N686" s="31" t="s">
        <v>2701</v>
      </c>
      <c r="O686" s="42">
        <v>44207</v>
      </c>
      <c r="P686" s="31" t="s">
        <v>2221</v>
      </c>
      <c r="Q686" s="32">
        <v>1300</v>
      </c>
      <c r="R686" s="48">
        <f>IFERROR(Q686/VLOOKUP(P686,'Exchange rates to USD'!$L$2:$N$225,3,FALSE),"")</f>
        <v>1656.3073299394687</v>
      </c>
      <c r="T686" s="66"/>
      <c r="U686" s="152"/>
      <c r="V686" s="152"/>
      <c r="W686" s="152"/>
    </row>
    <row r="687" spans="1:23" ht="13.25" customHeight="1" x14ac:dyDescent="0.25">
      <c r="A687" s="152" t="s">
        <v>2731</v>
      </c>
      <c r="B687" s="38" t="s">
        <v>658</v>
      </c>
      <c r="C687" s="31" t="s">
        <v>22</v>
      </c>
      <c r="D687" s="31" t="s">
        <v>39</v>
      </c>
      <c r="E687" s="31" t="s">
        <v>3200</v>
      </c>
      <c r="F687" s="31" t="s">
        <v>2113</v>
      </c>
      <c r="G687" s="31" t="s">
        <v>3173</v>
      </c>
      <c r="J687" s="31" t="s">
        <v>2114</v>
      </c>
      <c r="L687" s="31" t="s">
        <v>2115</v>
      </c>
      <c r="M687" s="31" t="s">
        <v>871</v>
      </c>
      <c r="O687" s="42">
        <v>44150</v>
      </c>
      <c r="P687" s="31" t="s">
        <v>1270</v>
      </c>
      <c r="Q687" s="32">
        <v>1890</v>
      </c>
      <c r="R687" s="48">
        <f>IFERROR(Q687/VLOOKUP(P687,'Exchange rates to USD'!$L$2:$N$225,3,FALSE),"")</f>
        <v>1890</v>
      </c>
      <c r="T687" s="66"/>
      <c r="U687" s="152"/>
      <c r="V687" s="152"/>
      <c r="W687" s="152"/>
    </row>
    <row r="688" spans="1:23" ht="13.25" customHeight="1" x14ac:dyDescent="0.25">
      <c r="A688" s="38" t="s">
        <v>2294</v>
      </c>
      <c r="B688" s="38" t="s">
        <v>658</v>
      </c>
      <c r="C688" s="31" t="s">
        <v>110</v>
      </c>
      <c r="D688" s="31" t="s">
        <v>13</v>
      </c>
      <c r="E688" s="31" t="s">
        <v>172</v>
      </c>
      <c r="F688" s="31" t="s">
        <v>2116</v>
      </c>
      <c r="G688" s="31" t="s">
        <v>3173</v>
      </c>
      <c r="J688" s="31" t="s">
        <v>2117</v>
      </c>
      <c r="K688" s="31" t="s">
        <v>2118</v>
      </c>
      <c r="L688" s="31" t="s">
        <v>2119</v>
      </c>
      <c r="M688" s="31" t="s">
        <v>113</v>
      </c>
      <c r="O688" s="42">
        <v>44150</v>
      </c>
      <c r="P688" s="31" t="s">
        <v>1270</v>
      </c>
      <c r="Q688" s="32">
        <v>250</v>
      </c>
      <c r="R688" s="48">
        <f>IFERROR(Q688/VLOOKUP(P688,'Exchange rates to USD'!$L$2:$N$225,3,FALSE),"")</f>
        <v>250</v>
      </c>
      <c r="T688" s="66"/>
      <c r="U688" s="152"/>
      <c r="V688" s="152"/>
      <c r="W688" s="152"/>
    </row>
    <row r="689" spans="1:23" ht="13.25" customHeight="1" x14ac:dyDescent="0.25">
      <c r="A689" s="152" t="s">
        <v>2295</v>
      </c>
      <c r="B689" s="38" t="s">
        <v>658</v>
      </c>
      <c r="C689" s="31" t="s">
        <v>30</v>
      </c>
      <c r="D689" s="31" t="s">
        <v>13</v>
      </c>
      <c r="E689" s="31" t="s">
        <v>36</v>
      </c>
      <c r="F689" s="31" t="s">
        <v>31</v>
      </c>
      <c r="G689" s="31" t="s">
        <v>3173</v>
      </c>
      <c r="H689" s="31" t="s">
        <v>25</v>
      </c>
      <c r="J689" s="115" t="s">
        <v>2796</v>
      </c>
      <c r="K689" s="31" t="s">
        <v>2120</v>
      </c>
      <c r="M689" s="31" t="s">
        <v>113</v>
      </c>
      <c r="N689" s="31" t="s">
        <v>3121</v>
      </c>
      <c r="O689" s="42">
        <v>44232</v>
      </c>
      <c r="P689" s="31" t="s">
        <v>1270</v>
      </c>
      <c r="Q689" s="32" t="s">
        <v>2326</v>
      </c>
      <c r="R689" s="48" t="str">
        <f>IFERROR(Q689/VLOOKUP(P689,'Exchange rates to USD'!$L$2:$N$225,3,FALSE),"")</f>
        <v/>
      </c>
      <c r="T689" s="66"/>
      <c r="U689" s="152"/>
      <c r="V689" s="152"/>
      <c r="W689" s="152"/>
    </row>
    <row r="690" spans="1:23" ht="13.25" customHeight="1" x14ac:dyDescent="0.25">
      <c r="A690" s="152" t="s">
        <v>2296</v>
      </c>
      <c r="B690" s="38" t="s">
        <v>658</v>
      </c>
      <c r="C690" s="31" t="s">
        <v>2530</v>
      </c>
      <c r="D690" s="31" t="s">
        <v>13</v>
      </c>
      <c r="E690" s="31" t="s">
        <v>14</v>
      </c>
      <c r="F690" s="31" t="s">
        <v>2121</v>
      </c>
      <c r="G690" s="31" t="s">
        <v>3173</v>
      </c>
      <c r="H690" s="31" t="s">
        <v>25</v>
      </c>
      <c r="J690" s="31" t="s">
        <v>2122</v>
      </c>
      <c r="K690" s="31" t="s">
        <v>2120</v>
      </c>
      <c r="M690" s="31" t="s">
        <v>113</v>
      </c>
      <c r="O690" s="42">
        <v>44155</v>
      </c>
      <c r="P690" s="31" t="s">
        <v>1270</v>
      </c>
      <c r="Q690" s="32" t="s">
        <v>2326</v>
      </c>
      <c r="R690" s="48" t="str">
        <f>IFERROR(Q690/VLOOKUP(P690,'Exchange rates to USD'!$L$2:$N$225,3,FALSE),"")</f>
        <v/>
      </c>
      <c r="T690" s="66"/>
      <c r="U690" s="152"/>
      <c r="V690" s="152"/>
      <c r="W690" s="152"/>
    </row>
    <row r="691" spans="1:23" ht="13.25" customHeight="1" x14ac:dyDescent="0.25">
      <c r="A691" s="152" t="s">
        <v>2297</v>
      </c>
      <c r="B691" s="38" t="s">
        <v>658</v>
      </c>
      <c r="C691" s="31" t="s">
        <v>2530</v>
      </c>
      <c r="D691" s="31" t="s">
        <v>13</v>
      </c>
      <c r="E691" s="31" t="s">
        <v>14</v>
      </c>
      <c r="F691" s="31" t="s">
        <v>2123</v>
      </c>
      <c r="G691" s="31" t="s">
        <v>3173</v>
      </c>
      <c r="H691" s="31" t="s">
        <v>25</v>
      </c>
      <c r="J691" s="31" t="s">
        <v>2124</v>
      </c>
      <c r="K691" s="31" t="s">
        <v>2120</v>
      </c>
      <c r="M691" s="31" t="s">
        <v>113</v>
      </c>
      <c r="O691" s="42">
        <v>44155</v>
      </c>
      <c r="P691" s="31" t="s">
        <v>1270</v>
      </c>
      <c r="Q691" s="32">
        <v>212.5</v>
      </c>
      <c r="R691" s="48">
        <f>IFERROR(Q691/VLOOKUP(P691,'Exchange rates to USD'!$L$2:$N$225,3,FALSE),"")</f>
        <v>212.5</v>
      </c>
      <c r="T691" s="66"/>
      <c r="U691" s="152"/>
      <c r="V691" s="152"/>
      <c r="W691" s="152"/>
    </row>
    <row r="692" spans="1:23" ht="13.25" customHeight="1" x14ac:dyDescent="0.25">
      <c r="A692" s="152" t="s">
        <v>2298</v>
      </c>
      <c r="B692" s="38" t="s">
        <v>658</v>
      </c>
      <c r="C692" s="31" t="s">
        <v>2530</v>
      </c>
      <c r="D692" s="31" t="s">
        <v>13</v>
      </c>
      <c r="E692" s="31" t="s">
        <v>3200</v>
      </c>
      <c r="F692" s="31" t="s">
        <v>2121</v>
      </c>
      <c r="G692" s="31" t="s">
        <v>3173</v>
      </c>
      <c r="J692" s="31" t="s">
        <v>2125</v>
      </c>
      <c r="K692" s="31" t="s">
        <v>2120</v>
      </c>
      <c r="M692" s="31" t="s">
        <v>113</v>
      </c>
      <c r="O692" s="42">
        <v>44155</v>
      </c>
      <c r="P692" s="31" t="s">
        <v>1270</v>
      </c>
      <c r="Q692" s="32" t="s">
        <v>2326</v>
      </c>
      <c r="R692" s="48" t="str">
        <f>IFERROR(Q692/VLOOKUP(P692,'Exchange rates to USD'!$L$2:$N$225,3,FALSE),"")</f>
        <v/>
      </c>
      <c r="T692" s="66"/>
      <c r="U692" s="152"/>
      <c r="V692" s="152"/>
      <c r="W692" s="152"/>
    </row>
    <row r="693" spans="1:23" ht="13.25" customHeight="1" x14ac:dyDescent="0.25">
      <c r="A693" s="38" t="s">
        <v>2299</v>
      </c>
      <c r="B693" s="38" t="s">
        <v>658</v>
      </c>
      <c r="C693" s="31" t="s">
        <v>22</v>
      </c>
      <c r="D693" s="31" t="s">
        <v>13</v>
      </c>
      <c r="E693" s="31" t="s">
        <v>3200</v>
      </c>
      <c r="F693" s="31" t="s">
        <v>2126</v>
      </c>
      <c r="G693" s="31" t="s">
        <v>3173</v>
      </c>
      <c r="J693" s="31" t="s">
        <v>2127</v>
      </c>
      <c r="K693" s="31" t="s">
        <v>2120</v>
      </c>
      <c r="M693" s="31" t="s">
        <v>113</v>
      </c>
      <c r="O693" s="42">
        <v>44155</v>
      </c>
      <c r="P693" s="31" t="s">
        <v>1270</v>
      </c>
      <c r="Q693" s="32">
        <v>318.8</v>
      </c>
      <c r="R693" s="48">
        <f>IFERROR(Q693/VLOOKUP(P693,'Exchange rates to USD'!$L$2:$N$225,3,FALSE),"")</f>
        <v>318.8</v>
      </c>
      <c r="T693" s="66"/>
      <c r="U693" s="152"/>
      <c r="V693" s="152"/>
      <c r="W693" s="152"/>
    </row>
    <row r="694" spans="1:23" ht="13.25" customHeight="1" x14ac:dyDescent="0.25">
      <c r="A694" s="152" t="s">
        <v>2300</v>
      </c>
      <c r="B694" s="38" t="s">
        <v>658</v>
      </c>
      <c r="C694" s="31" t="s">
        <v>22</v>
      </c>
      <c r="D694" s="31" t="s">
        <v>13</v>
      </c>
      <c r="E694" s="31" t="s">
        <v>14</v>
      </c>
      <c r="F694" s="31" t="s">
        <v>2128</v>
      </c>
      <c r="G694" s="31" t="s">
        <v>3173</v>
      </c>
      <c r="H694" s="31" t="s">
        <v>25</v>
      </c>
      <c r="J694" s="31" t="s">
        <v>2797</v>
      </c>
      <c r="K694" s="31" t="s">
        <v>2120</v>
      </c>
      <c r="M694" s="31" t="s">
        <v>113</v>
      </c>
      <c r="O694" s="42">
        <v>44155</v>
      </c>
      <c r="P694" s="31" t="s">
        <v>1270</v>
      </c>
      <c r="Q694" s="32">
        <v>225.8</v>
      </c>
      <c r="R694" s="60">
        <f>IFERROR(Q694/VLOOKUP(P694,'Exchange rates to USD'!$L$2:$N$225,3,FALSE),"")</f>
        <v>225.8</v>
      </c>
      <c r="T694" s="66"/>
      <c r="U694" s="152"/>
      <c r="V694" s="152"/>
      <c r="W694" s="152"/>
    </row>
    <row r="695" spans="1:23" ht="13.25" customHeight="1" x14ac:dyDescent="0.25">
      <c r="A695" s="152" t="s">
        <v>2301</v>
      </c>
      <c r="B695" s="38" t="s">
        <v>658</v>
      </c>
      <c r="C695" s="31" t="s">
        <v>22</v>
      </c>
      <c r="D695" s="31" t="s">
        <v>13</v>
      </c>
      <c r="E695" s="31" t="s">
        <v>14</v>
      </c>
      <c r="F695" s="31" t="s">
        <v>2129</v>
      </c>
      <c r="G695" s="31" t="s">
        <v>3173</v>
      </c>
      <c r="H695" s="31" t="s">
        <v>25</v>
      </c>
      <c r="J695" s="31" t="s">
        <v>2130</v>
      </c>
      <c r="K695" s="31" t="s">
        <v>2120</v>
      </c>
      <c r="M695" s="31" t="s">
        <v>871</v>
      </c>
      <c r="N695" s="31" t="s">
        <v>3122</v>
      </c>
      <c r="O695" s="42">
        <v>44294</v>
      </c>
      <c r="P695" s="31" t="s">
        <v>1270</v>
      </c>
      <c r="Q695" s="32">
        <v>53.3</v>
      </c>
      <c r="R695" s="60">
        <f>IFERROR(Q695/VLOOKUP(P695,'Exchange rates to USD'!$L$2:$N$225,3,FALSE),"")</f>
        <v>53.3</v>
      </c>
      <c r="S695" s="31" t="s">
        <v>3119</v>
      </c>
      <c r="T695" s="66"/>
      <c r="U695" s="152"/>
      <c r="V695" s="152"/>
      <c r="W695" s="152"/>
    </row>
    <row r="696" spans="1:23" ht="13.25" customHeight="1" x14ac:dyDescent="0.25">
      <c r="A696" s="152" t="s">
        <v>2302</v>
      </c>
      <c r="B696" s="38" t="s">
        <v>658</v>
      </c>
      <c r="C696" s="31" t="s">
        <v>22</v>
      </c>
      <c r="D696" s="31" t="s">
        <v>13</v>
      </c>
      <c r="E696" s="31" t="s">
        <v>36</v>
      </c>
      <c r="F696" s="31" t="s">
        <v>2131</v>
      </c>
      <c r="G696" s="31" t="s">
        <v>3173</v>
      </c>
      <c r="H696" s="31" t="s">
        <v>25</v>
      </c>
      <c r="J696" s="31" t="s">
        <v>2132</v>
      </c>
      <c r="K696" s="31" t="s">
        <v>2120</v>
      </c>
      <c r="L696" s="31" t="s">
        <v>3124</v>
      </c>
      <c r="M696" s="31" t="s">
        <v>113</v>
      </c>
      <c r="N696" s="31" t="s">
        <v>3123</v>
      </c>
      <c r="O696" s="42">
        <v>44294</v>
      </c>
      <c r="P696" s="31" t="s">
        <v>1270</v>
      </c>
      <c r="Q696" s="32">
        <v>1330</v>
      </c>
      <c r="R696" s="60">
        <f>IFERROR(Q696/VLOOKUP(P696,'Exchange rates to USD'!$L$2:$N$225,3,FALSE),"")</f>
        <v>1330</v>
      </c>
      <c r="T696" s="66"/>
      <c r="U696" s="152"/>
      <c r="V696" s="152"/>
      <c r="W696" s="152"/>
    </row>
    <row r="697" spans="1:23" ht="13.25" customHeight="1" x14ac:dyDescent="0.25">
      <c r="A697" s="152" t="s">
        <v>2303</v>
      </c>
      <c r="B697" s="38" t="s">
        <v>658</v>
      </c>
      <c r="C697" s="31" t="s">
        <v>22</v>
      </c>
      <c r="D697" s="31" t="s">
        <v>13</v>
      </c>
      <c r="E697" s="31" t="s">
        <v>36</v>
      </c>
      <c r="F697" s="31" t="s">
        <v>2133</v>
      </c>
      <c r="G697" s="31" t="s">
        <v>3173</v>
      </c>
      <c r="H697" s="31" t="s">
        <v>25</v>
      </c>
      <c r="J697" s="31" t="s">
        <v>2134</v>
      </c>
      <c r="K697" s="31" t="s">
        <v>2120</v>
      </c>
      <c r="M697" s="31" t="s">
        <v>113</v>
      </c>
      <c r="O697" s="42">
        <v>44155</v>
      </c>
      <c r="P697" s="31" t="s">
        <v>1270</v>
      </c>
      <c r="Q697" s="32">
        <v>1730</v>
      </c>
      <c r="R697" s="60">
        <f>IFERROR(Q697/VLOOKUP(P697,'Exchange rates to USD'!$L$2:$N$225,3,FALSE),"")</f>
        <v>1730</v>
      </c>
      <c r="T697" s="66"/>
      <c r="U697" s="152"/>
      <c r="V697" s="152"/>
      <c r="W697" s="152"/>
    </row>
    <row r="698" spans="1:23" ht="13.25" customHeight="1" x14ac:dyDescent="0.25">
      <c r="A698" s="152" t="s">
        <v>2304</v>
      </c>
      <c r="B698" s="38" t="s">
        <v>658</v>
      </c>
      <c r="C698" s="31" t="s">
        <v>22</v>
      </c>
      <c r="D698" s="31" t="s">
        <v>13</v>
      </c>
      <c r="E698" s="31" t="s">
        <v>36</v>
      </c>
      <c r="F698" s="31" t="s">
        <v>2135</v>
      </c>
      <c r="G698" s="31" t="s">
        <v>3173</v>
      </c>
      <c r="H698" s="31" t="s">
        <v>25</v>
      </c>
      <c r="J698" s="31" t="s">
        <v>2136</v>
      </c>
      <c r="K698" s="31" t="s">
        <v>2120</v>
      </c>
      <c r="M698" s="31" t="s">
        <v>113</v>
      </c>
      <c r="O698" s="42">
        <v>44155</v>
      </c>
      <c r="P698" s="31" t="s">
        <v>1270</v>
      </c>
      <c r="Q698" s="32">
        <v>772.86</v>
      </c>
      <c r="R698" s="48">
        <f>IFERROR(Q698/VLOOKUP(P698,'Exchange rates to USD'!$L$2:$N$225,3,FALSE),"")</f>
        <v>772.86</v>
      </c>
      <c r="T698" s="66"/>
      <c r="U698" s="152"/>
      <c r="V698" s="152"/>
      <c r="W698" s="152"/>
    </row>
    <row r="699" spans="1:23" ht="13.25" customHeight="1" x14ac:dyDescent="0.25">
      <c r="A699" s="152" t="s">
        <v>2305</v>
      </c>
      <c r="B699" s="38" t="s">
        <v>658</v>
      </c>
      <c r="C699" s="31" t="s">
        <v>110</v>
      </c>
      <c r="D699" s="31" t="s">
        <v>13</v>
      </c>
      <c r="E699" s="31" t="s">
        <v>36</v>
      </c>
      <c r="F699" s="31" t="s">
        <v>2137</v>
      </c>
      <c r="G699" s="31" t="s">
        <v>3173</v>
      </c>
      <c r="H699" s="31" t="s">
        <v>25</v>
      </c>
      <c r="J699" s="31" t="s">
        <v>2138</v>
      </c>
      <c r="K699" s="31" t="s">
        <v>2120</v>
      </c>
      <c r="M699" s="31" t="s">
        <v>113</v>
      </c>
      <c r="O699" s="42">
        <v>44155</v>
      </c>
      <c r="P699" s="31" t="s">
        <v>1270</v>
      </c>
      <c r="Q699" s="32">
        <v>26.56</v>
      </c>
      <c r="R699" s="48">
        <f>IFERROR(Q699/VLOOKUP(P699,'Exchange rates to USD'!$L$2:$N$225,3,FALSE),"")</f>
        <v>26.56</v>
      </c>
      <c r="T699" s="66"/>
      <c r="U699" s="152"/>
      <c r="V699" s="152"/>
      <c r="W699" s="152"/>
    </row>
    <row r="700" spans="1:23" ht="13.25" customHeight="1" x14ac:dyDescent="0.25">
      <c r="A700" s="38" t="s">
        <v>2732</v>
      </c>
      <c r="B700" s="38" t="s">
        <v>658</v>
      </c>
      <c r="C700" s="31" t="s">
        <v>22</v>
      </c>
      <c r="D700" s="31" t="s">
        <v>13</v>
      </c>
      <c r="E700" s="31" t="s">
        <v>36</v>
      </c>
      <c r="F700" s="31" t="s">
        <v>2139</v>
      </c>
      <c r="G700" s="31" t="s">
        <v>3173</v>
      </c>
      <c r="H700" s="31" t="s">
        <v>25</v>
      </c>
      <c r="J700" s="31" t="s">
        <v>2140</v>
      </c>
      <c r="K700" s="31" t="s">
        <v>2120</v>
      </c>
      <c r="M700" s="31" t="s">
        <v>113</v>
      </c>
      <c r="O700" s="42">
        <v>44155</v>
      </c>
      <c r="P700" s="31" t="s">
        <v>1270</v>
      </c>
      <c r="Q700" s="32">
        <v>159.35</v>
      </c>
      <c r="R700" s="48">
        <f>IFERROR(Q700/VLOOKUP(P700,'Exchange rates to USD'!$L$2:$N$225,3,FALSE),"")</f>
        <v>159.35</v>
      </c>
      <c r="T700" s="66"/>
      <c r="U700" s="152"/>
      <c r="V700" s="152"/>
      <c r="W700" s="152"/>
    </row>
    <row r="701" spans="1:23" ht="13.25" customHeight="1" x14ac:dyDescent="0.25">
      <c r="A701" s="152" t="s">
        <v>2306</v>
      </c>
      <c r="B701" s="38" t="s">
        <v>658</v>
      </c>
      <c r="C701" s="31" t="s">
        <v>22</v>
      </c>
      <c r="D701" s="31" t="s">
        <v>13</v>
      </c>
      <c r="E701" s="31" t="s">
        <v>36</v>
      </c>
      <c r="F701" s="31" t="s">
        <v>2141</v>
      </c>
      <c r="G701" s="31" t="s">
        <v>3173</v>
      </c>
      <c r="H701" s="31" t="s">
        <v>25</v>
      </c>
      <c r="J701" s="31" t="s">
        <v>2142</v>
      </c>
      <c r="K701" s="31" t="s">
        <v>2120</v>
      </c>
      <c r="M701" s="31" t="s">
        <v>113</v>
      </c>
      <c r="O701" s="42">
        <v>44155</v>
      </c>
      <c r="P701" s="31" t="s">
        <v>1270</v>
      </c>
      <c r="Q701" s="32" t="s">
        <v>2326</v>
      </c>
      <c r="R701" s="48" t="str">
        <f>IFERROR(Q701/VLOOKUP(P701,'Exchange rates to USD'!$L$2:$N$225,3,FALSE),"")</f>
        <v/>
      </c>
      <c r="T701" s="66"/>
      <c r="U701" s="152"/>
      <c r="V701" s="152"/>
      <c r="W701" s="152"/>
    </row>
    <row r="702" spans="1:23" ht="13.25" customHeight="1" x14ac:dyDescent="0.25">
      <c r="A702" s="152" t="s">
        <v>2307</v>
      </c>
      <c r="B702" s="38" t="s">
        <v>658</v>
      </c>
      <c r="C702" s="31" t="s">
        <v>110</v>
      </c>
      <c r="D702" s="31" t="s">
        <v>13</v>
      </c>
      <c r="E702" s="31" t="s">
        <v>172</v>
      </c>
      <c r="F702" s="31" t="s">
        <v>2143</v>
      </c>
      <c r="G702" s="31" t="s">
        <v>3173</v>
      </c>
      <c r="J702" s="31" t="s">
        <v>2144</v>
      </c>
      <c r="K702" s="31" t="s">
        <v>2120</v>
      </c>
      <c r="M702" s="31" t="s">
        <v>113</v>
      </c>
      <c r="O702" s="42">
        <v>44155</v>
      </c>
      <c r="P702" s="31" t="s">
        <v>1270</v>
      </c>
      <c r="Q702" s="32">
        <v>19.920000000000002</v>
      </c>
      <c r="R702" s="48">
        <f>IFERROR(Q702/VLOOKUP(P702,'Exchange rates to USD'!$L$2:$N$225,3,FALSE),"")</f>
        <v>19.920000000000002</v>
      </c>
      <c r="T702" s="66"/>
      <c r="U702" s="152"/>
      <c r="V702" s="152"/>
      <c r="W702" s="152"/>
    </row>
    <row r="703" spans="1:23" ht="13.25" customHeight="1" x14ac:dyDescent="0.25">
      <c r="A703" s="152" t="s">
        <v>2308</v>
      </c>
      <c r="B703" s="38" t="s">
        <v>658</v>
      </c>
      <c r="C703" s="31" t="s">
        <v>22</v>
      </c>
      <c r="D703" s="31" t="s">
        <v>13</v>
      </c>
      <c r="E703" s="31" t="s">
        <v>172</v>
      </c>
      <c r="F703" s="31" t="s">
        <v>2143</v>
      </c>
      <c r="G703" s="31" t="s">
        <v>3173</v>
      </c>
      <c r="J703" s="31" t="s">
        <v>2145</v>
      </c>
      <c r="K703" s="31" t="s">
        <v>2120</v>
      </c>
      <c r="M703" s="31" t="s">
        <v>113</v>
      </c>
      <c r="O703" s="42">
        <v>44155</v>
      </c>
      <c r="P703" s="31" t="s">
        <v>1270</v>
      </c>
      <c r="Q703" s="32">
        <v>19.920000000000002</v>
      </c>
      <c r="R703" s="48">
        <f>IFERROR(Q703/VLOOKUP(P703,'Exchange rates to USD'!$L$2:$N$225,3,FALSE),"")</f>
        <v>19.920000000000002</v>
      </c>
      <c r="T703" s="66"/>
      <c r="U703" s="152"/>
      <c r="V703" s="152"/>
      <c r="W703" s="152"/>
    </row>
    <row r="704" spans="1:23" ht="13.25" customHeight="1" x14ac:dyDescent="0.25">
      <c r="A704" s="152" t="s">
        <v>2309</v>
      </c>
      <c r="B704" s="38" t="s">
        <v>658</v>
      </c>
      <c r="C704" s="31" t="s">
        <v>110</v>
      </c>
      <c r="D704" s="31" t="s">
        <v>13</v>
      </c>
      <c r="E704" s="31" t="s">
        <v>36</v>
      </c>
      <c r="F704" s="31" t="s">
        <v>2137</v>
      </c>
      <c r="G704" s="31" t="s">
        <v>3173</v>
      </c>
      <c r="J704" s="31" t="s">
        <v>2146</v>
      </c>
      <c r="K704" s="31" t="s">
        <v>2120</v>
      </c>
      <c r="M704" s="31" t="s">
        <v>113</v>
      </c>
      <c r="O704" s="42">
        <v>44155</v>
      </c>
      <c r="P704" s="31" t="s">
        <v>1270</v>
      </c>
      <c r="Q704" s="32">
        <v>26.56</v>
      </c>
      <c r="R704" s="48">
        <f>IFERROR(Q704/VLOOKUP(P704,'Exchange rates to USD'!$L$2:$N$225,3,FALSE),"")</f>
        <v>26.56</v>
      </c>
      <c r="T704" s="66"/>
      <c r="U704" s="152"/>
      <c r="V704" s="152"/>
      <c r="W704" s="152"/>
    </row>
    <row r="705" spans="1:23" ht="13.25" customHeight="1" x14ac:dyDescent="0.25">
      <c r="A705" s="38" t="s">
        <v>2310</v>
      </c>
      <c r="B705" s="38" t="s">
        <v>658</v>
      </c>
      <c r="C705" s="31" t="s">
        <v>2530</v>
      </c>
      <c r="D705" s="31" t="s">
        <v>13</v>
      </c>
      <c r="E705" s="31" t="s">
        <v>161</v>
      </c>
      <c r="F705" s="31" t="s">
        <v>31</v>
      </c>
      <c r="G705" s="31" t="s">
        <v>3173</v>
      </c>
      <c r="J705" s="31" t="s">
        <v>2147</v>
      </c>
      <c r="K705" s="31" t="s">
        <v>2120</v>
      </c>
      <c r="M705" s="31" t="s">
        <v>113</v>
      </c>
      <c r="O705" s="42">
        <v>44155</v>
      </c>
      <c r="P705" s="31" t="s">
        <v>1270</v>
      </c>
      <c r="Q705" s="32" t="s">
        <v>2326</v>
      </c>
      <c r="R705" s="48" t="str">
        <f>IFERROR(Q705/VLOOKUP(P705,'Exchange rates to USD'!$L$2:$N$225,3,FALSE),"")</f>
        <v/>
      </c>
      <c r="T705" s="66"/>
      <c r="U705" s="152"/>
      <c r="V705" s="152"/>
      <c r="W705" s="152"/>
    </row>
    <row r="706" spans="1:23" ht="13.25" customHeight="1" x14ac:dyDescent="0.25">
      <c r="A706" s="152" t="s">
        <v>2311</v>
      </c>
      <c r="B706" s="38" t="s">
        <v>658</v>
      </c>
      <c r="C706" s="31" t="s">
        <v>2530</v>
      </c>
      <c r="D706" s="31" t="s">
        <v>13</v>
      </c>
      <c r="E706" s="31" t="s">
        <v>161</v>
      </c>
      <c r="F706" s="31" t="s">
        <v>31</v>
      </c>
      <c r="G706" s="31" t="s">
        <v>3173</v>
      </c>
      <c r="J706" s="31" t="s">
        <v>2148</v>
      </c>
      <c r="K706" s="31" t="s">
        <v>2120</v>
      </c>
      <c r="M706" s="31" t="s">
        <v>113</v>
      </c>
      <c r="O706" s="42">
        <v>44155</v>
      </c>
      <c r="P706" s="31" t="s">
        <v>1270</v>
      </c>
      <c r="Q706" s="32" t="s">
        <v>2326</v>
      </c>
      <c r="R706" s="48" t="str">
        <f>IFERROR(Q706/VLOOKUP(P706,'Exchange rates to USD'!$L$2:$N$225,3,FALSE),"")</f>
        <v/>
      </c>
      <c r="T706" s="66"/>
      <c r="U706" s="152"/>
      <c r="V706" s="152"/>
      <c r="W706" s="152"/>
    </row>
    <row r="707" spans="1:23" ht="13.25" customHeight="1" x14ac:dyDescent="0.25">
      <c r="A707" s="152" t="s">
        <v>2312</v>
      </c>
      <c r="B707" s="38" t="s">
        <v>658</v>
      </c>
      <c r="C707" s="31" t="s">
        <v>22</v>
      </c>
      <c r="D707" s="31" t="s">
        <v>13</v>
      </c>
      <c r="E707" s="31" t="s">
        <v>98</v>
      </c>
      <c r="F707" s="31" t="s">
        <v>2131</v>
      </c>
      <c r="G707" s="31" t="s">
        <v>3173</v>
      </c>
      <c r="J707" s="31" t="s">
        <v>2149</v>
      </c>
      <c r="K707" s="31" t="s">
        <v>2120</v>
      </c>
      <c r="M707" s="31" t="s">
        <v>113</v>
      </c>
      <c r="O707" s="42">
        <v>44155</v>
      </c>
      <c r="P707" s="31" t="s">
        <v>1270</v>
      </c>
      <c r="Q707" s="32">
        <v>1330</v>
      </c>
      <c r="R707" s="48">
        <f>IFERROR(Q707/VLOOKUP(P707,'Exchange rates to USD'!$L$2:$N$225,3,FALSE),"")</f>
        <v>1330</v>
      </c>
      <c r="T707" s="66"/>
      <c r="U707" s="152"/>
      <c r="V707" s="152"/>
      <c r="W707" s="152"/>
    </row>
    <row r="708" spans="1:23" ht="13.25" customHeight="1" x14ac:dyDescent="0.25">
      <c r="A708" s="152" t="s">
        <v>2313</v>
      </c>
      <c r="B708" s="38" t="s">
        <v>658</v>
      </c>
      <c r="C708" s="31" t="s">
        <v>22</v>
      </c>
      <c r="D708" s="31" t="s">
        <v>23</v>
      </c>
      <c r="E708" s="31" t="s">
        <v>3200</v>
      </c>
      <c r="F708" s="31" t="s">
        <v>3126</v>
      </c>
      <c r="G708" s="31" t="s">
        <v>3173</v>
      </c>
      <c r="H708" s="31" t="s">
        <v>41</v>
      </c>
      <c r="J708" s="31" t="s">
        <v>3125</v>
      </c>
      <c r="K708" s="31" t="s">
        <v>2120</v>
      </c>
      <c r="M708" s="31" t="s">
        <v>113</v>
      </c>
      <c r="N708" s="31" t="s">
        <v>3125</v>
      </c>
      <c r="O708" s="42">
        <v>44294</v>
      </c>
      <c r="P708" s="31" t="s">
        <v>1270</v>
      </c>
      <c r="Q708" s="32">
        <v>106</v>
      </c>
      <c r="R708" s="48">
        <f>IFERROR(Q708/VLOOKUP(P708,'Exchange rates to USD'!$L$2:$N$225,3,FALSE),"")</f>
        <v>106</v>
      </c>
      <c r="T708" s="29"/>
      <c r="U708" s="152"/>
      <c r="V708" s="152"/>
      <c r="W708" s="152"/>
    </row>
    <row r="709" spans="1:23" ht="13.25" customHeight="1" x14ac:dyDescent="0.25">
      <c r="A709" s="152" t="s">
        <v>2314</v>
      </c>
      <c r="B709" s="38" t="s">
        <v>658</v>
      </c>
      <c r="C709" s="31" t="s">
        <v>22</v>
      </c>
      <c r="D709" s="31" t="s">
        <v>39</v>
      </c>
      <c r="E709" s="31" t="s">
        <v>3200</v>
      </c>
      <c r="F709" s="31" t="s">
        <v>2150</v>
      </c>
      <c r="G709" s="31" t="s">
        <v>809</v>
      </c>
      <c r="J709" s="31" t="s">
        <v>2151</v>
      </c>
      <c r="K709" s="31" t="s">
        <v>2120</v>
      </c>
      <c r="M709" s="31" t="s">
        <v>871</v>
      </c>
      <c r="O709" s="42">
        <v>44294</v>
      </c>
      <c r="P709" s="31" t="s">
        <v>1270</v>
      </c>
      <c r="Q709" s="32">
        <v>6910</v>
      </c>
      <c r="R709" s="48">
        <f>IFERROR(Q709/VLOOKUP(P709,'Exchange rates to USD'!$L$2:$N$225,3,FALSE),"")</f>
        <v>6910</v>
      </c>
      <c r="S709" s="31" t="s">
        <v>3127</v>
      </c>
      <c r="T709" s="29"/>
      <c r="U709" s="152"/>
      <c r="V709" s="152"/>
      <c r="W709" s="152"/>
    </row>
    <row r="710" spans="1:23" ht="13.25" customHeight="1" x14ac:dyDescent="0.25">
      <c r="A710" s="152" t="s">
        <v>2315</v>
      </c>
      <c r="B710" s="38" t="s">
        <v>658</v>
      </c>
      <c r="C710" s="31" t="s">
        <v>22</v>
      </c>
      <c r="D710" s="31" t="s">
        <v>13</v>
      </c>
      <c r="E710" s="31" t="s">
        <v>36</v>
      </c>
      <c r="F710" s="31" t="s">
        <v>2733</v>
      </c>
      <c r="G710" s="31" t="s">
        <v>3173</v>
      </c>
      <c r="J710" s="31" t="s">
        <v>2734</v>
      </c>
      <c r="M710" s="31" t="s">
        <v>113</v>
      </c>
      <c r="P710" s="31" t="s">
        <v>2221</v>
      </c>
      <c r="Q710" s="32">
        <v>20</v>
      </c>
      <c r="R710" s="48">
        <f>IFERROR(Q710/VLOOKUP(P710,'Exchange rates to USD'!$L$2:$N$225,3,FALSE),"")</f>
        <v>25.481651229837979</v>
      </c>
      <c r="T710" s="29"/>
      <c r="U710" s="152"/>
      <c r="V710" s="152"/>
      <c r="W710" s="152"/>
    </row>
    <row r="711" spans="1:23" ht="13.25" customHeight="1" x14ac:dyDescent="0.25">
      <c r="A711" s="152" t="s">
        <v>2316</v>
      </c>
      <c r="B711" s="38" t="s">
        <v>658</v>
      </c>
      <c r="C711" s="31" t="s">
        <v>2530</v>
      </c>
      <c r="D711" s="31" t="s">
        <v>13</v>
      </c>
      <c r="E711" s="31" t="s">
        <v>36</v>
      </c>
      <c r="F711" s="31" t="s">
        <v>2141</v>
      </c>
      <c r="G711" s="31" t="s">
        <v>3173</v>
      </c>
      <c r="J711" s="103" t="s">
        <v>2736</v>
      </c>
      <c r="K711" s="103"/>
      <c r="M711" s="31" t="s">
        <v>113</v>
      </c>
      <c r="R711" s="48" t="str">
        <f>IFERROR(Q711/VLOOKUP(P711,'Exchange rates to USD'!$L$2:$N$225,3,FALSE),"")</f>
        <v/>
      </c>
      <c r="T711" s="29"/>
      <c r="U711" s="152"/>
      <c r="V711" s="152"/>
      <c r="W711" s="152"/>
    </row>
    <row r="712" spans="1:23" ht="13.25" customHeight="1" x14ac:dyDescent="0.25">
      <c r="A712" s="152" t="s">
        <v>2317</v>
      </c>
      <c r="B712" s="38" t="s">
        <v>658</v>
      </c>
      <c r="C712" s="31" t="s">
        <v>2530</v>
      </c>
      <c r="D712" s="31" t="s">
        <v>13</v>
      </c>
      <c r="E712" s="31" t="s">
        <v>172</v>
      </c>
      <c r="F712" s="31" t="s">
        <v>2735</v>
      </c>
      <c r="G712" s="31" t="s">
        <v>3173</v>
      </c>
      <c r="J712" s="103" t="s">
        <v>2737</v>
      </c>
      <c r="K712" s="103" t="s">
        <v>2120</v>
      </c>
      <c r="M712" s="31" t="s">
        <v>113</v>
      </c>
      <c r="O712" s="42">
        <v>44211</v>
      </c>
      <c r="P712" s="31" t="s">
        <v>1270</v>
      </c>
      <c r="Q712" s="104">
        <v>3.984</v>
      </c>
      <c r="R712" s="48">
        <f>IFERROR(Q712/VLOOKUP(P712,'Exchange rates to USD'!$L$2:$N$225,3,FALSE),"")</f>
        <v>3.984</v>
      </c>
      <c r="T712" s="29"/>
      <c r="U712" s="152"/>
      <c r="V712" s="152"/>
      <c r="W712" s="152"/>
    </row>
    <row r="713" spans="1:23" s="38" customFormat="1" ht="13.25" customHeight="1" x14ac:dyDescent="0.25">
      <c r="A713" s="38" t="s">
        <v>2318</v>
      </c>
      <c r="B713" s="38" t="s">
        <v>658</v>
      </c>
      <c r="C713" s="38" t="s">
        <v>110</v>
      </c>
      <c r="D713" s="38" t="s">
        <v>13</v>
      </c>
      <c r="E713" s="38" t="s">
        <v>172</v>
      </c>
      <c r="F713" s="38" t="s">
        <v>2735</v>
      </c>
      <c r="G713" s="38" t="s">
        <v>3173</v>
      </c>
      <c r="J713" s="38" t="s">
        <v>2738</v>
      </c>
      <c r="K713" s="163" t="s">
        <v>2120</v>
      </c>
      <c r="M713" s="38" t="s">
        <v>113</v>
      </c>
      <c r="O713" s="45">
        <v>44211</v>
      </c>
      <c r="P713" s="38" t="s">
        <v>1270</v>
      </c>
      <c r="Q713" s="194">
        <v>3.984</v>
      </c>
      <c r="R713" s="48">
        <f>IFERROR(Q713/VLOOKUP(P713,'Exchange rates to USD'!$L$2:$N$225,3,FALSE),"")</f>
        <v>3.984</v>
      </c>
    </row>
    <row r="714" spans="1:23" s="38" customFormat="1" ht="13.25" customHeight="1" x14ac:dyDescent="0.25">
      <c r="A714" s="152" t="s">
        <v>3189</v>
      </c>
      <c r="B714" s="38" t="s">
        <v>658</v>
      </c>
      <c r="C714" s="145" t="s">
        <v>22</v>
      </c>
      <c r="D714" s="145" t="s">
        <v>13</v>
      </c>
      <c r="E714" s="145" t="s">
        <v>161</v>
      </c>
      <c r="F714" s="20" t="s">
        <v>3177</v>
      </c>
      <c r="G714" s="149" t="s">
        <v>3173</v>
      </c>
      <c r="J714" s="20" t="s">
        <v>3178</v>
      </c>
      <c r="K714" s="84" t="s">
        <v>3179</v>
      </c>
      <c r="L714" s="149"/>
      <c r="M714" s="149" t="s">
        <v>113</v>
      </c>
      <c r="O714" s="45">
        <v>44302</v>
      </c>
      <c r="P714" s="38" t="s">
        <v>2221</v>
      </c>
      <c r="Q714" s="32">
        <v>150</v>
      </c>
      <c r="R714" s="48">
        <f>IFERROR(Q714/VLOOKUP(P714,'Exchange rates to USD'!$L$2:$N$225,3,FALSE),"")</f>
        <v>191.11238422378486</v>
      </c>
      <c r="U714" s="152"/>
      <c r="V714" s="152"/>
    </row>
    <row r="715" spans="1:23" s="38" customFormat="1" ht="13.25" customHeight="1" x14ac:dyDescent="0.25">
      <c r="A715" s="152" t="s">
        <v>3190</v>
      </c>
      <c r="B715" s="38" t="s">
        <v>658</v>
      </c>
      <c r="C715" s="93" t="s">
        <v>22</v>
      </c>
      <c r="D715" s="93" t="s">
        <v>13</v>
      </c>
      <c r="E715" s="214" t="s">
        <v>14</v>
      </c>
      <c r="F715" s="103" t="s">
        <v>3180</v>
      </c>
      <c r="G715" s="93" t="s">
        <v>3173</v>
      </c>
      <c r="H715" s="103"/>
      <c r="I715" s="103"/>
      <c r="J715" s="103" t="s">
        <v>3181</v>
      </c>
      <c r="K715" s="216" t="s">
        <v>3186</v>
      </c>
      <c r="L715" s="39"/>
      <c r="M715" s="39" t="s">
        <v>113</v>
      </c>
      <c r="O715" s="45">
        <v>44302</v>
      </c>
      <c r="P715" s="38" t="s">
        <v>2221</v>
      </c>
      <c r="Q715" s="32">
        <v>27</v>
      </c>
      <c r="R715" s="48">
        <f>IFERROR(Q715/VLOOKUP(P715,'Exchange rates to USD'!$L$2:$N$225,3,FALSE),"")</f>
        <v>34.400229160281278</v>
      </c>
      <c r="U715" s="152"/>
      <c r="V715" s="152"/>
    </row>
    <row r="716" spans="1:23" s="38" customFormat="1" ht="13.25" customHeight="1" x14ac:dyDescent="0.25">
      <c r="A716" s="152" t="s">
        <v>3191</v>
      </c>
      <c r="B716" s="38" t="s">
        <v>658</v>
      </c>
      <c r="C716" s="93" t="s">
        <v>22</v>
      </c>
      <c r="D716" s="93" t="s">
        <v>13</v>
      </c>
      <c r="E716" s="214" t="s">
        <v>14</v>
      </c>
      <c r="F716" s="103" t="s">
        <v>3182</v>
      </c>
      <c r="G716" s="93" t="s">
        <v>3173</v>
      </c>
      <c r="H716" s="103"/>
      <c r="I716" s="103"/>
      <c r="J716" s="152" t="s">
        <v>3183</v>
      </c>
      <c r="K716" s="216" t="s">
        <v>3186</v>
      </c>
      <c r="L716" s="39"/>
      <c r="M716" s="39" t="s">
        <v>113</v>
      </c>
      <c r="O716" s="45">
        <v>44302</v>
      </c>
      <c r="P716" s="38" t="s">
        <v>2221</v>
      </c>
      <c r="Q716" s="32">
        <v>2</v>
      </c>
      <c r="R716" s="48">
        <f>IFERROR(Q716/VLOOKUP(P716,'Exchange rates to USD'!$L$2:$N$225,3,FALSE),"")</f>
        <v>2.5481651229837983</v>
      </c>
      <c r="U716" s="152"/>
      <c r="V716" s="152"/>
    </row>
    <row r="717" spans="1:23" s="38" customFormat="1" ht="13.25" customHeight="1" x14ac:dyDescent="0.25">
      <c r="A717" s="152" t="s">
        <v>3192</v>
      </c>
      <c r="B717" s="38" t="s">
        <v>658</v>
      </c>
      <c r="C717" s="93" t="s">
        <v>22</v>
      </c>
      <c r="D717" s="93" t="s">
        <v>13</v>
      </c>
      <c r="E717" s="214" t="s">
        <v>14</v>
      </c>
      <c r="F717" s="152" t="s">
        <v>3184</v>
      </c>
      <c r="G717" s="93" t="s">
        <v>3173</v>
      </c>
      <c r="H717" s="152"/>
      <c r="I717" s="152"/>
      <c r="J717" s="152" t="s">
        <v>3185</v>
      </c>
      <c r="K717" s="216" t="s">
        <v>3186</v>
      </c>
      <c r="L717" s="149"/>
      <c r="M717" s="39" t="s">
        <v>113</v>
      </c>
      <c r="O717" s="45">
        <v>44302</v>
      </c>
      <c r="P717" s="38" t="s">
        <v>2221</v>
      </c>
      <c r="Q717" s="32">
        <v>5</v>
      </c>
      <c r="R717" s="48">
        <f>IFERROR(Q717/VLOOKUP(P717,'Exchange rates to USD'!$L$2:$N$225,3,FALSE),"")</f>
        <v>6.3704128074594948</v>
      </c>
      <c r="U717" s="152"/>
      <c r="V717" s="152"/>
    </row>
    <row r="718" spans="1:23" s="153" customFormat="1" ht="13.25" customHeight="1" x14ac:dyDescent="0.25">
      <c r="A718" s="153" t="s">
        <v>3193</v>
      </c>
      <c r="B718" s="153" t="s">
        <v>658</v>
      </c>
      <c r="C718" s="164" t="s">
        <v>22</v>
      </c>
      <c r="D718" s="164" t="s">
        <v>13</v>
      </c>
      <c r="E718" s="164" t="s">
        <v>161</v>
      </c>
      <c r="F718" s="164" t="s">
        <v>3187</v>
      </c>
      <c r="G718" s="164" t="s">
        <v>3173</v>
      </c>
      <c r="H718" s="164"/>
      <c r="I718" s="164"/>
      <c r="J718" s="215" t="s">
        <v>3188</v>
      </c>
      <c r="K718" s="217" t="s">
        <v>3131</v>
      </c>
      <c r="M718" s="39" t="s">
        <v>113</v>
      </c>
      <c r="O718" s="45">
        <v>44302</v>
      </c>
      <c r="P718" s="38" t="s">
        <v>2221</v>
      </c>
      <c r="Q718" s="32">
        <v>300</v>
      </c>
      <c r="R718" s="48">
        <f>IFERROR(Q718/VLOOKUP(P718,'Exchange rates to USD'!$L$2:$N$225,3,FALSE),"")</f>
        <v>382.22476844756972</v>
      </c>
      <c r="W718" s="38"/>
    </row>
    <row r="719" spans="1:23" ht="13.25" customHeight="1" x14ac:dyDescent="0.25">
      <c r="A719" s="205" t="s">
        <v>2152</v>
      </c>
      <c r="B719" s="205" t="str">
        <f t="shared" ref="B719:B739" si="0">LEFT(A719,3)</f>
        <v>USA</v>
      </c>
      <c r="C719" s="205" t="s">
        <v>30</v>
      </c>
      <c r="D719" s="205" t="s">
        <v>13</v>
      </c>
      <c r="E719" s="205" t="s">
        <v>98</v>
      </c>
      <c r="F719" s="205" t="s">
        <v>99</v>
      </c>
      <c r="G719" s="205" t="s">
        <v>670</v>
      </c>
      <c r="H719" s="205" t="s">
        <v>25</v>
      </c>
      <c r="I719" s="205" t="s">
        <v>3173</v>
      </c>
      <c r="J719" s="206" t="s">
        <v>1154</v>
      </c>
      <c r="K719" s="207" t="s">
        <v>100</v>
      </c>
      <c r="L719" s="207" t="s">
        <v>100</v>
      </c>
      <c r="M719" s="205" t="s">
        <v>101</v>
      </c>
      <c r="N719" s="208" t="s">
        <v>1155</v>
      </c>
      <c r="P719" s="38"/>
      <c r="Q719" s="60"/>
      <c r="R719" s="152"/>
      <c r="S719" s="152"/>
      <c r="U719" s="152"/>
      <c r="V719" s="152"/>
      <c r="W719" s="152"/>
    </row>
    <row r="720" spans="1:23" ht="13.25" customHeight="1" x14ac:dyDescent="0.25">
      <c r="A720" s="205" t="s">
        <v>2153</v>
      </c>
      <c r="B720" s="205" t="str">
        <f t="shared" si="0"/>
        <v>USA</v>
      </c>
      <c r="C720" s="205" t="s">
        <v>30</v>
      </c>
      <c r="D720" s="205" t="s">
        <v>13</v>
      </c>
      <c r="E720" s="205" t="s">
        <v>3200</v>
      </c>
      <c r="F720" s="205" t="s">
        <v>99</v>
      </c>
      <c r="G720" s="205" t="s">
        <v>3173</v>
      </c>
      <c r="H720" s="205" t="s">
        <v>41</v>
      </c>
      <c r="I720" s="205"/>
      <c r="J720" s="205" t="s">
        <v>103</v>
      </c>
      <c r="K720" s="207" t="s">
        <v>104</v>
      </c>
      <c r="L720" s="205"/>
      <c r="M720" s="205" t="s">
        <v>101</v>
      </c>
      <c r="N720" s="205"/>
      <c r="P720" s="38"/>
      <c r="Q720" s="60"/>
      <c r="R720" s="48" t="str">
        <f>IFERROR(Q720/VLOOKUP(P720,'Exchange rates to USD'!$L$2:$N$225,3,FALSE),"")</f>
        <v/>
      </c>
      <c r="S720" s="152"/>
      <c r="U720" s="152"/>
      <c r="V720" s="152"/>
      <c r="W720" s="152"/>
    </row>
    <row r="721" spans="1:23" ht="13.25" customHeight="1" x14ac:dyDescent="0.25">
      <c r="A721" s="205" t="s">
        <v>97</v>
      </c>
      <c r="B721" s="205" t="str">
        <f t="shared" si="0"/>
        <v>USA</v>
      </c>
      <c r="C721" s="205" t="s">
        <v>30</v>
      </c>
      <c r="D721" s="205" t="s">
        <v>13</v>
      </c>
      <c r="E721" s="205" t="s">
        <v>98</v>
      </c>
      <c r="F721" s="205" t="s">
        <v>99</v>
      </c>
      <c r="G721" s="205" t="s">
        <v>670</v>
      </c>
      <c r="H721" s="205" t="s">
        <v>3173</v>
      </c>
      <c r="I721" s="205"/>
      <c r="J721" s="205" t="s">
        <v>106</v>
      </c>
      <c r="K721" s="207" t="s">
        <v>107</v>
      </c>
      <c r="L721" s="207" t="s">
        <v>1156</v>
      </c>
      <c r="M721" s="205" t="s">
        <v>101</v>
      </c>
      <c r="N721" s="205" t="s">
        <v>1157</v>
      </c>
      <c r="P721" s="38"/>
      <c r="Q721" s="60"/>
      <c r="R721" s="48" t="str">
        <f>IFERROR(Q721/VLOOKUP(P721,'Exchange rates to USD'!$L$2:$N$225,3,FALSE),"")</f>
        <v/>
      </c>
      <c r="S721" s="152"/>
      <c r="U721" s="152"/>
      <c r="V721" s="152"/>
      <c r="W721" s="152"/>
    </row>
    <row r="722" spans="1:23" ht="13.25" customHeight="1" x14ac:dyDescent="0.25">
      <c r="A722" s="205" t="s">
        <v>102</v>
      </c>
      <c r="B722" s="205" t="str">
        <f t="shared" si="0"/>
        <v>USA</v>
      </c>
      <c r="C722" s="205" t="s">
        <v>30</v>
      </c>
      <c r="D722" s="205" t="s">
        <v>23</v>
      </c>
      <c r="E722" s="205" t="s">
        <v>3200</v>
      </c>
      <c r="F722" s="205" t="s">
        <v>99</v>
      </c>
      <c r="G722" s="205" t="s">
        <v>44</v>
      </c>
      <c r="H722" s="205"/>
      <c r="I722" s="205"/>
      <c r="J722" s="205" t="s">
        <v>108</v>
      </c>
      <c r="K722" s="207" t="s">
        <v>109</v>
      </c>
      <c r="L722" s="205"/>
      <c r="M722" s="205" t="s">
        <v>871</v>
      </c>
      <c r="N722" s="205" t="s">
        <v>1158</v>
      </c>
      <c r="P722" s="38"/>
      <c r="Q722" s="60"/>
      <c r="R722" s="48" t="str">
        <f>IFERROR(Q722/VLOOKUP(P722,'Exchange rates to USD'!$L$2:$N$225,3,FALSE),"")</f>
        <v/>
      </c>
      <c r="S722" s="152"/>
      <c r="U722" s="152"/>
      <c r="V722" s="152"/>
      <c r="W722" s="152"/>
    </row>
    <row r="723" spans="1:23" ht="13.25" customHeight="1" x14ac:dyDescent="0.25">
      <c r="A723" s="205" t="s">
        <v>105</v>
      </c>
      <c r="B723" s="205" t="str">
        <f t="shared" si="0"/>
        <v>USA</v>
      </c>
      <c r="C723" s="152" t="s">
        <v>2531</v>
      </c>
      <c r="D723" s="205" t="s">
        <v>13</v>
      </c>
      <c r="E723" s="205" t="s">
        <v>14</v>
      </c>
      <c r="F723" s="205" t="s">
        <v>99</v>
      </c>
      <c r="G723" s="205" t="s">
        <v>3173</v>
      </c>
      <c r="H723" s="205" t="s">
        <v>111</v>
      </c>
      <c r="I723" s="205"/>
      <c r="J723" s="205" t="s">
        <v>1159</v>
      </c>
      <c r="K723" s="207" t="s">
        <v>112</v>
      </c>
      <c r="L723" s="207" t="s">
        <v>1160</v>
      </c>
      <c r="M723" s="205" t="s">
        <v>113</v>
      </c>
      <c r="N723" s="205" t="s">
        <v>1161</v>
      </c>
      <c r="P723" s="38"/>
      <c r="Q723" s="60"/>
      <c r="R723" s="48" t="str">
        <f>IFERROR(Q723/VLOOKUP(P723,'Exchange rates to USD'!$L$2:$N$225,3,FALSE),"")</f>
        <v/>
      </c>
      <c r="S723" s="152"/>
      <c r="U723" s="152"/>
      <c r="V723" s="152"/>
      <c r="W723" s="152"/>
    </row>
    <row r="724" spans="1:23" ht="13.25" customHeight="1" x14ac:dyDescent="0.25">
      <c r="A724" s="205" t="s">
        <v>2491</v>
      </c>
      <c r="B724" s="205" t="str">
        <f t="shared" si="0"/>
        <v>USA</v>
      </c>
      <c r="C724" s="205" t="s">
        <v>110</v>
      </c>
      <c r="D724" s="205" t="s">
        <v>13</v>
      </c>
      <c r="E724" s="205" t="s">
        <v>14</v>
      </c>
      <c r="F724" s="205" t="s">
        <v>115</v>
      </c>
      <c r="G724" s="205" t="s">
        <v>670</v>
      </c>
      <c r="H724" s="205" t="s">
        <v>25</v>
      </c>
      <c r="I724" s="205" t="s">
        <v>3173</v>
      </c>
      <c r="J724" s="205" t="s">
        <v>116</v>
      </c>
      <c r="K724" s="207" t="s">
        <v>117</v>
      </c>
      <c r="L724" s="205"/>
      <c r="M724" s="205" t="s">
        <v>101</v>
      </c>
      <c r="N724" s="205"/>
      <c r="P724" s="38" t="s">
        <v>1270</v>
      </c>
      <c r="Q724" s="60">
        <v>122</v>
      </c>
      <c r="R724" s="48">
        <f>IFERROR(Q724/VLOOKUP(P724,'Exchange rates to USD'!$L$2:$N$225,3,FALSE),"")</f>
        <v>122</v>
      </c>
      <c r="S724" s="152"/>
      <c r="U724" s="152"/>
      <c r="V724" s="152"/>
      <c r="W724" s="152"/>
    </row>
    <row r="725" spans="1:23" ht="13.25" customHeight="1" x14ac:dyDescent="0.25">
      <c r="A725" s="205" t="s">
        <v>2492</v>
      </c>
      <c r="B725" s="205" t="str">
        <f t="shared" si="0"/>
        <v>USA</v>
      </c>
      <c r="C725" s="205" t="s">
        <v>22</v>
      </c>
      <c r="D725" s="205" t="s">
        <v>13</v>
      </c>
      <c r="E725" s="205" t="s">
        <v>14</v>
      </c>
      <c r="F725" s="205" t="s">
        <v>119</v>
      </c>
      <c r="G725" s="205" t="s">
        <v>3173</v>
      </c>
      <c r="H725" s="205"/>
      <c r="I725" s="205"/>
      <c r="J725" s="205" t="s">
        <v>120</v>
      </c>
      <c r="K725" s="207" t="s">
        <v>121</v>
      </c>
      <c r="L725" s="205"/>
      <c r="M725" s="205" t="s">
        <v>113</v>
      </c>
      <c r="N725" s="205"/>
      <c r="P725" s="38" t="s">
        <v>1270</v>
      </c>
      <c r="Q725" s="60">
        <v>100</v>
      </c>
      <c r="R725" s="48">
        <f>IFERROR(Q725/VLOOKUP(P725,'Exchange rates to USD'!$L$2:$N$225,3,FALSE),"")</f>
        <v>100</v>
      </c>
      <c r="S725" s="152"/>
      <c r="U725" s="152"/>
      <c r="V725" s="152"/>
      <c r="W725" s="152"/>
    </row>
    <row r="726" spans="1:23" ht="13.25" customHeight="1" x14ac:dyDescent="0.25">
      <c r="A726" s="205" t="s">
        <v>114</v>
      </c>
      <c r="B726" s="205" t="str">
        <f t="shared" si="0"/>
        <v>USA</v>
      </c>
      <c r="C726" s="152" t="s">
        <v>2531</v>
      </c>
      <c r="D726" s="205" t="s">
        <v>13</v>
      </c>
      <c r="E726" s="205" t="s">
        <v>14</v>
      </c>
      <c r="F726" s="205" t="s">
        <v>123</v>
      </c>
      <c r="G726" s="205" t="s">
        <v>3173</v>
      </c>
      <c r="H726" s="205" t="s">
        <v>25</v>
      </c>
      <c r="I726" s="205"/>
      <c r="J726" s="206" t="s">
        <v>1162</v>
      </c>
      <c r="K726" s="207" t="s">
        <v>124</v>
      </c>
      <c r="L726" s="207" t="s">
        <v>1163</v>
      </c>
      <c r="M726" s="205" t="s">
        <v>113</v>
      </c>
      <c r="N726" s="205" t="s">
        <v>1164</v>
      </c>
      <c r="P726" s="38" t="s">
        <v>1270</v>
      </c>
      <c r="Q726" s="60">
        <v>500</v>
      </c>
      <c r="R726" s="48">
        <f>IFERROR(Q726/VLOOKUP(P726,'Exchange rates to USD'!$L$2:$N$225,3,FALSE),"")</f>
        <v>500</v>
      </c>
      <c r="S726" s="152"/>
      <c r="U726" s="152"/>
      <c r="V726" s="152"/>
      <c r="W726" s="152"/>
    </row>
    <row r="727" spans="1:23" ht="13.25" customHeight="1" x14ac:dyDescent="0.25">
      <c r="A727" s="205" t="s">
        <v>118</v>
      </c>
      <c r="B727" s="205" t="str">
        <f t="shared" si="0"/>
        <v>USA</v>
      </c>
      <c r="C727" s="205" t="s">
        <v>2530</v>
      </c>
      <c r="D727" s="205" t="s">
        <v>13</v>
      </c>
      <c r="E727" s="205" t="s">
        <v>14</v>
      </c>
      <c r="F727" s="205" t="s">
        <v>126</v>
      </c>
      <c r="G727" s="205" t="s">
        <v>3173</v>
      </c>
      <c r="H727" s="205"/>
      <c r="I727" s="205"/>
      <c r="J727" s="205" t="s">
        <v>127</v>
      </c>
      <c r="K727" s="207" t="s">
        <v>128</v>
      </c>
      <c r="L727" s="209" t="s">
        <v>129</v>
      </c>
      <c r="M727" s="205" t="s">
        <v>101</v>
      </c>
      <c r="N727" s="205" t="s">
        <v>1165</v>
      </c>
      <c r="P727" s="38" t="s">
        <v>1270</v>
      </c>
      <c r="Q727" s="60">
        <v>1950</v>
      </c>
      <c r="R727" s="48">
        <f>IFERROR(Q727/VLOOKUP(P727,'Exchange rates to USD'!$L$2:$N$225,3,FALSE),"")</f>
        <v>1950</v>
      </c>
      <c r="S727" s="152"/>
      <c r="U727" s="152"/>
      <c r="V727" s="152"/>
      <c r="W727" s="152"/>
    </row>
    <row r="728" spans="1:23" ht="13.25" customHeight="1" x14ac:dyDescent="0.25">
      <c r="A728" s="205" t="s">
        <v>122</v>
      </c>
      <c r="B728" s="205" t="str">
        <f t="shared" si="0"/>
        <v>USA</v>
      </c>
      <c r="C728" s="205" t="s">
        <v>84</v>
      </c>
      <c r="D728" s="205" t="s">
        <v>23</v>
      </c>
      <c r="E728" s="205" t="s">
        <v>98</v>
      </c>
      <c r="F728" s="205" t="s">
        <v>99</v>
      </c>
      <c r="G728" s="205" t="s">
        <v>44</v>
      </c>
      <c r="H728" s="205"/>
      <c r="I728" s="205"/>
      <c r="J728" s="205" t="s">
        <v>131</v>
      </c>
      <c r="K728" s="207" t="s">
        <v>132</v>
      </c>
      <c r="L728" s="205"/>
      <c r="M728" s="205" t="s">
        <v>737</v>
      </c>
      <c r="N728" s="205" t="s">
        <v>1166</v>
      </c>
      <c r="P728" s="38"/>
      <c r="Q728" s="60" t="s">
        <v>2326</v>
      </c>
      <c r="R728" s="48" t="str">
        <f>IFERROR(Q728/VLOOKUP(P728,'Exchange rates to USD'!$L$2:$N$225,3,FALSE),"")</f>
        <v/>
      </c>
      <c r="S728" s="152"/>
      <c r="U728" s="152"/>
      <c r="V728" s="152"/>
      <c r="W728" s="152"/>
    </row>
    <row r="729" spans="1:23" ht="13.25" customHeight="1" x14ac:dyDescent="0.25">
      <c r="A729" s="205" t="s">
        <v>125</v>
      </c>
      <c r="B729" s="205" t="str">
        <f t="shared" si="0"/>
        <v>USA</v>
      </c>
      <c r="C729" s="205" t="s">
        <v>22</v>
      </c>
      <c r="D729" s="205" t="s">
        <v>39</v>
      </c>
      <c r="E729" s="205" t="s">
        <v>14</v>
      </c>
      <c r="F729" s="205" t="s">
        <v>99</v>
      </c>
      <c r="G729" s="205" t="s">
        <v>3173</v>
      </c>
      <c r="H729" s="205" t="s">
        <v>25</v>
      </c>
      <c r="I729" s="205"/>
      <c r="J729" s="205" t="s">
        <v>133</v>
      </c>
      <c r="K729" s="207" t="s">
        <v>134</v>
      </c>
      <c r="L729" s="205"/>
      <c r="M729" s="205" t="s">
        <v>113</v>
      </c>
      <c r="N729" s="205" t="s">
        <v>1167</v>
      </c>
      <c r="P729" s="38"/>
      <c r="Q729" s="60" t="s">
        <v>2326</v>
      </c>
      <c r="R729" s="48" t="str">
        <f>IFERROR(Q729/VLOOKUP(P729,'Exchange rates to USD'!$L$2:$N$225,3,FALSE),"")</f>
        <v/>
      </c>
      <c r="S729" s="152"/>
      <c r="U729" s="152"/>
      <c r="V729" s="152"/>
      <c r="W729" s="152"/>
    </row>
    <row r="730" spans="1:23" ht="13.25" customHeight="1" x14ac:dyDescent="0.25">
      <c r="A730" s="205" t="s">
        <v>130</v>
      </c>
      <c r="B730" s="205" t="str">
        <f t="shared" si="0"/>
        <v>USA</v>
      </c>
      <c r="C730" s="152" t="s">
        <v>2531</v>
      </c>
      <c r="D730" s="205" t="s">
        <v>39</v>
      </c>
      <c r="E730" s="205" t="s">
        <v>14</v>
      </c>
      <c r="F730" s="205" t="s">
        <v>135</v>
      </c>
      <c r="G730" s="205" t="s">
        <v>3173</v>
      </c>
      <c r="H730" s="205"/>
      <c r="I730" s="205"/>
      <c r="J730" s="205" t="s">
        <v>136</v>
      </c>
      <c r="K730" s="207" t="s">
        <v>137</v>
      </c>
      <c r="L730" s="205"/>
      <c r="M730" s="205" t="s">
        <v>113</v>
      </c>
      <c r="N730" s="205"/>
      <c r="P730" s="38" t="s">
        <v>1270</v>
      </c>
      <c r="Q730" s="60">
        <v>741</v>
      </c>
      <c r="R730" s="48">
        <f>IFERROR(Q730/VLOOKUP(P730,'Exchange rates to USD'!$L$2:$N$225,3,FALSE),"")</f>
        <v>741</v>
      </c>
      <c r="S730" s="152"/>
      <c r="U730" s="152"/>
      <c r="V730" s="152"/>
      <c r="W730" s="152"/>
    </row>
    <row r="731" spans="1:23" ht="13.25" customHeight="1" x14ac:dyDescent="0.25">
      <c r="A731" s="205" t="s">
        <v>2331</v>
      </c>
      <c r="B731" s="205" t="str">
        <f t="shared" si="0"/>
        <v>USA</v>
      </c>
      <c r="C731" s="205" t="s">
        <v>22</v>
      </c>
      <c r="D731" s="205" t="s">
        <v>39</v>
      </c>
      <c r="E731" s="205" t="s">
        <v>14</v>
      </c>
      <c r="F731" s="205" t="s">
        <v>138</v>
      </c>
      <c r="G731" s="205" t="s">
        <v>3173</v>
      </c>
      <c r="H731" s="205"/>
      <c r="I731" s="205"/>
      <c r="J731" s="205" t="s">
        <v>139</v>
      </c>
      <c r="K731" s="207" t="s">
        <v>140</v>
      </c>
      <c r="L731" s="205"/>
      <c r="M731" s="205" t="s">
        <v>113</v>
      </c>
      <c r="N731" s="205"/>
      <c r="P731" s="38" t="s">
        <v>1270</v>
      </c>
      <c r="Q731" s="60">
        <v>10</v>
      </c>
      <c r="R731" s="48">
        <f>IFERROR(Q731/VLOOKUP(P731,'Exchange rates to USD'!$L$2:$N$225,3,FALSE),"")</f>
        <v>10</v>
      </c>
      <c r="S731" s="152"/>
      <c r="U731" s="152"/>
      <c r="V731" s="152"/>
      <c r="W731" s="152"/>
    </row>
    <row r="732" spans="1:23" ht="13.25" customHeight="1" x14ac:dyDescent="0.25">
      <c r="A732" s="205" t="s">
        <v>2332</v>
      </c>
      <c r="B732" s="205" t="str">
        <f t="shared" si="0"/>
        <v>USA</v>
      </c>
      <c r="C732" s="205" t="s">
        <v>30</v>
      </c>
      <c r="D732" s="205" t="s">
        <v>13</v>
      </c>
      <c r="E732" s="205" t="s">
        <v>14</v>
      </c>
      <c r="F732" s="205"/>
      <c r="G732" s="205" t="s">
        <v>3173</v>
      </c>
      <c r="H732" s="205" t="s">
        <v>44</v>
      </c>
      <c r="I732" s="205"/>
      <c r="J732" s="205" t="s">
        <v>142</v>
      </c>
      <c r="K732" s="207" t="s">
        <v>143</v>
      </c>
      <c r="L732" s="205"/>
      <c r="M732" s="205" t="s">
        <v>113</v>
      </c>
      <c r="N732" s="205"/>
      <c r="P732" s="38"/>
      <c r="Q732" s="60" t="s">
        <v>2326</v>
      </c>
      <c r="R732" s="48" t="str">
        <f>IFERROR(Q732/VLOOKUP(P732,'Exchange rates to USD'!$L$2:$N$225,3,FALSE),"")</f>
        <v/>
      </c>
      <c r="S732" s="152"/>
      <c r="U732" s="152"/>
      <c r="V732" s="152"/>
      <c r="W732" s="152"/>
    </row>
    <row r="733" spans="1:23" ht="13.25" customHeight="1" x14ac:dyDescent="0.25">
      <c r="A733" s="205" t="s">
        <v>2333</v>
      </c>
      <c r="B733" s="205" t="str">
        <f t="shared" si="0"/>
        <v>USA</v>
      </c>
      <c r="C733" s="205" t="s">
        <v>84</v>
      </c>
      <c r="D733" s="205" t="s">
        <v>23</v>
      </c>
      <c r="E733" s="205" t="s">
        <v>98</v>
      </c>
      <c r="F733" s="205" t="s">
        <v>99</v>
      </c>
      <c r="G733" s="205" t="s">
        <v>44</v>
      </c>
      <c r="H733" s="205"/>
      <c r="I733" s="205"/>
      <c r="J733" s="205" t="s">
        <v>144</v>
      </c>
      <c r="K733" s="207" t="s">
        <v>134</v>
      </c>
      <c r="L733" s="205"/>
      <c r="M733" s="205" t="s">
        <v>737</v>
      </c>
      <c r="N733" s="205"/>
      <c r="P733" s="38"/>
      <c r="Q733" s="60" t="s">
        <v>2326</v>
      </c>
      <c r="R733" s="48" t="str">
        <f>IFERROR(Q733/VLOOKUP(P733,'Exchange rates to USD'!$L$2:$N$225,3,FALSE),"")</f>
        <v/>
      </c>
      <c r="S733" s="152"/>
      <c r="U733" s="152"/>
      <c r="V733" s="152"/>
      <c r="W733" s="152"/>
    </row>
    <row r="734" spans="1:23" ht="13.25" customHeight="1" x14ac:dyDescent="0.25">
      <c r="A734" s="205" t="s">
        <v>141</v>
      </c>
      <c r="B734" s="205" t="str">
        <f t="shared" si="0"/>
        <v>USA</v>
      </c>
      <c r="C734" s="205" t="s">
        <v>84</v>
      </c>
      <c r="D734" s="205" t="s">
        <v>23</v>
      </c>
      <c r="E734" s="205" t="s">
        <v>98</v>
      </c>
      <c r="F734" s="205" t="s">
        <v>145</v>
      </c>
      <c r="G734" s="205" t="s">
        <v>44</v>
      </c>
      <c r="H734" s="205"/>
      <c r="I734" s="205"/>
      <c r="J734" s="205" t="s">
        <v>146</v>
      </c>
      <c r="K734" s="207" t="s">
        <v>147</v>
      </c>
      <c r="L734" s="205"/>
      <c r="M734" s="205" t="s">
        <v>737</v>
      </c>
      <c r="N734" s="205"/>
      <c r="P734" s="38" t="s">
        <v>1270</v>
      </c>
      <c r="Q734" s="60">
        <v>50000</v>
      </c>
      <c r="R734" s="48">
        <f>IFERROR(Q734/VLOOKUP(P734,'Exchange rates to USD'!$L$2:$N$225,3,FALSE),"")</f>
        <v>50000</v>
      </c>
      <c r="S734" s="152"/>
      <c r="U734" s="152"/>
      <c r="V734" s="152"/>
      <c r="W734" s="152"/>
    </row>
    <row r="735" spans="1:23" ht="13.25" customHeight="1" x14ac:dyDescent="0.25">
      <c r="A735" s="205" t="s">
        <v>2334</v>
      </c>
      <c r="B735" s="205" t="str">
        <f t="shared" si="0"/>
        <v>USA</v>
      </c>
      <c r="C735" s="205" t="s">
        <v>22</v>
      </c>
      <c r="D735" s="205" t="s">
        <v>13</v>
      </c>
      <c r="E735" s="205" t="s">
        <v>172</v>
      </c>
      <c r="F735" s="205" t="s">
        <v>148</v>
      </c>
      <c r="G735" s="205" t="s">
        <v>3173</v>
      </c>
      <c r="H735" s="205"/>
      <c r="I735" s="205"/>
      <c r="J735" s="205" t="s">
        <v>149</v>
      </c>
      <c r="K735" s="207" t="s">
        <v>150</v>
      </c>
      <c r="L735" s="205"/>
      <c r="M735" s="205" t="s">
        <v>101</v>
      </c>
      <c r="N735" s="205"/>
      <c r="P735" s="38" t="s">
        <v>1270</v>
      </c>
      <c r="Q735" s="60">
        <v>60000</v>
      </c>
      <c r="R735" s="48">
        <f>IFERROR(Q735/VLOOKUP(P735,'Exchange rates to USD'!$L$2:$N$225,3,FALSE),"")</f>
        <v>60000</v>
      </c>
      <c r="S735" s="152"/>
      <c r="U735" s="152"/>
      <c r="V735" s="152"/>
      <c r="W735" s="152"/>
    </row>
    <row r="736" spans="1:23" ht="13.25" customHeight="1" x14ac:dyDescent="0.25">
      <c r="A736" s="205" t="s">
        <v>2335</v>
      </c>
      <c r="B736" s="205" t="str">
        <f t="shared" si="0"/>
        <v>USA</v>
      </c>
      <c r="C736" s="152" t="s">
        <v>2531</v>
      </c>
      <c r="D736" s="205" t="s">
        <v>13</v>
      </c>
      <c r="E736" s="205" t="s">
        <v>14</v>
      </c>
      <c r="F736" s="205" t="s">
        <v>99</v>
      </c>
      <c r="G736" s="205" t="s">
        <v>3173</v>
      </c>
      <c r="H736" s="205"/>
      <c r="I736" s="205"/>
      <c r="J736" s="205" t="s">
        <v>151</v>
      </c>
      <c r="K736" s="207" t="s">
        <v>152</v>
      </c>
      <c r="L736" s="205"/>
      <c r="M736" s="205" t="s">
        <v>101</v>
      </c>
      <c r="N736" s="205"/>
      <c r="P736" s="38"/>
      <c r="Q736" s="60"/>
      <c r="R736" s="48" t="str">
        <f>IFERROR(Q736/VLOOKUP(P736,'Exchange rates to USD'!$L$2:$N$225,3,FALSE),"")</f>
        <v/>
      </c>
      <c r="S736" s="152"/>
      <c r="U736" s="152"/>
      <c r="V736" s="152"/>
      <c r="W736" s="152"/>
    </row>
    <row r="737" spans="1:23" ht="13.25" customHeight="1" x14ac:dyDescent="0.25">
      <c r="A737" s="205" t="s">
        <v>2500</v>
      </c>
      <c r="B737" s="205" t="str">
        <f t="shared" si="0"/>
        <v>USA</v>
      </c>
      <c r="C737" s="152" t="s">
        <v>2531</v>
      </c>
      <c r="D737" s="205" t="s">
        <v>13</v>
      </c>
      <c r="E737" s="205" t="s">
        <v>14</v>
      </c>
      <c r="F737" s="205" t="s">
        <v>99</v>
      </c>
      <c r="G737" s="205"/>
      <c r="H737" s="205"/>
      <c r="I737" s="205"/>
      <c r="J737" s="205" t="s">
        <v>153</v>
      </c>
      <c r="K737" s="205" t="s">
        <v>154</v>
      </c>
      <c r="L737" s="205"/>
      <c r="M737" s="205" t="s">
        <v>737</v>
      </c>
      <c r="N737" s="205"/>
      <c r="P737" s="38"/>
      <c r="Q737" s="60"/>
      <c r="R737" s="48" t="str">
        <f>IFERROR(Q737/VLOOKUP(P737,'Exchange rates to USD'!$L$2:$N$225,3,FALSE),"")</f>
        <v/>
      </c>
      <c r="S737" s="152"/>
      <c r="U737" s="152"/>
      <c r="V737" s="152"/>
      <c r="W737" s="152"/>
    </row>
    <row r="738" spans="1:23" ht="13.25" customHeight="1" x14ac:dyDescent="0.25">
      <c r="A738" s="205" t="s">
        <v>2501</v>
      </c>
      <c r="B738" s="205" t="str">
        <f t="shared" si="0"/>
        <v>USA</v>
      </c>
      <c r="C738" s="205" t="s">
        <v>2530</v>
      </c>
      <c r="D738" s="205" t="s">
        <v>13</v>
      </c>
      <c r="E738" s="205" t="s">
        <v>14</v>
      </c>
      <c r="F738" s="205" t="s">
        <v>99</v>
      </c>
      <c r="G738" s="205" t="s">
        <v>3173</v>
      </c>
      <c r="H738" s="205"/>
      <c r="I738" s="205"/>
      <c r="J738" s="205" t="s">
        <v>155</v>
      </c>
      <c r="K738" s="207" t="s">
        <v>156</v>
      </c>
      <c r="L738" s="205"/>
      <c r="M738" s="205" t="s">
        <v>871</v>
      </c>
      <c r="N738" s="205"/>
      <c r="P738" s="38"/>
      <c r="Q738" s="60"/>
      <c r="R738" s="48" t="str">
        <f>IFERROR(Q738/VLOOKUP(P738,'Exchange rates to USD'!$L$2:$N$225,3,FALSE),"")</f>
        <v/>
      </c>
      <c r="S738" s="152"/>
      <c r="U738" s="152"/>
      <c r="V738" s="152"/>
      <c r="W738" s="152"/>
    </row>
    <row r="739" spans="1:23" ht="13.25" customHeight="1" x14ac:dyDescent="0.25">
      <c r="A739" s="205" t="s">
        <v>2502</v>
      </c>
      <c r="B739" s="205" t="str">
        <f t="shared" si="0"/>
        <v>USA</v>
      </c>
      <c r="C739" s="205" t="s">
        <v>2530</v>
      </c>
      <c r="D739" s="205" t="s">
        <v>39</v>
      </c>
      <c r="E739" s="205" t="s">
        <v>14</v>
      </c>
      <c r="F739" s="205" t="s">
        <v>99</v>
      </c>
      <c r="G739" s="205" t="s">
        <v>3173</v>
      </c>
      <c r="H739" s="205"/>
      <c r="I739" s="205"/>
      <c r="J739" s="205" t="s">
        <v>157</v>
      </c>
      <c r="K739" s="207" t="s">
        <v>158</v>
      </c>
      <c r="L739" s="205"/>
      <c r="M739" s="205" t="s">
        <v>101</v>
      </c>
      <c r="N739" s="205"/>
      <c r="P739" s="38"/>
      <c r="Q739" s="60"/>
      <c r="R739" s="48" t="str">
        <f>IFERROR(Q739/VLOOKUP(P739,'Exchange rates to USD'!$L$2:$N$225,3,FALSE),"")</f>
        <v/>
      </c>
      <c r="S739" s="152"/>
      <c r="U739" s="152"/>
      <c r="V739" s="152"/>
      <c r="W739" s="152"/>
    </row>
    <row r="740" spans="1:23" ht="13.25" customHeight="1" x14ac:dyDescent="0.25">
      <c r="A740" s="205" t="s">
        <v>2503</v>
      </c>
      <c r="B740" s="205" t="s">
        <v>659</v>
      </c>
      <c r="C740" s="205" t="s">
        <v>30</v>
      </c>
      <c r="D740" s="205" t="s">
        <v>39</v>
      </c>
      <c r="E740" s="205" t="s">
        <v>14</v>
      </c>
      <c r="F740" s="205" t="s">
        <v>99</v>
      </c>
      <c r="G740" s="205" t="s">
        <v>41</v>
      </c>
      <c r="H740" s="205" t="s">
        <v>44</v>
      </c>
      <c r="I740" s="205"/>
      <c r="J740" s="205" t="s">
        <v>1168</v>
      </c>
      <c r="K740" s="207" t="s">
        <v>1169</v>
      </c>
      <c r="L740" s="205"/>
      <c r="M740" s="205" t="s">
        <v>101</v>
      </c>
      <c r="N740" s="205" t="s">
        <v>1170</v>
      </c>
      <c r="P740" s="38"/>
      <c r="Q740" s="60"/>
      <c r="R740" s="48" t="str">
        <f>IFERROR(Q740/VLOOKUP(P740,'Exchange rates to USD'!$L$2:$N$225,3,FALSE),"")</f>
        <v/>
      </c>
      <c r="S740" s="152"/>
      <c r="U740" s="152"/>
      <c r="V740" s="152"/>
      <c r="W740" s="152"/>
    </row>
    <row r="741" spans="1:23" ht="13.25" customHeight="1" x14ac:dyDescent="0.25">
      <c r="A741" s="205" t="s">
        <v>2504</v>
      </c>
      <c r="B741" s="205" t="s">
        <v>659</v>
      </c>
      <c r="C741" s="152" t="s">
        <v>2531</v>
      </c>
      <c r="D741" s="205" t="s">
        <v>39</v>
      </c>
      <c r="E741" s="205" t="s">
        <v>14</v>
      </c>
      <c r="F741" s="205" t="s">
        <v>1171</v>
      </c>
      <c r="G741" s="205" t="s">
        <v>3173</v>
      </c>
      <c r="H741" s="205" t="s">
        <v>25</v>
      </c>
      <c r="I741" s="205"/>
      <c r="J741" s="205" t="s">
        <v>1172</v>
      </c>
      <c r="K741" s="207" t="s">
        <v>1173</v>
      </c>
      <c r="L741" s="205"/>
      <c r="M741" s="205" t="s">
        <v>101</v>
      </c>
      <c r="N741" s="210" t="s">
        <v>1174</v>
      </c>
      <c r="P741" s="38" t="s">
        <v>1270</v>
      </c>
      <c r="Q741" s="60">
        <v>667</v>
      </c>
      <c r="R741" s="48">
        <f>IFERROR(Q741/VLOOKUP(P741,'Exchange rates to USD'!$L$2:$N$225,3,FALSE),"")</f>
        <v>667</v>
      </c>
      <c r="S741" s="152"/>
      <c r="U741" s="152"/>
      <c r="V741" s="152"/>
      <c r="W741" s="152"/>
    </row>
    <row r="742" spans="1:23" ht="13.25" customHeight="1" x14ac:dyDescent="0.25">
      <c r="A742" s="205" t="s">
        <v>2505</v>
      </c>
      <c r="B742" s="205" t="s">
        <v>659</v>
      </c>
      <c r="C742" s="152" t="s">
        <v>2531</v>
      </c>
      <c r="D742" s="205" t="s">
        <v>39</v>
      </c>
      <c r="E742" s="205" t="s">
        <v>14</v>
      </c>
      <c r="F742" s="205" t="s">
        <v>2154</v>
      </c>
      <c r="G742" s="205" t="s">
        <v>3173</v>
      </c>
      <c r="H742" s="205"/>
      <c r="I742" s="205"/>
      <c r="J742" s="205" t="s">
        <v>2155</v>
      </c>
      <c r="K742" s="205" t="s">
        <v>2156</v>
      </c>
      <c r="L742" s="205"/>
      <c r="M742" s="205" t="s">
        <v>113</v>
      </c>
      <c r="N742" s="205" t="s">
        <v>1174</v>
      </c>
      <c r="P742" s="38" t="s">
        <v>1270</v>
      </c>
      <c r="Q742" s="60">
        <v>200</v>
      </c>
      <c r="R742" s="48">
        <f>IFERROR(Q742/VLOOKUP(P742,'Exchange rates to USD'!$L$2:$N$225,3,FALSE),"")</f>
        <v>200</v>
      </c>
      <c r="S742" s="152"/>
      <c r="U742" s="152"/>
      <c r="V742" s="152"/>
      <c r="W742" s="152"/>
    </row>
    <row r="743" spans="1:23" ht="13.25" customHeight="1" x14ac:dyDescent="0.25">
      <c r="A743" s="205" t="s">
        <v>2506</v>
      </c>
      <c r="B743" s="205" t="s">
        <v>659</v>
      </c>
      <c r="C743" s="205" t="s">
        <v>30</v>
      </c>
      <c r="D743" s="205" t="s">
        <v>13</v>
      </c>
      <c r="E743" s="205" t="s">
        <v>98</v>
      </c>
      <c r="F743" s="205" t="s">
        <v>99</v>
      </c>
      <c r="G743" s="205" t="s">
        <v>3173</v>
      </c>
      <c r="H743" s="205"/>
      <c r="I743" s="205"/>
      <c r="J743" s="205" t="s">
        <v>2157</v>
      </c>
      <c r="K743" s="205" t="s">
        <v>2158</v>
      </c>
      <c r="L743" s="205"/>
      <c r="M743" s="152" t="s">
        <v>101</v>
      </c>
      <c r="N743" s="205"/>
      <c r="P743" s="38"/>
      <c r="Q743" s="60"/>
      <c r="R743" s="48" t="str">
        <f>IFERROR(Q743/VLOOKUP(P743,'Exchange rates to USD'!$L$2:$N$225,3,FALSE),"")</f>
        <v/>
      </c>
      <c r="S743" s="152"/>
      <c r="U743" s="152"/>
      <c r="V743" s="152"/>
      <c r="W743" s="152"/>
    </row>
    <row r="744" spans="1:23" ht="13.25" customHeight="1" x14ac:dyDescent="0.25">
      <c r="A744" s="211" t="s">
        <v>2507</v>
      </c>
      <c r="B744" s="211" t="s">
        <v>659</v>
      </c>
      <c r="C744" s="211" t="s">
        <v>30</v>
      </c>
      <c r="D744" s="211" t="s">
        <v>13</v>
      </c>
      <c r="E744" s="211" t="s">
        <v>14</v>
      </c>
      <c r="F744" s="211" t="s">
        <v>2159</v>
      </c>
      <c r="G744" s="211" t="s">
        <v>3173</v>
      </c>
      <c r="H744" s="211"/>
      <c r="I744" s="211"/>
      <c r="J744" s="211" t="s">
        <v>2160</v>
      </c>
      <c r="K744" s="212" t="s">
        <v>2161</v>
      </c>
      <c r="L744" s="211"/>
      <c r="M744" s="211" t="s">
        <v>871</v>
      </c>
      <c r="N744" s="211" t="s">
        <v>1174</v>
      </c>
      <c r="O744" s="43"/>
      <c r="P744" s="153" t="s">
        <v>1270</v>
      </c>
      <c r="Q744" s="49">
        <v>120</v>
      </c>
      <c r="R744" s="148">
        <f>IFERROR(Q744/VLOOKUP(P744,'Exchange rates to USD'!$L$2:$N$225,3,FALSE),"")</f>
        <v>120</v>
      </c>
      <c r="S744" s="152"/>
      <c r="U744" s="152"/>
      <c r="V744" s="152"/>
      <c r="W744" s="152"/>
    </row>
    <row r="745" spans="1:23" ht="13.25" customHeight="1" x14ac:dyDescent="0.25">
      <c r="A745" s="31" t="s">
        <v>72</v>
      </c>
      <c r="B745" s="31" t="s">
        <v>660</v>
      </c>
      <c r="C745" s="31" t="s">
        <v>2531</v>
      </c>
      <c r="D745" s="31" t="s">
        <v>23</v>
      </c>
      <c r="E745" s="31" t="s">
        <v>3200</v>
      </c>
      <c r="G745" s="31" t="s">
        <v>44</v>
      </c>
      <c r="J745" s="31" t="s">
        <v>73</v>
      </c>
      <c r="K745" s="31" t="s">
        <v>74</v>
      </c>
      <c r="M745" s="31" t="s">
        <v>737</v>
      </c>
      <c r="P745" s="46"/>
      <c r="Q745" s="59"/>
      <c r="R745" s="47" t="str">
        <f>IFERROR(Q745/VLOOKUP(P745,'Exchange rates to USD'!$L$2:$N$225,3,FALSE),"")</f>
        <v/>
      </c>
      <c r="U745" s="152"/>
      <c r="V745" s="152"/>
      <c r="W745" s="152"/>
    </row>
    <row r="746" spans="1:23" ht="13.25" customHeight="1" x14ac:dyDescent="0.25">
      <c r="A746" s="31" t="s">
        <v>75</v>
      </c>
      <c r="B746" s="31" t="s">
        <v>660</v>
      </c>
      <c r="C746" s="31" t="s">
        <v>22</v>
      </c>
      <c r="D746" s="31" t="s">
        <v>23</v>
      </c>
      <c r="E746" s="31" t="s">
        <v>3200</v>
      </c>
      <c r="F746" s="31" t="s">
        <v>76</v>
      </c>
      <c r="G746" s="31" t="s">
        <v>44</v>
      </c>
      <c r="J746" s="31" t="s">
        <v>77</v>
      </c>
      <c r="K746" s="31" t="s">
        <v>78</v>
      </c>
      <c r="M746" s="31" t="s">
        <v>737</v>
      </c>
      <c r="P746" s="38" t="s">
        <v>1270</v>
      </c>
      <c r="Q746" s="60">
        <v>1600</v>
      </c>
      <c r="R746" s="48">
        <f>IFERROR(Q746/VLOOKUP(P746,'Exchange rates to USD'!$L$2:$N$225,3,FALSE),"")</f>
        <v>1600</v>
      </c>
      <c r="U746" s="152"/>
      <c r="V746" s="152"/>
      <c r="W746" s="152"/>
    </row>
    <row r="747" spans="1:23" ht="13.25" customHeight="1" x14ac:dyDescent="0.25">
      <c r="A747" s="31" t="s">
        <v>79</v>
      </c>
      <c r="B747" s="31" t="s">
        <v>660</v>
      </c>
      <c r="C747" s="31" t="s">
        <v>22</v>
      </c>
      <c r="D747" s="31" t="s">
        <v>13</v>
      </c>
      <c r="E747" s="31" t="s">
        <v>36</v>
      </c>
      <c r="F747" s="31" t="s">
        <v>80</v>
      </c>
      <c r="G747" s="31" t="s">
        <v>3173</v>
      </c>
      <c r="J747" s="31" t="s">
        <v>81</v>
      </c>
      <c r="K747" s="31" t="s">
        <v>82</v>
      </c>
      <c r="M747" s="31" t="s">
        <v>871</v>
      </c>
      <c r="P747" s="38" t="s">
        <v>1270</v>
      </c>
      <c r="Q747" s="60">
        <v>5500</v>
      </c>
      <c r="R747" s="48">
        <f>IFERROR(Q747/VLOOKUP(P747,'Exchange rates to USD'!$L$2:$N$225,3,FALSE),"")</f>
        <v>5500</v>
      </c>
      <c r="U747" s="152"/>
      <c r="V747" s="152"/>
      <c r="W747" s="152"/>
    </row>
    <row r="748" spans="1:23" ht="13.25" customHeight="1" x14ac:dyDescent="0.25">
      <c r="A748" s="31" t="s">
        <v>83</v>
      </c>
      <c r="B748" s="31" t="s">
        <v>660</v>
      </c>
      <c r="C748" s="31" t="s">
        <v>84</v>
      </c>
      <c r="D748" s="31" t="s">
        <v>23</v>
      </c>
      <c r="E748" s="31" t="s">
        <v>3200</v>
      </c>
      <c r="G748" s="31" t="s">
        <v>44</v>
      </c>
      <c r="J748" s="31" t="s">
        <v>85</v>
      </c>
      <c r="K748" s="31" t="s">
        <v>86</v>
      </c>
      <c r="M748" s="31" t="s">
        <v>737</v>
      </c>
      <c r="P748" s="38"/>
      <c r="Q748" s="60" t="s">
        <v>2326</v>
      </c>
      <c r="R748" s="48" t="str">
        <f>IFERROR(Q748/VLOOKUP(P748,'Exchange rates to USD'!$L$2:$N$225,3,FALSE),"")</f>
        <v/>
      </c>
      <c r="U748" s="152"/>
      <c r="V748" s="152"/>
      <c r="W748" s="152"/>
    </row>
    <row r="749" spans="1:23" ht="13.25" customHeight="1" x14ac:dyDescent="0.25">
      <c r="A749" s="31" t="s">
        <v>87</v>
      </c>
      <c r="B749" s="31" t="s">
        <v>660</v>
      </c>
      <c r="C749" s="31" t="s">
        <v>2530</v>
      </c>
      <c r="D749" s="31" t="s">
        <v>13</v>
      </c>
      <c r="E749" s="31" t="s">
        <v>88</v>
      </c>
      <c r="G749" s="31" t="s">
        <v>41</v>
      </c>
      <c r="J749" s="31" t="s">
        <v>89</v>
      </c>
      <c r="M749" s="31" t="s">
        <v>737</v>
      </c>
      <c r="P749" s="38"/>
      <c r="Q749" s="60" t="s">
        <v>2326</v>
      </c>
      <c r="R749" s="48" t="str">
        <f>IFERROR(Q749/VLOOKUP(P749,'Exchange rates to USD'!$L$2:$N$225,3,FALSE),"")</f>
        <v/>
      </c>
      <c r="U749" s="152"/>
      <c r="V749" s="152"/>
      <c r="W749" s="152"/>
    </row>
    <row r="750" spans="1:23" ht="13.25" customHeight="1" x14ac:dyDescent="0.25">
      <c r="A750" s="31" t="s">
        <v>90</v>
      </c>
      <c r="B750" s="31" t="s">
        <v>660</v>
      </c>
      <c r="C750" s="1" t="s">
        <v>2530</v>
      </c>
      <c r="D750" s="31" t="s">
        <v>23</v>
      </c>
      <c r="E750" s="31" t="s">
        <v>3200</v>
      </c>
      <c r="F750" s="31" t="s">
        <v>91</v>
      </c>
      <c r="G750" s="31" t="s">
        <v>3173</v>
      </c>
      <c r="H750" s="31" t="s">
        <v>809</v>
      </c>
      <c r="J750" s="31" t="s">
        <v>92</v>
      </c>
      <c r="K750" s="31" t="s">
        <v>93</v>
      </c>
      <c r="M750" s="31" t="s">
        <v>113</v>
      </c>
      <c r="P750" s="38" t="s">
        <v>1270</v>
      </c>
      <c r="Q750" s="60">
        <v>300</v>
      </c>
      <c r="R750" s="48">
        <f>IFERROR(Q750/VLOOKUP(P750,'Exchange rates to USD'!$L$2:$N$225,3,FALSE),"")</f>
        <v>300</v>
      </c>
      <c r="U750" s="152"/>
      <c r="V750" s="152"/>
      <c r="W750" s="152"/>
    </row>
    <row r="751" spans="1:23" ht="13.25" customHeight="1" x14ac:dyDescent="0.25">
      <c r="A751" s="31" t="s">
        <v>94</v>
      </c>
      <c r="B751" s="31" t="s">
        <v>660</v>
      </c>
      <c r="C751" s="1" t="s">
        <v>2530</v>
      </c>
      <c r="D751" s="31" t="s">
        <v>23</v>
      </c>
      <c r="E751" s="31" t="s">
        <v>3200</v>
      </c>
      <c r="F751" s="31" t="s">
        <v>91</v>
      </c>
      <c r="G751" s="31" t="s">
        <v>3173</v>
      </c>
      <c r="J751" s="31" t="s">
        <v>95</v>
      </c>
      <c r="K751" s="31" t="s">
        <v>96</v>
      </c>
      <c r="M751" s="31" t="s">
        <v>113</v>
      </c>
      <c r="P751" s="38" t="s">
        <v>1270</v>
      </c>
      <c r="Q751" s="60">
        <v>300</v>
      </c>
      <c r="R751" s="48">
        <f>IFERROR(Q751/VLOOKUP(P751,'Exchange rates to USD'!$L$2:$N$225,3,FALSE),"")</f>
        <v>300</v>
      </c>
      <c r="U751" s="152"/>
      <c r="V751" s="152"/>
      <c r="W751" s="152"/>
    </row>
    <row r="752" spans="1:23" ht="13.25" customHeight="1" x14ac:dyDescent="0.25">
      <c r="A752" s="34" t="s">
        <v>2493</v>
      </c>
      <c r="B752" s="34" t="s">
        <v>660</v>
      </c>
      <c r="C752" s="153" t="s">
        <v>2531</v>
      </c>
      <c r="D752" s="34" t="s">
        <v>23</v>
      </c>
      <c r="E752" s="34" t="s">
        <v>3200</v>
      </c>
      <c r="F752" s="34" t="s">
        <v>2162</v>
      </c>
      <c r="G752" s="34" t="s">
        <v>3173</v>
      </c>
      <c r="H752" s="34"/>
      <c r="I752" s="34"/>
      <c r="J752" s="34" t="s">
        <v>2163</v>
      </c>
      <c r="K752" s="34" t="s">
        <v>2164</v>
      </c>
      <c r="L752" s="34"/>
      <c r="M752" s="34" t="s">
        <v>113</v>
      </c>
      <c r="N752" s="34" t="s">
        <v>2165</v>
      </c>
      <c r="O752" s="43">
        <v>44154</v>
      </c>
      <c r="P752" s="34" t="s">
        <v>1270</v>
      </c>
      <c r="Q752" s="49">
        <v>44.244</v>
      </c>
      <c r="R752" s="22">
        <f>IFERROR(Q752/VLOOKUP(P752,'Exchange rates to USD'!$L$2:$N$225,3,FALSE),"")</f>
        <v>44.244</v>
      </c>
      <c r="U752" s="152"/>
      <c r="V752" s="152"/>
      <c r="W752" s="152"/>
    </row>
    <row r="753" spans="1:23" ht="13.25" customHeight="1" x14ac:dyDescent="0.25">
      <c r="A753" s="31" t="s">
        <v>51</v>
      </c>
      <c r="B753" s="31" t="s">
        <v>661</v>
      </c>
      <c r="C753" s="31" t="s">
        <v>2531</v>
      </c>
      <c r="D753" s="31" t="s">
        <v>23</v>
      </c>
      <c r="E753" s="31" t="s">
        <v>3200</v>
      </c>
      <c r="F753" s="31" t="s">
        <v>52</v>
      </c>
      <c r="J753" s="31" t="s">
        <v>53</v>
      </c>
      <c r="K753" s="31" t="s">
        <v>54</v>
      </c>
      <c r="M753" s="31" t="s">
        <v>737</v>
      </c>
      <c r="O753" s="42" t="s">
        <v>884</v>
      </c>
      <c r="P753" s="31" t="s">
        <v>1270</v>
      </c>
      <c r="Q753" s="32">
        <v>20600</v>
      </c>
      <c r="R753" s="48">
        <f>IFERROR(Q753/VLOOKUP(P753,'Exchange rates to USD'!$L$2:$N$225,3,FALSE),"")</f>
        <v>20600</v>
      </c>
      <c r="U753" s="152"/>
      <c r="V753" s="152"/>
      <c r="W753" s="152"/>
    </row>
    <row r="754" spans="1:23" ht="13.25" customHeight="1" x14ac:dyDescent="0.25">
      <c r="A754" s="31" t="s">
        <v>55</v>
      </c>
      <c r="B754" s="31" t="s">
        <v>661</v>
      </c>
      <c r="C754" s="31" t="s">
        <v>2531</v>
      </c>
      <c r="D754" s="31" t="s">
        <v>23</v>
      </c>
      <c r="E754" s="31" t="s">
        <v>3200</v>
      </c>
      <c r="F754" s="31" t="s">
        <v>1175</v>
      </c>
      <c r="J754" s="31" t="s">
        <v>56</v>
      </c>
      <c r="K754" s="31" t="s">
        <v>54</v>
      </c>
      <c r="M754" s="31" t="s">
        <v>737</v>
      </c>
      <c r="O754" s="42" t="s">
        <v>884</v>
      </c>
      <c r="P754" s="31" t="s">
        <v>1270</v>
      </c>
      <c r="Q754" s="32">
        <v>14400</v>
      </c>
      <c r="R754" s="48">
        <f>IFERROR(Q754/VLOOKUP(P754,'Exchange rates to USD'!$L$2:$N$225,3,FALSE),"")</f>
        <v>14400</v>
      </c>
      <c r="U754" s="152"/>
      <c r="V754" s="152"/>
      <c r="W754" s="152"/>
    </row>
    <row r="755" spans="1:23" ht="13.25" customHeight="1" x14ac:dyDescent="0.25">
      <c r="A755" s="31" t="s">
        <v>57</v>
      </c>
      <c r="B755" s="31" t="s">
        <v>661</v>
      </c>
      <c r="C755" s="31" t="s">
        <v>22</v>
      </c>
      <c r="D755" s="31" t="s">
        <v>23</v>
      </c>
      <c r="E755" s="31" t="s">
        <v>3200</v>
      </c>
      <c r="F755" s="31" t="s">
        <v>1176</v>
      </c>
      <c r="J755" s="31" t="s">
        <v>58</v>
      </c>
      <c r="K755" s="31" t="s">
        <v>54</v>
      </c>
      <c r="M755" s="31" t="s">
        <v>737</v>
      </c>
      <c r="O755" s="42" t="s">
        <v>884</v>
      </c>
      <c r="P755" s="31" t="s">
        <v>1270</v>
      </c>
      <c r="Q755" s="32">
        <v>54800</v>
      </c>
      <c r="R755" s="48">
        <f>IFERROR(Q755/VLOOKUP(P755,'Exchange rates to USD'!$L$2:$N$225,3,FALSE),"")</f>
        <v>54800</v>
      </c>
      <c r="U755" s="152"/>
      <c r="V755" s="152"/>
      <c r="W755" s="152"/>
    </row>
    <row r="756" spans="1:23" ht="13.25" customHeight="1" x14ac:dyDescent="0.25">
      <c r="A756" s="31" t="s">
        <v>59</v>
      </c>
      <c r="B756" s="31" t="s">
        <v>661</v>
      </c>
      <c r="C756" s="31" t="s">
        <v>30</v>
      </c>
      <c r="D756" s="31" t="s">
        <v>23</v>
      </c>
      <c r="E756" s="31" t="s">
        <v>3200</v>
      </c>
      <c r="F756" s="31" t="s">
        <v>1177</v>
      </c>
      <c r="J756" s="31" t="s">
        <v>60</v>
      </c>
      <c r="K756" s="31" t="s">
        <v>54</v>
      </c>
      <c r="M756" s="31" t="s">
        <v>737</v>
      </c>
      <c r="O756" s="42" t="s">
        <v>884</v>
      </c>
      <c r="P756" s="31" t="s">
        <v>1270</v>
      </c>
      <c r="Q756" s="32">
        <v>10300</v>
      </c>
      <c r="R756" s="48">
        <f>IFERROR(Q756/VLOOKUP(P756,'Exchange rates to USD'!$L$2:$N$225,3,FALSE),"")</f>
        <v>10300</v>
      </c>
      <c r="U756" s="152"/>
      <c r="V756" s="152"/>
      <c r="W756" s="152"/>
    </row>
    <row r="757" spans="1:23" ht="13.25" customHeight="1" x14ac:dyDescent="0.25">
      <c r="A757" s="31" t="s">
        <v>61</v>
      </c>
      <c r="B757" s="31" t="s">
        <v>661</v>
      </c>
      <c r="C757" s="31" t="s">
        <v>2530</v>
      </c>
      <c r="E757" s="31" t="s">
        <v>3200</v>
      </c>
      <c r="F757" s="31" t="s">
        <v>1178</v>
      </c>
      <c r="J757" s="31" t="s">
        <v>62</v>
      </c>
      <c r="K757" s="31" t="s">
        <v>54</v>
      </c>
      <c r="M757" s="31" t="s">
        <v>737</v>
      </c>
      <c r="O757" s="42" t="s">
        <v>884</v>
      </c>
      <c r="P757" s="31" t="s">
        <v>1270</v>
      </c>
      <c r="Q757" s="32">
        <v>3600</v>
      </c>
      <c r="R757" s="48">
        <f>IFERROR(Q757/VLOOKUP(P757,'Exchange rates to USD'!$L$2:$N$225,3,FALSE),"")</f>
        <v>3600</v>
      </c>
      <c r="U757" s="152"/>
      <c r="V757" s="152"/>
      <c r="W757" s="152"/>
    </row>
    <row r="758" spans="1:23" ht="13.25" customHeight="1" x14ac:dyDescent="0.25">
      <c r="A758" s="31" t="s">
        <v>63</v>
      </c>
      <c r="B758" s="31" t="s">
        <v>661</v>
      </c>
      <c r="C758" s="31" t="s">
        <v>2530</v>
      </c>
      <c r="E758" s="31" t="s">
        <v>3200</v>
      </c>
      <c r="J758" s="31" t="s">
        <v>2166</v>
      </c>
      <c r="K758" s="31" t="s">
        <v>54</v>
      </c>
      <c r="M758" s="31" t="s">
        <v>737</v>
      </c>
      <c r="O758" s="42" t="s">
        <v>884</v>
      </c>
      <c r="R758" s="48" t="str">
        <f>IFERROR(Q758/VLOOKUP(P758,'Exchange rates to USD'!$L$2:$N$225,3,FALSE),"")</f>
        <v/>
      </c>
      <c r="U758" s="152"/>
      <c r="V758" s="152"/>
      <c r="W758" s="152"/>
    </row>
    <row r="759" spans="1:23" ht="13.25" customHeight="1" x14ac:dyDescent="0.25">
      <c r="A759" s="31" t="s">
        <v>65</v>
      </c>
      <c r="B759" s="31" t="s">
        <v>661</v>
      </c>
      <c r="C759" s="31" t="s">
        <v>2530</v>
      </c>
      <c r="E759" s="31" t="s">
        <v>3200</v>
      </c>
      <c r="J759" s="31" t="s">
        <v>66</v>
      </c>
      <c r="K759" s="31" t="s">
        <v>54</v>
      </c>
      <c r="M759" s="31" t="s">
        <v>737</v>
      </c>
      <c r="O759" s="42" t="s">
        <v>884</v>
      </c>
      <c r="R759" s="48" t="str">
        <f>IFERROR(Q759/VLOOKUP(P759,'Exchange rates to USD'!$L$2:$N$225,3,FALSE),"")</f>
        <v/>
      </c>
      <c r="U759" s="152"/>
      <c r="V759" s="152"/>
      <c r="W759" s="152"/>
    </row>
    <row r="760" spans="1:23" ht="13.25" customHeight="1" x14ac:dyDescent="0.25">
      <c r="A760" s="31" t="s">
        <v>67</v>
      </c>
      <c r="B760" s="31" t="s">
        <v>661</v>
      </c>
      <c r="C760" s="31" t="s">
        <v>2530</v>
      </c>
      <c r="E760" s="31" t="s">
        <v>3200</v>
      </c>
      <c r="G760" s="31" t="s">
        <v>3173</v>
      </c>
      <c r="H760" s="31" t="s">
        <v>44</v>
      </c>
      <c r="J760" s="31" t="s">
        <v>68</v>
      </c>
      <c r="K760" s="31" t="s">
        <v>69</v>
      </c>
      <c r="M760" s="31" t="s">
        <v>113</v>
      </c>
      <c r="O760" s="42" t="s">
        <v>884</v>
      </c>
      <c r="R760" s="48" t="str">
        <f>IFERROR(Q760/VLOOKUP(P760,'Exchange rates to USD'!$L$2:$N$225,3,FALSE),"")</f>
        <v/>
      </c>
      <c r="U760" s="152"/>
      <c r="V760" s="152"/>
      <c r="W760" s="152"/>
    </row>
    <row r="761" spans="1:23" ht="13.25" customHeight="1" x14ac:dyDescent="0.25">
      <c r="A761" s="31" t="s">
        <v>70</v>
      </c>
      <c r="B761" s="31" t="s">
        <v>661</v>
      </c>
      <c r="C761" s="31" t="s">
        <v>2530</v>
      </c>
      <c r="D761" s="31" t="s">
        <v>13</v>
      </c>
      <c r="E761" s="31" t="s">
        <v>3200</v>
      </c>
      <c r="G761" s="31" t="s">
        <v>41</v>
      </c>
      <c r="H761" s="31" t="s">
        <v>3173</v>
      </c>
      <c r="I761" s="31" t="s">
        <v>809</v>
      </c>
      <c r="J761" s="31" t="s">
        <v>2167</v>
      </c>
      <c r="K761" s="31" t="s">
        <v>71</v>
      </c>
      <c r="M761" s="31" t="s">
        <v>113</v>
      </c>
      <c r="N761" s="31" t="s">
        <v>2852</v>
      </c>
      <c r="O761" s="132">
        <v>44264</v>
      </c>
      <c r="R761" s="48" t="str">
        <f>IFERROR(Q761/VLOOKUP(P761,'Exchange rates to USD'!$L$2:$N$225,3,FALSE),"")</f>
        <v/>
      </c>
      <c r="S761" s="31" t="s">
        <v>2851</v>
      </c>
      <c r="U761" s="152"/>
      <c r="V761" s="152"/>
      <c r="W761" s="152"/>
    </row>
    <row r="762" spans="1:23" ht="13.25" customHeight="1" x14ac:dyDescent="0.25">
      <c r="A762" s="31" t="s">
        <v>1179</v>
      </c>
      <c r="B762" s="31" t="s">
        <v>661</v>
      </c>
      <c r="C762" s="31" t="s">
        <v>21</v>
      </c>
      <c r="D762" s="31" t="s">
        <v>13</v>
      </c>
      <c r="E762" s="31" t="s">
        <v>172</v>
      </c>
      <c r="F762" s="32">
        <v>608519270</v>
      </c>
      <c r="G762" s="31" t="s">
        <v>3173</v>
      </c>
      <c r="J762" s="31" t="s">
        <v>1180</v>
      </c>
      <c r="K762" s="65" t="s">
        <v>2853</v>
      </c>
      <c r="L762" s="31" t="s">
        <v>1181</v>
      </c>
      <c r="M762" s="31" t="s">
        <v>737</v>
      </c>
      <c r="N762" s="31" t="s">
        <v>2854</v>
      </c>
      <c r="O762" s="132">
        <v>44264</v>
      </c>
      <c r="P762" s="31" t="s">
        <v>2391</v>
      </c>
      <c r="Q762" s="32">
        <v>608.51927000000001</v>
      </c>
      <c r="R762" s="48">
        <f>IFERROR(Q762/VLOOKUP(P762,'Exchange rates to USD'!$L$2:$N$225,3,FALSE),"")</f>
        <v>203.51936697958536</v>
      </c>
      <c r="S762" s="31" t="s">
        <v>2855</v>
      </c>
      <c r="U762" s="152"/>
      <c r="V762" s="152"/>
      <c r="W762" s="152"/>
    </row>
    <row r="763" spans="1:23" ht="13.25" customHeight="1" x14ac:dyDescent="0.25">
      <c r="A763" s="31" t="s">
        <v>1182</v>
      </c>
      <c r="B763" s="31" t="s">
        <v>661</v>
      </c>
      <c r="C763" s="31" t="s">
        <v>21</v>
      </c>
      <c r="D763" s="31" t="s">
        <v>13</v>
      </c>
      <c r="E763" s="31" t="s">
        <v>161</v>
      </c>
      <c r="F763" s="32">
        <v>6085193</v>
      </c>
      <c r="G763" s="31" t="s">
        <v>3173</v>
      </c>
      <c r="H763" s="31" t="s">
        <v>25</v>
      </c>
      <c r="J763" s="31" t="s">
        <v>1183</v>
      </c>
      <c r="K763" s="64" t="s">
        <v>2856</v>
      </c>
      <c r="M763" s="31" t="s">
        <v>113</v>
      </c>
      <c r="O763" s="132" t="s">
        <v>884</v>
      </c>
      <c r="P763" s="31" t="s">
        <v>2391</v>
      </c>
      <c r="Q763" s="32">
        <v>6.0851930000000003</v>
      </c>
      <c r="R763" s="48">
        <f>IFERROR(Q763/VLOOKUP(P763,'Exchange rates to USD'!$L$2:$N$225,3,FALSE),"")</f>
        <v>2.0351937701309013</v>
      </c>
      <c r="U763" s="152" t="str">
        <f>IF(G763=H763,"****","")</f>
        <v/>
      </c>
      <c r="V763" s="152" t="str">
        <f>IF(H763="","",IF(H763=I763,"****",""))</f>
        <v/>
      </c>
      <c r="W763" s="152"/>
    </row>
    <row r="764" spans="1:23" ht="13.25" customHeight="1" x14ac:dyDescent="0.25">
      <c r="A764" s="31" t="s">
        <v>1184</v>
      </c>
      <c r="B764" s="31" t="s">
        <v>661</v>
      </c>
      <c r="C764" s="31" t="s">
        <v>21</v>
      </c>
      <c r="D764" s="31" t="s">
        <v>13</v>
      </c>
      <c r="E764" s="31" t="s">
        <v>14</v>
      </c>
      <c r="F764" s="31">
        <v>0</v>
      </c>
      <c r="G764" s="31" t="s">
        <v>3173</v>
      </c>
      <c r="J764" s="31" t="s">
        <v>1185</v>
      </c>
      <c r="K764" s="64" t="s">
        <v>2857</v>
      </c>
      <c r="L764" s="31" t="s">
        <v>1186</v>
      </c>
      <c r="M764" s="31" t="s">
        <v>101</v>
      </c>
      <c r="O764" s="132">
        <v>44264</v>
      </c>
      <c r="R764" s="48" t="str">
        <f>IFERROR(Q764/VLOOKUP(P764,'Exchange rates to USD'!$L$2:$N$225,3,FALSE),"")</f>
        <v/>
      </c>
      <c r="S764" s="131" t="s">
        <v>2858</v>
      </c>
      <c r="U764" s="31" t="s">
        <v>3001</v>
      </c>
      <c r="W764" s="152"/>
    </row>
    <row r="765" spans="1:23" ht="13.25" customHeight="1" x14ac:dyDescent="0.25">
      <c r="A765" s="31" t="s">
        <v>1187</v>
      </c>
      <c r="B765" s="31" t="s">
        <v>661</v>
      </c>
      <c r="C765" s="31" t="s">
        <v>2530</v>
      </c>
      <c r="D765" s="31" t="s">
        <v>13</v>
      </c>
      <c r="E765" s="31" t="s">
        <v>14</v>
      </c>
      <c r="F765" s="31">
        <v>0</v>
      </c>
      <c r="G765" s="31" t="s">
        <v>3173</v>
      </c>
      <c r="H765" s="31" t="s">
        <v>25</v>
      </c>
      <c r="I765" s="31" t="s">
        <v>41</v>
      </c>
      <c r="J765" s="31" t="s">
        <v>1188</v>
      </c>
      <c r="K765" s="64" t="s">
        <v>2859</v>
      </c>
      <c r="M765" s="31" t="s">
        <v>113</v>
      </c>
      <c r="O765" s="132">
        <v>44264</v>
      </c>
      <c r="R765" s="48" t="str">
        <f>IFERROR(Q765/VLOOKUP(P765,'Exchange rates to USD'!$L$2:$N$225,3,FALSE),"")</f>
        <v/>
      </c>
      <c r="W765" s="152"/>
    </row>
    <row r="766" spans="1:23" ht="13.25" customHeight="1" x14ac:dyDescent="0.25">
      <c r="A766" s="31" t="s">
        <v>1189</v>
      </c>
      <c r="B766" s="31" t="s">
        <v>661</v>
      </c>
      <c r="C766" s="31" t="s">
        <v>21</v>
      </c>
      <c r="D766" s="31" t="s">
        <v>13</v>
      </c>
      <c r="E766" s="31" t="s">
        <v>14</v>
      </c>
      <c r="F766" s="31">
        <v>0</v>
      </c>
      <c r="G766" s="31" t="s">
        <v>3173</v>
      </c>
      <c r="J766" s="31" t="s">
        <v>2168</v>
      </c>
      <c r="K766" s="169" t="s">
        <v>2861</v>
      </c>
      <c r="L766" s="31" t="s">
        <v>2860</v>
      </c>
      <c r="M766" s="31" t="s">
        <v>737</v>
      </c>
      <c r="O766" s="132">
        <v>44264</v>
      </c>
      <c r="R766" s="48" t="str">
        <f>IFERROR(Q766/VLOOKUP(P766,'Exchange rates to USD'!$L$2:$N$225,3,FALSE),"")</f>
        <v/>
      </c>
      <c r="S766" s="131" t="s">
        <v>2855</v>
      </c>
      <c r="W766" s="152"/>
    </row>
    <row r="767" spans="1:23" ht="13.25" customHeight="1" x14ac:dyDescent="0.25">
      <c r="A767" s="31" t="s">
        <v>1190</v>
      </c>
      <c r="B767" s="31" t="s">
        <v>661</v>
      </c>
      <c r="C767" s="31" t="s">
        <v>2530</v>
      </c>
      <c r="D767" s="31" t="s">
        <v>13</v>
      </c>
      <c r="E767" s="31" t="s">
        <v>14</v>
      </c>
      <c r="F767" s="31">
        <v>0</v>
      </c>
      <c r="G767" s="31" t="s">
        <v>3173</v>
      </c>
      <c r="J767" s="31" t="s">
        <v>1191</v>
      </c>
      <c r="K767" s="31" t="s">
        <v>1192</v>
      </c>
      <c r="M767" s="31" t="s">
        <v>113</v>
      </c>
      <c r="O767" s="132">
        <v>44266</v>
      </c>
      <c r="R767" s="48" t="str">
        <f>IFERROR(Q767/VLOOKUP(P767,'Exchange rates to USD'!$L$2:$N$225,3,FALSE),"")</f>
        <v/>
      </c>
      <c r="S767" s="131" t="s">
        <v>2851</v>
      </c>
      <c r="W767" s="152"/>
    </row>
    <row r="768" spans="1:23" ht="13.25" customHeight="1" x14ac:dyDescent="0.25">
      <c r="A768" s="31" t="s">
        <v>1193</v>
      </c>
      <c r="B768" s="31" t="s">
        <v>661</v>
      </c>
      <c r="C768" s="31" t="s">
        <v>2530</v>
      </c>
      <c r="D768" s="31" t="s">
        <v>13</v>
      </c>
      <c r="E768" s="31" t="s">
        <v>14</v>
      </c>
      <c r="F768" s="31">
        <v>0</v>
      </c>
      <c r="G768" s="31" t="s">
        <v>3173</v>
      </c>
      <c r="J768" s="31" t="s">
        <v>1194</v>
      </c>
      <c r="K768" s="31" t="s">
        <v>1195</v>
      </c>
      <c r="M768" s="31" t="s">
        <v>737</v>
      </c>
      <c r="O768" s="132">
        <v>44266</v>
      </c>
      <c r="R768" s="48" t="str">
        <f>IFERROR(Q768/VLOOKUP(P768,'Exchange rates to USD'!$L$2:$N$225,3,FALSE),"")</f>
        <v/>
      </c>
      <c r="S768" s="131" t="s">
        <v>2855</v>
      </c>
      <c r="W768" s="152"/>
    </row>
    <row r="769" spans="1:23" ht="13.25" customHeight="1" x14ac:dyDescent="0.25">
      <c r="A769" s="31" t="s">
        <v>1196</v>
      </c>
      <c r="B769" s="31" t="s">
        <v>661</v>
      </c>
      <c r="C769" s="31" t="s">
        <v>2530</v>
      </c>
      <c r="D769" s="31" t="s">
        <v>13</v>
      </c>
      <c r="E769" s="31" t="s">
        <v>14</v>
      </c>
      <c r="F769" s="31">
        <v>0</v>
      </c>
      <c r="G769" s="31" t="s">
        <v>3173</v>
      </c>
      <c r="J769" s="31" t="s">
        <v>2169</v>
      </c>
      <c r="K769" s="31" t="s">
        <v>1197</v>
      </c>
      <c r="M769" s="31" t="s">
        <v>737</v>
      </c>
      <c r="O769" s="132">
        <v>44266</v>
      </c>
      <c r="R769" s="48" t="str">
        <f>IFERROR(Q769/VLOOKUP(P769,'Exchange rates to USD'!$L$2:$N$225,3,FALSE),"")</f>
        <v/>
      </c>
      <c r="S769" s="131" t="s">
        <v>2855</v>
      </c>
      <c r="W769" s="152"/>
    </row>
    <row r="770" spans="1:23" ht="13.25" customHeight="1" x14ac:dyDescent="0.25">
      <c r="A770" s="31" t="s">
        <v>1198</v>
      </c>
      <c r="B770" s="31" t="s">
        <v>661</v>
      </c>
      <c r="C770" s="31" t="s">
        <v>21</v>
      </c>
      <c r="D770" s="31" t="s">
        <v>13</v>
      </c>
      <c r="E770" s="31" t="s">
        <v>14</v>
      </c>
      <c r="F770" s="31">
        <v>0</v>
      </c>
      <c r="G770" s="31" t="s">
        <v>3173</v>
      </c>
      <c r="J770" s="31" t="s">
        <v>2170</v>
      </c>
      <c r="K770" s="31" t="s">
        <v>1199</v>
      </c>
      <c r="L770" s="64" t="s">
        <v>2917</v>
      </c>
      <c r="M770" s="31" t="s">
        <v>113</v>
      </c>
      <c r="O770" s="42" t="s">
        <v>884</v>
      </c>
      <c r="R770" s="48" t="str">
        <f>IFERROR(Q770/VLOOKUP(P770,'Exchange rates to USD'!$L$2:$N$225,3,FALSE),"")</f>
        <v/>
      </c>
      <c r="W770" s="152"/>
    </row>
    <row r="771" spans="1:23" ht="13.25" customHeight="1" x14ac:dyDescent="0.25">
      <c r="A771" s="31" t="s">
        <v>1200</v>
      </c>
      <c r="B771" s="31" t="s">
        <v>661</v>
      </c>
      <c r="C771" s="31" t="s">
        <v>21</v>
      </c>
      <c r="D771" s="31" t="s">
        <v>13</v>
      </c>
      <c r="E771" s="31" t="s">
        <v>14</v>
      </c>
      <c r="F771" s="31">
        <v>0</v>
      </c>
      <c r="G771" s="31" t="s">
        <v>3173</v>
      </c>
      <c r="J771" s="31" t="s">
        <v>2171</v>
      </c>
      <c r="K771" s="31" t="s">
        <v>1201</v>
      </c>
      <c r="M771" s="31" t="s">
        <v>113</v>
      </c>
      <c r="O771" s="132">
        <v>44267</v>
      </c>
      <c r="R771" s="48" t="str">
        <f>IFERROR(Q771/VLOOKUP(P771,'Exchange rates to USD'!$L$2:$N$225,3,FALSE),"")</f>
        <v/>
      </c>
      <c r="S771" s="31" t="s">
        <v>2918</v>
      </c>
      <c r="W771" s="152"/>
    </row>
    <row r="772" spans="1:23" ht="13.25" customHeight="1" x14ac:dyDescent="0.25">
      <c r="A772" s="31" t="s">
        <v>1202</v>
      </c>
      <c r="B772" s="31" t="s">
        <v>661</v>
      </c>
      <c r="C772" s="31" t="s">
        <v>2530</v>
      </c>
      <c r="D772" s="31" t="s">
        <v>13</v>
      </c>
      <c r="E772" s="31" t="s">
        <v>14</v>
      </c>
      <c r="F772" s="31">
        <v>0</v>
      </c>
      <c r="G772" s="31" t="s">
        <v>3173</v>
      </c>
      <c r="J772" s="31" t="s">
        <v>1203</v>
      </c>
      <c r="K772" s="31" t="s">
        <v>1204</v>
      </c>
      <c r="M772" s="31" t="s">
        <v>737</v>
      </c>
      <c r="O772" s="132">
        <v>44267</v>
      </c>
      <c r="R772" s="48" t="str">
        <f>IFERROR(Q772/VLOOKUP(P772,'Exchange rates to USD'!$L$2:$N$225,3,FALSE),"")</f>
        <v/>
      </c>
      <c r="S772" s="31" t="s">
        <v>2918</v>
      </c>
      <c r="U772" s="31" t="s">
        <v>3002</v>
      </c>
      <c r="W772" s="152"/>
    </row>
    <row r="773" spans="1:23" ht="13.25" customHeight="1" x14ac:dyDescent="0.25">
      <c r="A773" s="31" t="s">
        <v>1205</v>
      </c>
      <c r="B773" s="31" t="s">
        <v>661</v>
      </c>
      <c r="C773" s="31" t="s">
        <v>2530</v>
      </c>
      <c r="D773" s="31" t="s">
        <v>13</v>
      </c>
      <c r="E773" s="31" t="s">
        <v>3200</v>
      </c>
      <c r="F773" s="31">
        <v>0</v>
      </c>
      <c r="G773" s="31" t="s">
        <v>3173</v>
      </c>
      <c r="J773" s="31" t="s">
        <v>1206</v>
      </c>
      <c r="K773" s="31" t="s">
        <v>1207</v>
      </c>
      <c r="L773" s="64" t="s">
        <v>2919</v>
      </c>
      <c r="M773" s="31" t="s">
        <v>871</v>
      </c>
      <c r="O773" s="42" t="s">
        <v>884</v>
      </c>
      <c r="R773" s="48" t="str">
        <f>IFERROR(Q773/VLOOKUP(P773,'Exchange rates to USD'!$L$2:$N$225,3,FALSE),"")</f>
        <v/>
      </c>
      <c r="W773" s="152"/>
    </row>
    <row r="774" spans="1:23" ht="13.25" customHeight="1" x14ac:dyDescent="0.25">
      <c r="A774" s="31" t="s">
        <v>1208</v>
      </c>
      <c r="B774" s="31" t="s">
        <v>661</v>
      </c>
      <c r="C774" s="31" t="s">
        <v>2530</v>
      </c>
      <c r="D774" s="31" t="s">
        <v>13</v>
      </c>
      <c r="E774" s="31" t="s">
        <v>14</v>
      </c>
      <c r="F774" s="31">
        <v>0</v>
      </c>
      <c r="G774" s="31" t="s">
        <v>3173</v>
      </c>
      <c r="J774" s="31" t="s">
        <v>1209</v>
      </c>
      <c r="K774" s="31" t="s">
        <v>1210</v>
      </c>
      <c r="M774" s="31" t="s">
        <v>737</v>
      </c>
      <c r="O774" s="42" t="s">
        <v>884</v>
      </c>
      <c r="R774" s="48" t="str">
        <f>IFERROR(Q774/VLOOKUP(P774,'Exchange rates to USD'!$L$2:$N$225,3,FALSE),"")</f>
        <v/>
      </c>
      <c r="W774" s="152"/>
    </row>
    <row r="775" spans="1:23" ht="13.25" customHeight="1" x14ac:dyDescent="0.25">
      <c r="A775" s="31" t="s">
        <v>1211</v>
      </c>
      <c r="B775" s="31" t="s">
        <v>661</v>
      </c>
      <c r="C775" s="31" t="s">
        <v>2530</v>
      </c>
      <c r="D775" s="31" t="s">
        <v>13</v>
      </c>
      <c r="E775" s="31" t="s">
        <v>14</v>
      </c>
      <c r="F775" s="31">
        <v>0</v>
      </c>
      <c r="G775" s="31" t="s">
        <v>41</v>
      </c>
      <c r="H775" s="31" t="s">
        <v>44</v>
      </c>
      <c r="J775" s="31" t="s">
        <v>1213</v>
      </c>
      <c r="K775" s="31" t="s">
        <v>1214</v>
      </c>
      <c r="M775" s="31" t="s">
        <v>871</v>
      </c>
      <c r="O775" s="132">
        <v>44267</v>
      </c>
      <c r="R775" s="48" t="str">
        <f>IFERROR(Q775/VLOOKUP(P775,'Exchange rates to USD'!$L$2:$N$225,3,FALSE),"")</f>
        <v/>
      </c>
      <c r="S775" s="131" t="s">
        <v>2920</v>
      </c>
      <c r="U775" s="31" t="s">
        <v>3003</v>
      </c>
      <c r="W775" s="152"/>
    </row>
    <row r="776" spans="1:23" ht="13.25" customHeight="1" x14ac:dyDescent="0.25">
      <c r="A776" s="31" t="s">
        <v>1212</v>
      </c>
      <c r="B776" s="31" t="s">
        <v>661</v>
      </c>
      <c r="C776" s="31" t="s">
        <v>21</v>
      </c>
      <c r="D776" s="31" t="s">
        <v>13</v>
      </c>
      <c r="E776" s="31" t="s">
        <v>14</v>
      </c>
      <c r="F776" s="32">
        <v>202839757</v>
      </c>
      <c r="G776" s="31" t="s">
        <v>3173</v>
      </c>
      <c r="J776" s="31" t="s">
        <v>1216</v>
      </c>
      <c r="K776" s="31" t="s">
        <v>1217</v>
      </c>
      <c r="M776" s="31" t="s">
        <v>113</v>
      </c>
      <c r="N776" s="31" t="s">
        <v>2922</v>
      </c>
      <c r="O776" s="132">
        <v>44267</v>
      </c>
      <c r="P776" s="31" t="s">
        <v>2391</v>
      </c>
      <c r="Q776" s="32">
        <v>202.83975699999999</v>
      </c>
      <c r="R776" s="48">
        <f>IFERROR(Q776/VLOOKUP(P776,'Exchange rates to USD'!$L$2:$N$225,3,FALSE),"")</f>
        <v>67.839789104678502</v>
      </c>
      <c r="W776" s="152"/>
    </row>
    <row r="777" spans="1:23" ht="13.25" customHeight="1" x14ac:dyDescent="0.25">
      <c r="A777" s="31" t="s">
        <v>1215</v>
      </c>
      <c r="B777" s="31" t="s">
        <v>661</v>
      </c>
      <c r="C777" s="31" t="s">
        <v>21</v>
      </c>
      <c r="D777" s="31" t="s">
        <v>13</v>
      </c>
      <c r="E777" s="31" t="s">
        <v>14</v>
      </c>
      <c r="F777" s="32">
        <v>19269777</v>
      </c>
      <c r="G777" s="31" t="s">
        <v>3173</v>
      </c>
      <c r="J777" s="31" t="s">
        <v>1219</v>
      </c>
      <c r="M777" s="31" t="s">
        <v>113</v>
      </c>
      <c r="O777" s="42" t="s">
        <v>884</v>
      </c>
      <c r="P777" s="31" t="s">
        <v>2391</v>
      </c>
      <c r="Q777" s="32">
        <v>19.269777000000001</v>
      </c>
      <c r="R777" s="48">
        <f>IFERROR(Q777/VLOOKUP(P777,'Exchange rates to USD'!$L$2:$N$225,3,FALSE),"")</f>
        <v>6.4447799933727214</v>
      </c>
      <c r="W777" s="152"/>
    </row>
    <row r="778" spans="1:23" ht="13.25" customHeight="1" x14ac:dyDescent="0.25">
      <c r="A778" s="31" t="s">
        <v>1218</v>
      </c>
      <c r="B778" s="31" t="s">
        <v>661</v>
      </c>
      <c r="C778" s="31" t="s">
        <v>21</v>
      </c>
      <c r="D778" s="31" t="s">
        <v>13</v>
      </c>
      <c r="E778" s="31" t="s">
        <v>14</v>
      </c>
      <c r="F778" s="32">
        <v>229208925</v>
      </c>
      <c r="G778" s="31" t="s">
        <v>3173</v>
      </c>
      <c r="J778" s="31" t="s">
        <v>1221</v>
      </c>
      <c r="K778" s="31" t="s">
        <v>1222</v>
      </c>
      <c r="M778" s="31" t="s">
        <v>113</v>
      </c>
      <c r="N778" s="31" t="s">
        <v>2923</v>
      </c>
      <c r="O778" s="132">
        <v>44267</v>
      </c>
      <c r="P778" s="31" t="s">
        <v>2391</v>
      </c>
      <c r="Q778" s="32">
        <v>229.20892499999999</v>
      </c>
      <c r="R778" s="48">
        <f>IFERROR(Q778/VLOOKUP(P778,'Exchange rates to USD'!$L$2:$N$225,3,FALSE),"")</f>
        <v>76.658961551162136</v>
      </c>
      <c r="W778" s="152"/>
    </row>
    <row r="779" spans="1:23" ht="13.25" customHeight="1" x14ac:dyDescent="0.25">
      <c r="A779" s="31" t="s">
        <v>1220</v>
      </c>
      <c r="B779" s="31" t="s">
        <v>661</v>
      </c>
      <c r="C779" s="31" t="s">
        <v>21</v>
      </c>
      <c r="D779" s="31" t="s">
        <v>13</v>
      </c>
      <c r="E779" s="31" t="s">
        <v>14</v>
      </c>
      <c r="F779" s="32">
        <v>263691684</v>
      </c>
      <c r="G779" s="31" t="s">
        <v>3173</v>
      </c>
      <c r="H779" s="31" t="s">
        <v>25</v>
      </c>
      <c r="J779" s="31" t="s">
        <v>1224</v>
      </c>
      <c r="K779" s="31" t="s">
        <v>1225</v>
      </c>
      <c r="M779" s="31" t="s">
        <v>113</v>
      </c>
      <c r="O779" s="42" t="s">
        <v>884</v>
      </c>
      <c r="P779" s="31" t="s">
        <v>2391</v>
      </c>
      <c r="Q779" s="32">
        <v>263.69168400000001</v>
      </c>
      <c r="R779" s="48">
        <f>IFERROR(Q779/VLOOKUP(P779,'Exchange rates to USD'!$L$2:$N$225,3,FALSE),"")</f>
        <v>88.191725802637038</v>
      </c>
      <c r="W779" s="152"/>
    </row>
    <row r="780" spans="1:23" ht="13.25" customHeight="1" x14ac:dyDescent="0.25">
      <c r="A780" s="31" t="s">
        <v>1223</v>
      </c>
      <c r="B780" s="31" t="s">
        <v>661</v>
      </c>
      <c r="C780" s="31" t="s">
        <v>21</v>
      </c>
      <c r="D780" s="31" t="s">
        <v>13</v>
      </c>
      <c r="E780" s="31" t="s">
        <v>14</v>
      </c>
      <c r="F780" s="32">
        <v>243407708</v>
      </c>
      <c r="G780" s="31" t="s">
        <v>3173</v>
      </c>
      <c r="J780" s="31" t="s">
        <v>1227</v>
      </c>
      <c r="K780" s="31" t="s">
        <v>1228</v>
      </c>
      <c r="M780" s="31" t="s">
        <v>113</v>
      </c>
      <c r="N780" s="31" t="s">
        <v>2924</v>
      </c>
      <c r="O780" s="42" t="s">
        <v>884</v>
      </c>
      <c r="P780" s="31" t="s">
        <v>2391</v>
      </c>
      <c r="Q780" s="32">
        <v>243.40770800000001</v>
      </c>
      <c r="R780" s="48">
        <f>IFERROR(Q780/VLOOKUP(P780,'Exchange rates to USD'!$L$2:$N$225,3,FALSE),"")</f>
        <v>81.407746791834143</v>
      </c>
      <c r="W780" s="152"/>
    </row>
    <row r="781" spans="1:23" ht="13.25" customHeight="1" x14ac:dyDescent="0.25">
      <c r="A781" s="31" t="s">
        <v>1226</v>
      </c>
      <c r="B781" s="31" t="s">
        <v>661</v>
      </c>
      <c r="C781" s="31" t="s">
        <v>21</v>
      </c>
      <c r="D781" s="31" t="s">
        <v>13</v>
      </c>
      <c r="E781" s="31" t="s">
        <v>14</v>
      </c>
      <c r="F781" s="32">
        <v>42190670</v>
      </c>
      <c r="G781" s="31" t="s">
        <v>3173</v>
      </c>
      <c r="J781" s="31" t="s">
        <v>1230</v>
      </c>
      <c r="K781" s="31" t="s">
        <v>1231</v>
      </c>
      <c r="M781" s="31" t="s">
        <v>113</v>
      </c>
      <c r="O781" s="42" t="s">
        <v>884</v>
      </c>
      <c r="P781" s="31" t="s">
        <v>2391</v>
      </c>
      <c r="Q781" s="32">
        <v>42.190669999999997</v>
      </c>
      <c r="R781" s="48">
        <f>IFERROR(Q781/VLOOKUP(P781,'Exchange rates to USD'!$L$2:$N$225,3,FALSE),"")</f>
        <v>14.110676315714015</v>
      </c>
      <c r="W781" s="152"/>
    </row>
    <row r="782" spans="1:23" ht="13.25" customHeight="1" x14ac:dyDescent="0.25">
      <c r="A782" s="31" t="s">
        <v>1229</v>
      </c>
      <c r="B782" s="31" t="s">
        <v>661</v>
      </c>
      <c r="C782" s="31" t="s">
        <v>2530</v>
      </c>
      <c r="D782" s="31" t="s">
        <v>13</v>
      </c>
      <c r="E782" s="31" t="s">
        <v>14</v>
      </c>
      <c r="F782" s="32">
        <v>997971603</v>
      </c>
      <c r="G782" s="31" t="s">
        <v>3173</v>
      </c>
      <c r="J782" s="31" t="s">
        <v>1233</v>
      </c>
      <c r="K782" s="64" t="s">
        <v>1234</v>
      </c>
      <c r="M782" s="31" t="s">
        <v>737</v>
      </c>
      <c r="N782" s="31" t="s">
        <v>2925</v>
      </c>
      <c r="O782" s="42" t="s">
        <v>884</v>
      </c>
      <c r="P782" s="31" t="s">
        <v>2391</v>
      </c>
      <c r="Q782" s="32">
        <v>997.97160299999996</v>
      </c>
      <c r="R782" s="48">
        <f>IFERROR(Q782/VLOOKUP(P782,'Exchange rates to USD'!$L$2:$N$225,3,FALSE),"")</f>
        <v>333.77176191340999</v>
      </c>
      <c r="W782" s="152"/>
    </row>
    <row r="783" spans="1:23" ht="13.25" customHeight="1" x14ac:dyDescent="0.25">
      <c r="A783" s="31" t="s">
        <v>1232</v>
      </c>
      <c r="B783" s="31" t="s">
        <v>661</v>
      </c>
      <c r="C783" s="31" t="s">
        <v>2530</v>
      </c>
      <c r="D783" s="31" t="s">
        <v>13</v>
      </c>
      <c r="E783" s="31" t="s">
        <v>36</v>
      </c>
      <c r="F783" s="32">
        <v>851926978</v>
      </c>
      <c r="G783" s="31" t="s">
        <v>3173</v>
      </c>
      <c r="H783" s="31" t="s">
        <v>41</v>
      </c>
      <c r="J783" s="31" t="s">
        <v>1236</v>
      </c>
      <c r="K783" s="31" t="s">
        <v>1237</v>
      </c>
      <c r="L783" s="64" t="s">
        <v>2927</v>
      </c>
      <c r="M783" s="31" t="s">
        <v>871</v>
      </c>
      <c r="O783" s="132">
        <v>44267</v>
      </c>
      <c r="P783" s="31" t="s">
        <v>2391</v>
      </c>
      <c r="Q783" s="32">
        <v>851.92697799999996</v>
      </c>
      <c r="R783" s="48">
        <f>IFERROR(Q783/VLOOKUP(P783,'Exchange rates to USD'!$L$2:$N$225,3,FALSE),"")</f>
        <v>284.9271137714195</v>
      </c>
      <c r="S783" s="31" t="s">
        <v>2926</v>
      </c>
      <c r="U783" s="31" t="s">
        <v>3004</v>
      </c>
      <c r="W783" s="152"/>
    </row>
    <row r="784" spans="1:23" x14ac:dyDescent="0.25">
      <c r="A784" s="31" t="s">
        <v>1235</v>
      </c>
      <c r="B784" s="31" t="s">
        <v>661</v>
      </c>
      <c r="C784" s="31" t="s">
        <v>21</v>
      </c>
      <c r="D784" s="31" t="s">
        <v>13</v>
      </c>
      <c r="E784" s="31" t="s">
        <v>14</v>
      </c>
      <c r="F784" s="32">
        <v>41987830</v>
      </c>
      <c r="G784" s="31" t="s">
        <v>3173</v>
      </c>
      <c r="J784" s="31" t="s">
        <v>1239</v>
      </c>
      <c r="K784" s="31" t="s">
        <v>1240</v>
      </c>
      <c r="M784" s="31" t="s">
        <v>113</v>
      </c>
      <c r="O784" s="42" t="s">
        <v>884</v>
      </c>
      <c r="P784" s="31" t="s">
        <v>2391</v>
      </c>
      <c r="Q784" s="32">
        <v>41.987830000000002</v>
      </c>
      <c r="R784" s="48">
        <f>IFERROR(Q784/VLOOKUP(P784,'Exchange rates to USD'!$L$2:$N$225,3,FALSE),"")</f>
        <v>14.042836445337949</v>
      </c>
      <c r="W784" s="152"/>
    </row>
    <row r="785" spans="1:27" ht="13.25" customHeight="1" x14ac:dyDescent="0.25">
      <c r="A785" s="31" t="s">
        <v>1238</v>
      </c>
      <c r="B785" s="31" t="s">
        <v>661</v>
      </c>
      <c r="C785" s="31" t="s">
        <v>21</v>
      </c>
      <c r="D785" s="31" t="s">
        <v>13</v>
      </c>
      <c r="E785" s="31" t="s">
        <v>36</v>
      </c>
      <c r="F785" s="32">
        <v>304259635</v>
      </c>
      <c r="G785" s="31" t="s">
        <v>3173</v>
      </c>
      <c r="H785" s="31" t="s">
        <v>41</v>
      </c>
      <c r="J785" s="31" t="s">
        <v>1242</v>
      </c>
      <c r="K785" s="31" t="s">
        <v>1243</v>
      </c>
      <c r="M785" s="31" t="s">
        <v>871</v>
      </c>
      <c r="O785" s="132">
        <v>44267</v>
      </c>
      <c r="P785" s="31" t="s">
        <v>2391</v>
      </c>
      <c r="Q785" s="32">
        <v>304.259635</v>
      </c>
      <c r="R785" s="48">
        <f>IFERROR(Q785/VLOOKUP(P785,'Exchange rates to USD'!$L$2:$N$225,3,FALSE),"")</f>
        <v>101.75968348979268</v>
      </c>
      <c r="S785" s="152" t="s">
        <v>2926</v>
      </c>
      <c r="U785" s="152" t="s">
        <v>3004</v>
      </c>
      <c r="W785" s="152"/>
    </row>
    <row r="786" spans="1:27" ht="13.25" customHeight="1" x14ac:dyDescent="0.25">
      <c r="A786" s="31" t="s">
        <v>1241</v>
      </c>
      <c r="B786" s="31" t="s">
        <v>661</v>
      </c>
      <c r="C786" s="31" t="s">
        <v>21</v>
      </c>
      <c r="D786" s="31" t="s">
        <v>13</v>
      </c>
      <c r="E786" s="31" t="s">
        <v>14</v>
      </c>
      <c r="F786" s="32">
        <v>182555781</v>
      </c>
      <c r="G786" s="31" t="s">
        <v>3173</v>
      </c>
      <c r="J786" s="31" t="s">
        <v>1245</v>
      </c>
      <c r="K786" s="31" t="s">
        <v>2929</v>
      </c>
      <c r="M786" s="31" t="s">
        <v>737</v>
      </c>
      <c r="O786" s="132">
        <v>44267</v>
      </c>
      <c r="P786" s="31" t="s">
        <v>2391</v>
      </c>
      <c r="Q786" s="32">
        <v>182.555781</v>
      </c>
      <c r="R786" s="48">
        <f>IFERROR(Q786/VLOOKUP(P786,'Exchange rates to USD'!$L$2:$N$225,3,FALSE),"")</f>
        <v>61.0558100938756</v>
      </c>
      <c r="S786" s="31" t="s">
        <v>2928</v>
      </c>
      <c r="U786" s="31" t="s">
        <v>3005</v>
      </c>
      <c r="W786" s="152"/>
    </row>
    <row r="787" spans="1:27" ht="13.25" customHeight="1" x14ac:dyDescent="0.25">
      <c r="A787" s="38" t="s">
        <v>1244</v>
      </c>
      <c r="B787" s="38" t="s">
        <v>661</v>
      </c>
      <c r="C787" s="38" t="s">
        <v>2530</v>
      </c>
      <c r="D787" s="38" t="s">
        <v>13</v>
      </c>
      <c r="E787" s="38" t="s">
        <v>14</v>
      </c>
      <c r="F787" s="38">
        <v>0</v>
      </c>
      <c r="G787" s="38" t="s">
        <v>3173</v>
      </c>
      <c r="H787" s="38"/>
      <c r="I787" s="38"/>
      <c r="J787" s="38" t="s">
        <v>1246</v>
      </c>
      <c r="K787" s="38" t="s">
        <v>1247</v>
      </c>
      <c r="L787" s="38" t="s">
        <v>2930</v>
      </c>
      <c r="M787" s="38" t="s">
        <v>113</v>
      </c>
      <c r="N787" s="38"/>
      <c r="O787" s="190">
        <v>44267</v>
      </c>
      <c r="P787" s="38"/>
      <c r="Q787" s="60"/>
      <c r="R787" s="60"/>
      <c r="S787" s="38"/>
      <c r="T787" s="38"/>
      <c r="W787" s="152"/>
    </row>
    <row r="788" spans="1:27" s="152" customFormat="1" ht="13.25" customHeight="1" x14ac:dyDescent="0.25">
      <c r="A788" s="38" t="s">
        <v>2931</v>
      </c>
      <c r="B788" s="38" t="s">
        <v>661</v>
      </c>
      <c r="C788" s="38" t="s">
        <v>22</v>
      </c>
      <c r="D788" s="38"/>
      <c r="E788" s="38" t="s">
        <v>3200</v>
      </c>
      <c r="F788" s="38"/>
      <c r="G788" s="38" t="s">
        <v>670</v>
      </c>
      <c r="H788" s="38"/>
      <c r="I788" s="38"/>
      <c r="J788" s="38" t="s">
        <v>2939</v>
      </c>
      <c r="K788" s="38"/>
      <c r="L788" s="38"/>
      <c r="M788" s="38" t="s">
        <v>113</v>
      </c>
      <c r="N788" s="38"/>
      <c r="O788" s="190">
        <v>44267</v>
      </c>
      <c r="P788" s="38"/>
      <c r="Q788" s="60"/>
      <c r="R788" s="60"/>
      <c r="S788" s="38"/>
      <c r="T788" s="38"/>
    </row>
    <row r="789" spans="1:27" s="152" customFormat="1" ht="13.25" customHeight="1" x14ac:dyDescent="0.25">
      <c r="A789" s="152" t="s">
        <v>2932</v>
      </c>
      <c r="B789" s="152" t="s">
        <v>661</v>
      </c>
      <c r="C789" s="38" t="s">
        <v>2530</v>
      </c>
      <c r="D789" s="38" t="s">
        <v>13</v>
      </c>
      <c r="E789" s="38" t="s">
        <v>3200</v>
      </c>
      <c r="F789" s="38"/>
      <c r="G789" s="38" t="s">
        <v>41</v>
      </c>
      <c r="H789" s="38"/>
      <c r="I789" s="38"/>
      <c r="J789" s="152" t="s">
        <v>2940</v>
      </c>
      <c r="K789" s="38"/>
      <c r="L789" s="38"/>
      <c r="M789" s="38" t="s">
        <v>113</v>
      </c>
      <c r="N789" s="38"/>
      <c r="O789" s="132">
        <v>44267</v>
      </c>
      <c r="P789" s="38"/>
      <c r="Q789" s="60"/>
      <c r="R789" s="60"/>
    </row>
    <row r="790" spans="1:27" s="152" customFormat="1" ht="13.25" customHeight="1" x14ac:dyDescent="0.25">
      <c r="A790" s="152" t="s">
        <v>2933</v>
      </c>
      <c r="B790" s="152" t="s">
        <v>661</v>
      </c>
      <c r="C790" s="38" t="s">
        <v>2530</v>
      </c>
      <c r="D790" s="38" t="s">
        <v>13</v>
      </c>
      <c r="E790" s="38" t="s">
        <v>191</v>
      </c>
      <c r="F790" s="38"/>
      <c r="G790" s="38" t="s">
        <v>41</v>
      </c>
      <c r="H790" s="38"/>
      <c r="I790" s="38"/>
      <c r="J790" s="152" t="s">
        <v>2951</v>
      </c>
      <c r="K790" s="101" t="s">
        <v>2952</v>
      </c>
      <c r="L790" s="38"/>
      <c r="M790" s="38" t="s">
        <v>113</v>
      </c>
      <c r="N790" s="38"/>
      <c r="O790" s="132">
        <v>44267</v>
      </c>
      <c r="P790" s="38"/>
      <c r="Q790" s="60"/>
      <c r="R790" s="60"/>
    </row>
    <row r="791" spans="1:27" s="152" customFormat="1" ht="13.25" customHeight="1" x14ac:dyDescent="0.25">
      <c r="A791" s="152" t="s">
        <v>2934</v>
      </c>
      <c r="B791" s="152" t="s">
        <v>661</v>
      </c>
      <c r="C791" s="38" t="s">
        <v>2530</v>
      </c>
      <c r="D791" s="38" t="s">
        <v>13</v>
      </c>
      <c r="E791" s="38" t="s">
        <v>14</v>
      </c>
      <c r="F791" s="38"/>
      <c r="G791" s="38" t="s">
        <v>3173</v>
      </c>
      <c r="H791" s="38" t="s">
        <v>25</v>
      </c>
      <c r="I791" s="38"/>
      <c r="J791" s="38" t="s">
        <v>2973</v>
      </c>
      <c r="K791" s="171" t="s">
        <v>2972</v>
      </c>
      <c r="L791" s="38"/>
      <c r="M791" s="38" t="s">
        <v>113</v>
      </c>
      <c r="N791" s="38"/>
      <c r="O791" s="132">
        <v>44267</v>
      </c>
      <c r="P791" s="38"/>
      <c r="Q791" s="60"/>
      <c r="R791" s="60"/>
    </row>
    <row r="792" spans="1:27" s="152" customFormat="1" ht="13.25" customHeight="1" x14ac:dyDescent="0.25">
      <c r="A792" s="152" t="s">
        <v>2935</v>
      </c>
      <c r="B792" s="152" t="s">
        <v>661</v>
      </c>
      <c r="C792" s="38" t="s">
        <v>2530</v>
      </c>
      <c r="D792" s="38" t="s">
        <v>13</v>
      </c>
      <c r="E792" s="38" t="s">
        <v>3200</v>
      </c>
      <c r="F792" s="38"/>
      <c r="G792" s="38" t="s">
        <v>670</v>
      </c>
      <c r="H792" s="38" t="s">
        <v>41</v>
      </c>
      <c r="I792" s="38" t="s">
        <v>809</v>
      </c>
      <c r="J792" s="38" t="s">
        <v>2953</v>
      </c>
      <c r="K792" s="170" t="s">
        <v>2954</v>
      </c>
      <c r="L792" s="38"/>
      <c r="M792" s="38" t="s">
        <v>113</v>
      </c>
      <c r="N792" s="38"/>
      <c r="O792" s="132">
        <v>44267</v>
      </c>
      <c r="P792" s="38"/>
      <c r="Q792" s="60"/>
      <c r="R792" s="60"/>
    </row>
    <row r="793" spans="1:27" s="152" customFormat="1" ht="13.25" customHeight="1" x14ac:dyDescent="0.25">
      <c r="A793" s="152" t="s">
        <v>2936</v>
      </c>
      <c r="B793" s="152" t="s">
        <v>661</v>
      </c>
      <c r="C793" s="38" t="s">
        <v>2530</v>
      </c>
      <c r="D793" s="38" t="s">
        <v>13</v>
      </c>
      <c r="E793" s="38" t="s">
        <v>3200</v>
      </c>
      <c r="F793" s="38"/>
      <c r="G793" s="38" t="s">
        <v>41</v>
      </c>
      <c r="H793" s="38" t="s">
        <v>3173</v>
      </c>
      <c r="I793" s="38" t="s">
        <v>670</v>
      </c>
      <c r="J793" s="38" t="s">
        <v>2955</v>
      </c>
      <c r="K793" s="101" t="s">
        <v>2956</v>
      </c>
      <c r="L793" s="38"/>
      <c r="M793" s="38" t="s">
        <v>113</v>
      </c>
      <c r="N793" s="38"/>
      <c r="O793" s="132">
        <v>44267</v>
      </c>
      <c r="P793" s="38"/>
      <c r="Q793" s="60"/>
      <c r="R793" s="60"/>
    </row>
    <row r="794" spans="1:27" s="152" customFormat="1" ht="13.25" customHeight="1" x14ac:dyDescent="0.25">
      <c r="A794" s="152" t="s">
        <v>2937</v>
      </c>
      <c r="B794" s="152" t="s">
        <v>661</v>
      </c>
      <c r="C794" s="38" t="s">
        <v>2530</v>
      </c>
      <c r="D794" s="38" t="s">
        <v>13</v>
      </c>
      <c r="E794" s="38" t="s">
        <v>14</v>
      </c>
      <c r="F794" s="38"/>
      <c r="G794" s="38" t="s">
        <v>3173</v>
      </c>
      <c r="H794" s="38" t="s">
        <v>25</v>
      </c>
      <c r="I794" s="38"/>
      <c r="J794" s="38" t="s">
        <v>2957</v>
      </c>
      <c r="K794" s="101" t="s">
        <v>2958</v>
      </c>
      <c r="L794" s="38"/>
      <c r="M794" s="38" t="s">
        <v>871</v>
      </c>
      <c r="N794" s="38" t="s">
        <v>2959</v>
      </c>
      <c r="O794" s="132">
        <v>44267</v>
      </c>
      <c r="P794" s="38"/>
      <c r="Q794" s="60"/>
      <c r="R794" s="60"/>
      <c r="U794" s="152" t="s">
        <v>3007</v>
      </c>
    </row>
    <row r="795" spans="1:27" s="152" customFormat="1" ht="13.25" customHeight="1" x14ac:dyDescent="0.25">
      <c r="A795" s="152" t="s">
        <v>2938</v>
      </c>
      <c r="B795" s="152" t="s">
        <v>661</v>
      </c>
      <c r="C795" s="38" t="s">
        <v>2530</v>
      </c>
      <c r="D795" s="38" t="s">
        <v>23</v>
      </c>
      <c r="E795" s="38" t="s">
        <v>3200</v>
      </c>
      <c r="F795" s="38"/>
      <c r="G795" s="38" t="s">
        <v>44</v>
      </c>
      <c r="H795" s="38"/>
      <c r="I795" s="38"/>
      <c r="J795" s="38" t="s">
        <v>2960</v>
      </c>
      <c r="K795" s="120" t="s">
        <v>2961</v>
      </c>
      <c r="L795" s="38"/>
      <c r="M795" s="38" t="s">
        <v>871</v>
      </c>
      <c r="N795" s="38"/>
      <c r="O795" s="132">
        <v>44267</v>
      </c>
      <c r="P795" s="38"/>
      <c r="Q795" s="60"/>
      <c r="R795" s="60"/>
      <c r="U795" s="152" t="s">
        <v>3006</v>
      </c>
    </row>
    <row r="796" spans="1:27" s="152" customFormat="1" ht="13.25" customHeight="1" x14ac:dyDescent="0.25">
      <c r="A796" s="152" t="s">
        <v>3154</v>
      </c>
      <c r="B796" s="152" t="s">
        <v>661</v>
      </c>
      <c r="C796" s="38" t="s">
        <v>22</v>
      </c>
      <c r="D796" s="38" t="s">
        <v>13</v>
      </c>
      <c r="E796" s="38" t="s">
        <v>258</v>
      </c>
      <c r="F796" s="38"/>
      <c r="G796" s="38" t="s">
        <v>670</v>
      </c>
      <c r="H796" s="38"/>
      <c r="I796" s="38"/>
      <c r="J796" s="38" t="s">
        <v>2965</v>
      </c>
      <c r="K796" s="120" t="s">
        <v>2966</v>
      </c>
      <c r="L796" s="38"/>
      <c r="M796" s="38" t="s">
        <v>113</v>
      </c>
      <c r="N796" s="38"/>
      <c r="O796" s="132">
        <v>44267</v>
      </c>
      <c r="P796" s="38"/>
      <c r="Q796" s="60"/>
      <c r="R796" s="60"/>
    </row>
    <row r="797" spans="1:27" s="152" customFormat="1" ht="13.25" customHeight="1" x14ac:dyDescent="0.25">
      <c r="A797" s="38" t="s">
        <v>2962</v>
      </c>
      <c r="B797" s="38" t="s">
        <v>661</v>
      </c>
      <c r="C797" s="38" t="s">
        <v>2530</v>
      </c>
      <c r="D797" s="38" t="s">
        <v>23</v>
      </c>
      <c r="E797" s="38" t="s">
        <v>3200</v>
      </c>
      <c r="F797" s="38"/>
      <c r="G797" s="38" t="s">
        <v>3173</v>
      </c>
      <c r="H797" s="38"/>
      <c r="I797" s="38"/>
      <c r="J797" s="38" t="s">
        <v>2970</v>
      </c>
      <c r="K797" s="101" t="s">
        <v>2971</v>
      </c>
      <c r="L797" s="38"/>
      <c r="M797" s="38" t="s">
        <v>113</v>
      </c>
      <c r="N797" s="38"/>
      <c r="O797" s="190">
        <v>44267</v>
      </c>
      <c r="P797" s="38"/>
      <c r="Q797" s="60"/>
      <c r="R797" s="60"/>
      <c r="S797" s="38"/>
      <c r="T797" s="38"/>
      <c r="U797" s="38"/>
      <c r="V797" s="38"/>
      <c r="X797" s="38"/>
      <c r="Y797" s="38"/>
      <c r="Z797" s="38"/>
      <c r="AA797" s="38"/>
    </row>
    <row r="798" spans="1:27" s="152" customFormat="1" ht="13.25" customHeight="1" x14ac:dyDescent="0.25">
      <c r="A798" s="38" t="s">
        <v>2963</v>
      </c>
      <c r="B798" s="38" t="s">
        <v>661</v>
      </c>
      <c r="C798" s="38" t="s">
        <v>2530</v>
      </c>
      <c r="D798" s="38" t="s">
        <v>23</v>
      </c>
      <c r="E798" s="38" t="s">
        <v>3200</v>
      </c>
      <c r="F798" s="38"/>
      <c r="G798" s="38" t="s">
        <v>44</v>
      </c>
      <c r="H798" s="38"/>
      <c r="I798" s="38"/>
      <c r="J798" s="38" t="s">
        <v>2967</v>
      </c>
      <c r="K798" s="101" t="s">
        <v>2974</v>
      </c>
      <c r="L798" s="38"/>
      <c r="M798" s="38" t="s">
        <v>113</v>
      </c>
      <c r="N798" s="38"/>
      <c r="O798" s="190">
        <v>44267</v>
      </c>
      <c r="P798" s="38"/>
      <c r="Q798" s="60"/>
      <c r="R798" s="60"/>
    </row>
    <row r="799" spans="1:27" s="152" customFormat="1" ht="13.25" customHeight="1" x14ac:dyDescent="0.25">
      <c r="A799" s="153" t="s">
        <v>2964</v>
      </c>
      <c r="B799" s="153" t="s">
        <v>661</v>
      </c>
      <c r="C799" s="153" t="s">
        <v>12</v>
      </c>
      <c r="D799" s="153" t="s">
        <v>13</v>
      </c>
      <c r="E799" s="153" t="s">
        <v>36</v>
      </c>
      <c r="F799" s="153"/>
      <c r="G799" s="153" t="s">
        <v>25</v>
      </c>
      <c r="H799" s="153" t="s">
        <v>3173</v>
      </c>
      <c r="I799" s="153"/>
      <c r="J799" s="153" t="s">
        <v>2968</v>
      </c>
      <c r="K799" s="100" t="s">
        <v>2969</v>
      </c>
      <c r="L799" s="153"/>
      <c r="M799" s="153" t="s">
        <v>871</v>
      </c>
      <c r="N799" s="153"/>
      <c r="O799" s="191">
        <v>44267</v>
      </c>
      <c r="P799" s="153"/>
      <c r="Q799" s="49"/>
      <c r="R799" s="49"/>
      <c r="U799" s="152" t="s">
        <v>3008</v>
      </c>
    </row>
    <row r="800" spans="1:27" ht="13.25" customHeight="1" x14ac:dyDescent="0.25">
      <c r="A800" s="31" t="s">
        <v>820</v>
      </c>
      <c r="B800" s="31" t="s">
        <v>662</v>
      </c>
      <c r="C800" s="31" t="s">
        <v>30</v>
      </c>
      <c r="D800" s="31" t="s">
        <v>23</v>
      </c>
      <c r="E800" s="31" t="s">
        <v>3200</v>
      </c>
      <c r="F800" s="48"/>
      <c r="G800" s="31" t="s">
        <v>41</v>
      </c>
      <c r="J800" s="31" t="s">
        <v>821</v>
      </c>
      <c r="M800" s="31" t="s">
        <v>113</v>
      </c>
      <c r="Q800" s="31"/>
      <c r="R800" s="48" t="str">
        <f>IFERROR(Q800/VLOOKUP(P800,'Exchange rates to USD'!$L$2:$N$225,3,FALSE),"")</f>
        <v/>
      </c>
      <c r="S800" s="38"/>
      <c r="T800" s="38"/>
      <c r="U800" s="38"/>
      <c r="V800" s="38"/>
      <c r="W800" s="152"/>
      <c r="X800" s="38"/>
      <c r="Y800" s="38"/>
      <c r="Z800" s="38"/>
      <c r="AA800" s="38"/>
    </row>
    <row r="801" spans="1:23" ht="13.25" customHeight="1" x14ac:dyDescent="0.25">
      <c r="A801" s="31" t="s">
        <v>822</v>
      </c>
      <c r="B801" s="31" t="s">
        <v>662</v>
      </c>
      <c r="C801" s="31" t="s">
        <v>30</v>
      </c>
      <c r="D801" s="31" t="s">
        <v>23</v>
      </c>
      <c r="E801" s="31" t="s">
        <v>3200</v>
      </c>
      <c r="F801" s="48"/>
      <c r="G801" s="31" t="s">
        <v>41</v>
      </c>
      <c r="J801" s="31" t="s">
        <v>823</v>
      </c>
      <c r="K801" s="31" t="s">
        <v>824</v>
      </c>
      <c r="M801" s="31" t="s">
        <v>113</v>
      </c>
      <c r="Q801" s="31"/>
      <c r="R801" s="48" t="str">
        <f>IFERROR(Q801/VLOOKUP(P801,'Exchange rates to USD'!$L$2:$N$225,3,FALSE),"")</f>
        <v/>
      </c>
      <c r="W801" s="152"/>
    </row>
    <row r="802" spans="1:23" ht="13.25" customHeight="1" x14ac:dyDescent="0.25">
      <c r="A802" s="31" t="s">
        <v>825</v>
      </c>
      <c r="B802" s="31" t="s">
        <v>662</v>
      </c>
      <c r="C802" s="31" t="s">
        <v>30</v>
      </c>
      <c r="D802" s="31" t="s">
        <v>23</v>
      </c>
      <c r="E802" s="31" t="s">
        <v>3200</v>
      </c>
      <c r="F802" s="48"/>
      <c r="G802" s="31" t="s">
        <v>41</v>
      </c>
      <c r="J802" s="31" t="s">
        <v>826</v>
      </c>
      <c r="M802" s="31" t="s">
        <v>737</v>
      </c>
      <c r="Q802" s="31"/>
      <c r="R802" s="48" t="str">
        <f>IFERROR(Q802/VLOOKUP(P802,'Exchange rates to USD'!$L$2:$N$225,3,FALSE),"")</f>
        <v/>
      </c>
      <c r="T802" s="50"/>
      <c r="W802" s="152"/>
    </row>
    <row r="803" spans="1:23" ht="13.25" customHeight="1" x14ac:dyDescent="0.25">
      <c r="A803" s="31" t="s">
        <v>827</v>
      </c>
      <c r="B803" s="31" t="s">
        <v>662</v>
      </c>
      <c r="C803" s="31" t="s">
        <v>22</v>
      </c>
      <c r="D803" s="31" t="s">
        <v>13</v>
      </c>
      <c r="E803" s="31" t="s">
        <v>161</v>
      </c>
      <c r="F803" s="48">
        <v>7730637814</v>
      </c>
      <c r="G803" s="31" t="s">
        <v>3173</v>
      </c>
      <c r="J803" s="31" t="s">
        <v>828</v>
      </c>
      <c r="K803" s="31" t="s">
        <v>829</v>
      </c>
      <c r="M803" s="31" t="s">
        <v>871</v>
      </c>
      <c r="P803" s="31" t="s">
        <v>1270</v>
      </c>
      <c r="Q803" s="48">
        <v>7730.6378139999997</v>
      </c>
      <c r="R803" s="48">
        <f>IFERROR(Q803/VLOOKUP(P803,'Exchange rates to USD'!$L$2:$N$225,3,FALSE),"")</f>
        <v>7730.6378139999997</v>
      </c>
      <c r="T803" s="50"/>
      <c r="W803" s="152"/>
    </row>
    <row r="804" spans="1:23" ht="13.25" customHeight="1" x14ac:dyDescent="0.25">
      <c r="A804" s="31" t="s">
        <v>830</v>
      </c>
      <c r="B804" s="31" t="s">
        <v>662</v>
      </c>
      <c r="C804" s="31" t="s">
        <v>2530</v>
      </c>
      <c r="D804" s="31" t="s">
        <v>23</v>
      </c>
      <c r="E804" s="31" t="s">
        <v>3200</v>
      </c>
      <c r="F804" s="48">
        <v>1423690206</v>
      </c>
      <c r="G804" s="31" t="s">
        <v>3173</v>
      </c>
      <c r="H804" s="31" t="s">
        <v>25</v>
      </c>
      <c r="I804" s="31" t="s">
        <v>41</v>
      </c>
      <c r="J804" s="31" t="s">
        <v>831</v>
      </c>
      <c r="K804" s="31" t="s">
        <v>832</v>
      </c>
      <c r="M804" s="31" t="s">
        <v>113</v>
      </c>
      <c r="P804" s="31" t="s">
        <v>1270</v>
      </c>
      <c r="Q804" s="48">
        <v>1423.690206</v>
      </c>
      <c r="R804" s="48">
        <f>IFERROR(Q804/VLOOKUP(P804,'Exchange rates to USD'!$L$2:$N$225,3,FALSE),"")</f>
        <v>1423.690206</v>
      </c>
      <c r="T804" s="50"/>
      <c r="W804" s="152"/>
    </row>
    <row r="805" spans="1:23" ht="13.25" customHeight="1" x14ac:dyDescent="0.25">
      <c r="A805" s="31" t="s">
        <v>833</v>
      </c>
      <c r="B805" s="31" t="s">
        <v>662</v>
      </c>
      <c r="C805" s="31" t="s">
        <v>22</v>
      </c>
      <c r="D805" s="31" t="s">
        <v>13</v>
      </c>
      <c r="E805" s="31" t="s">
        <v>14</v>
      </c>
      <c r="F805" s="48">
        <v>8542141231</v>
      </c>
      <c r="G805" s="31" t="s">
        <v>3173</v>
      </c>
      <c r="J805" s="31" t="s">
        <v>834</v>
      </c>
      <c r="K805" s="31" t="s">
        <v>835</v>
      </c>
      <c r="M805" s="31" t="s">
        <v>113</v>
      </c>
      <c r="P805" s="31" t="s">
        <v>1270</v>
      </c>
      <c r="Q805" s="48">
        <v>8542.1412309999996</v>
      </c>
      <c r="R805" s="48">
        <f>IFERROR(Q805/VLOOKUP(P805,'Exchange rates to USD'!$L$2:$N$225,3,FALSE),"")</f>
        <v>8542.1412309999996</v>
      </c>
      <c r="T805" s="50"/>
      <c r="W805" s="152"/>
    </row>
    <row r="806" spans="1:23" ht="13.25" customHeight="1" x14ac:dyDescent="0.25">
      <c r="A806" s="31" t="s">
        <v>836</v>
      </c>
      <c r="B806" s="31" t="s">
        <v>662</v>
      </c>
      <c r="C806" s="31" t="s">
        <v>2530</v>
      </c>
      <c r="D806" s="31" t="s">
        <v>13</v>
      </c>
      <c r="E806" s="31" t="s">
        <v>14</v>
      </c>
      <c r="F806" s="48">
        <v>0</v>
      </c>
      <c r="G806" s="31" t="s">
        <v>3173</v>
      </c>
      <c r="H806" s="31" t="s">
        <v>25</v>
      </c>
      <c r="J806" s="31" t="s">
        <v>837</v>
      </c>
      <c r="M806" s="31" t="s">
        <v>101</v>
      </c>
      <c r="Q806" s="48">
        <v>0</v>
      </c>
      <c r="R806" s="48" t="str">
        <f>IFERROR(Q806/VLOOKUP(P806,'Exchange rates to USD'!$L$2:$N$225,3,FALSE),"")</f>
        <v/>
      </c>
      <c r="T806" s="50"/>
      <c r="W806" s="152"/>
    </row>
    <row r="807" spans="1:23" ht="13.25" customHeight="1" x14ac:dyDescent="0.25">
      <c r="A807" s="31" t="s">
        <v>838</v>
      </c>
      <c r="B807" s="31" t="s">
        <v>662</v>
      </c>
      <c r="C807" s="31" t="s">
        <v>2531</v>
      </c>
      <c r="D807" s="31" t="s">
        <v>13</v>
      </c>
      <c r="E807" s="31" t="s">
        <v>36</v>
      </c>
      <c r="F807" s="48">
        <v>0</v>
      </c>
      <c r="G807" s="31" t="s">
        <v>3173</v>
      </c>
      <c r="J807" s="31" t="s">
        <v>839</v>
      </c>
      <c r="M807" s="31" t="s">
        <v>101</v>
      </c>
      <c r="Q807" s="48">
        <v>0</v>
      </c>
      <c r="R807" s="48" t="str">
        <f>IFERROR(Q807/VLOOKUP(P807,'Exchange rates to USD'!$L$2:$N$225,3,FALSE),"")</f>
        <v/>
      </c>
      <c r="T807" s="50"/>
      <c r="W807" s="152"/>
    </row>
    <row r="808" spans="1:23" ht="13.25" customHeight="1" x14ac:dyDescent="0.25">
      <c r="A808" s="31" t="s">
        <v>840</v>
      </c>
      <c r="B808" s="31" t="s">
        <v>662</v>
      </c>
      <c r="C808" s="31" t="s">
        <v>2530</v>
      </c>
      <c r="D808" s="31" t="s">
        <v>13</v>
      </c>
      <c r="E808" s="31" t="s">
        <v>14</v>
      </c>
      <c r="F808" s="48">
        <v>0</v>
      </c>
      <c r="G808" s="31" t="s">
        <v>3173</v>
      </c>
      <c r="J808" s="31" t="s">
        <v>841</v>
      </c>
      <c r="K808" s="31" t="s">
        <v>842</v>
      </c>
      <c r="M808" s="31" t="s">
        <v>113</v>
      </c>
      <c r="Q808" s="48">
        <v>0</v>
      </c>
      <c r="R808" s="48" t="str">
        <f>IFERROR(Q808/VLOOKUP(P808,'Exchange rates to USD'!$L$2:$N$225,3,FALSE),"")</f>
        <v/>
      </c>
      <c r="T808" s="50"/>
      <c r="W808" s="152"/>
    </row>
    <row r="809" spans="1:23" ht="13.25" customHeight="1" x14ac:dyDescent="0.25">
      <c r="A809" s="31" t="s">
        <v>843</v>
      </c>
      <c r="B809" s="31" t="s">
        <v>662</v>
      </c>
      <c r="C809" s="31" t="s">
        <v>2531</v>
      </c>
      <c r="D809" s="31" t="s">
        <v>13</v>
      </c>
      <c r="E809" s="31" t="s">
        <v>36</v>
      </c>
      <c r="F809" s="48">
        <v>0</v>
      </c>
      <c r="G809" s="31" t="s">
        <v>3173</v>
      </c>
      <c r="J809" s="31" t="s">
        <v>844</v>
      </c>
      <c r="K809" s="31" t="s">
        <v>845</v>
      </c>
      <c r="M809" s="31" t="s">
        <v>101</v>
      </c>
      <c r="Q809" s="48">
        <v>0</v>
      </c>
      <c r="R809" s="48" t="str">
        <f>IFERROR(Q809/VLOOKUP(P809,'Exchange rates to USD'!$L$2:$N$225,3,FALSE),"")</f>
        <v/>
      </c>
      <c r="T809" s="50"/>
      <c r="W809" s="152"/>
    </row>
    <row r="810" spans="1:23" ht="13.25" customHeight="1" x14ac:dyDescent="0.25">
      <c r="A810" s="31" t="s">
        <v>846</v>
      </c>
      <c r="B810" s="31" t="s">
        <v>662</v>
      </c>
      <c r="C810" s="31" t="s">
        <v>2530</v>
      </c>
      <c r="D810" s="31" t="s">
        <v>13</v>
      </c>
      <c r="E810" s="31" t="s">
        <v>14</v>
      </c>
      <c r="F810" s="48">
        <v>465119590</v>
      </c>
      <c r="G810" s="31" t="s">
        <v>3173</v>
      </c>
      <c r="J810" s="31" t="s">
        <v>847</v>
      </c>
      <c r="M810" s="31" t="s">
        <v>101</v>
      </c>
      <c r="P810" s="31" t="s">
        <v>1270</v>
      </c>
      <c r="Q810" s="48">
        <v>465.11959000000002</v>
      </c>
      <c r="R810" s="48">
        <f>IFERROR(Q810/VLOOKUP(P810,'Exchange rates to USD'!$L$2:$N$225,3,FALSE),"")</f>
        <v>465.11959000000002</v>
      </c>
      <c r="T810" s="50"/>
      <c r="W810" s="152"/>
    </row>
    <row r="811" spans="1:23" ht="13.25" customHeight="1" x14ac:dyDescent="0.25">
      <c r="A811" s="31" t="s">
        <v>848</v>
      </c>
      <c r="B811" s="31" t="s">
        <v>662</v>
      </c>
      <c r="C811" s="31" t="s">
        <v>22</v>
      </c>
      <c r="D811" s="31" t="s">
        <v>13</v>
      </c>
      <c r="E811" s="31" t="s">
        <v>172</v>
      </c>
      <c r="F811" s="48">
        <v>3522535194</v>
      </c>
      <c r="G811" s="31" t="s">
        <v>3173</v>
      </c>
      <c r="J811" s="31" t="s">
        <v>849</v>
      </c>
      <c r="K811" s="31" t="s">
        <v>850</v>
      </c>
      <c r="M811" s="31" t="s">
        <v>101</v>
      </c>
      <c r="P811" s="31" t="s">
        <v>1270</v>
      </c>
      <c r="Q811" s="48">
        <v>3522.535194</v>
      </c>
      <c r="R811" s="48">
        <f>IFERROR(Q811/VLOOKUP(P811,'Exchange rates to USD'!$L$2:$N$225,3,FALSE),"")</f>
        <v>3522.535194</v>
      </c>
      <c r="T811" s="50"/>
      <c r="W811" s="152"/>
    </row>
    <row r="812" spans="1:23" ht="13.25" customHeight="1" x14ac:dyDescent="0.25">
      <c r="A812" s="31" t="s">
        <v>851</v>
      </c>
      <c r="B812" s="31" t="s">
        <v>662</v>
      </c>
      <c r="C812" s="31" t="s">
        <v>30</v>
      </c>
      <c r="D812" s="31" t="s">
        <v>13</v>
      </c>
      <c r="E812" s="31" t="s">
        <v>14</v>
      </c>
      <c r="F812" s="48">
        <v>0</v>
      </c>
      <c r="G812" s="31" t="s">
        <v>3173</v>
      </c>
      <c r="J812" s="31" t="s">
        <v>852</v>
      </c>
      <c r="K812" s="31" t="s">
        <v>853</v>
      </c>
      <c r="M812" s="31" t="s">
        <v>101</v>
      </c>
      <c r="Q812" s="48">
        <v>0</v>
      </c>
      <c r="R812" s="48" t="str">
        <f>IFERROR(Q812/VLOOKUP(P812,'Exchange rates to USD'!$L$2:$N$225,3,FALSE),"")</f>
        <v/>
      </c>
      <c r="T812" s="50"/>
      <c r="W812" s="152"/>
    </row>
    <row r="813" spans="1:23" x14ac:dyDescent="0.25">
      <c r="A813" s="31" t="s">
        <v>854</v>
      </c>
      <c r="B813" s="31" t="s">
        <v>662</v>
      </c>
      <c r="C813" s="31" t="s">
        <v>30</v>
      </c>
      <c r="D813" s="31" t="s">
        <v>13</v>
      </c>
      <c r="E813" s="31" t="s">
        <v>98</v>
      </c>
      <c r="F813" s="48">
        <v>0</v>
      </c>
      <c r="G813" s="31" t="s">
        <v>3173</v>
      </c>
      <c r="J813" s="31" t="s">
        <v>855</v>
      </c>
      <c r="K813" s="31" t="s">
        <v>856</v>
      </c>
      <c r="M813" s="31" t="s">
        <v>101</v>
      </c>
      <c r="Q813" s="48">
        <v>0</v>
      </c>
      <c r="R813" s="48" t="str">
        <f>IFERROR(Q813/VLOOKUP(P813,'Exchange rates to USD'!$L$2:$N$225,3,FALSE),"")</f>
        <v/>
      </c>
      <c r="T813" s="50"/>
      <c r="W813" s="152"/>
    </row>
    <row r="814" spans="1:23" ht="13.25" customHeight="1" x14ac:dyDescent="0.25">
      <c r="A814" s="31" t="s">
        <v>857</v>
      </c>
      <c r="B814" s="31" t="s">
        <v>662</v>
      </c>
      <c r="C814" s="31" t="s">
        <v>22</v>
      </c>
      <c r="D814" s="31" t="s">
        <v>13</v>
      </c>
      <c r="E814" s="31" t="s">
        <v>36</v>
      </c>
      <c r="F814" s="48">
        <v>14236902051</v>
      </c>
      <c r="G814" s="31" t="s">
        <v>3173</v>
      </c>
      <c r="H814" s="31" t="s">
        <v>670</v>
      </c>
      <c r="J814" s="31" t="s">
        <v>858</v>
      </c>
      <c r="K814" s="31" t="s">
        <v>859</v>
      </c>
      <c r="M814" s="31" t="s">
        <v>113</v>
      </c>
      <c r="P814" s="31" t="s">
        <v>1270</v>
      </c>
      <c r="Q814" s="48">
        <v>14236.902050999999</v>
      </c>
      <c r="R814" s="48">
        <f>IFERROR(Q814/VLOOKUP(P814,'Exchange rates to USD'!$L$2:$N$225,3,FALSE),"")</f>
        <v>14236.902050999999</v>
      </c>
      <c r="T814" s="50"/>
      <c r="W814" s="152"/>
    </row>
    <row r="815" spans="1:23" ht="13.25" customHeight="1" x14ac:dyDescent="0.25">
      <c r="A815" s="31" t="s">
        <v>860</v>
      </c>
      <c r="B815" s="31" t="s">
        <v>662</v>
      </c>
      <c r="C815" s="31" t="s">
        <v>2531</v>
      </c>
      <c r="D815" s="31" t="s">
        <v>13</v>
      </c>
      <c r="E815" s="31" t="s">
        <v>36</v>
      </c>
      <c r="F815" s="48">
        <v>0</v>
      </c>
      <c r="G815" s="31" t="s">
        <v>3173</v>
      </c>
      <c r="H815" s="31" t="s">
        <v>25</v>
      </c>
      <c r="J815" s="31" t="s">
        <v>861</v>
      </c>
      <c r="K815" s="31" t="s">
        <v>862</v>
      </c>
      <c r="M815" s="31" t="s">
        <v>113</v>
      </c>
      <c r="Q815" s="48">
        <v>0</v>
      </c>
      <c r="R815" s="48" t="str">
        <f>IFERROR(Q815/VLOOKUP(P815,'Exchange rates to USD'!$L$2:$N$225,3,FALSE),"")</f>
        <v/>
      </c>
      <c r="T815" s="50"/>
      <c r="W815" s="152"/>
    </row>
    <row r="816" spans="1:23" ht="13.25" customHeight="1" x14ac:dyDescent="0.25">
      <c r="A816" s="31" t="s">
        <v>863</v>
      </c>
      <c r="B816" s="31" t="s">
        <v>662</v>
      </c>
      <c r="C816" s="31" t="s">
        <v>2531</v>
      </c>
      <c r="D816" s="31" t="s">
        <v>13</v>
      </c>
      <c r="E816" s="31" t="s">
        <v>36</v>
      </c>
      <c r="F816" s="48">
        <v>1608769932</v>
      </c>
      <c r="G816" s="31" t="s">
        <v>3173</v>
      </c>
      <c r="H816" s="31" t="s">
        <v>25</v>
      </c>
      <c r="J816" s="31" t="s">
        <v>864</v>
      </c>
      <c r="K816" s="31" t="s">
        <v>865</v>
      </c>
      <c r="M816" s="31" t="s">
        <v>113</v>
      </c>
      <c r="P816" s="31" t="s">
        <v>1270</v>
      </c>
      <c r="Q816" s="48">
        <v>1608.7699319999999</v>
      </c>
      <c r="R816" s="48">
        <f>IFERROR(Q816/VLOOKUP(P816,'Exchange rates to USD'!$L$2:$N$225,3,FALSE),"")</f>
        <v>1608.7699319999999</v>
      </c>
      <c r="T816" s="50"/>
      <c r="W816" s="152"/>
    </row>
    <row r="817" spans="1:23" ht="13.25" customHeight="1" x14ac:dyDescent="0.25">
      <c r="A817" s="31" t="s">
        <v>866</v>
      </c>
      <c r="B817" s="31" t="s">
        <v>662</v>
      </c>
      <c r="C817" s="31" t="s">
        <v>2531</v>
      </c>
      <c r="D817" s="31" t="s">
        <v>13</v>
      </c>
      <c r="E817" s="31" t="s">
        <v>36</v>
      </c>
      <c r="F817" s="48">
        <v>1423690206</v>
      </c>
      <c r="G817" s="31" t="s">
        <v>3173</v>
      </c>
      <c r="H817" s="31" t="s">
        <v>25</v>
      </c>
      <c r="J817" s="31" t="s">
        <v>867</v>
      </c>
      <c r="K817" s="31" t="s">
        <v>868</v>
      </c>
      <c r="M817" s="31" t="s">
        <v>113</v>
      </c>
      <c r="P817" s="31" t="s">
        <v>1270</v>
      </c>
      <c r="Q817" s="48">
        <v>1423.690206</v>
      </c>
      <c r="R817" s="48">
        <f>IFERROR(Q817/VLOOKUP(P817,'Exchange rates to USD'!$L$2:$N$225,3,FALSE),"")</f>
        <v>1423.690206</v>
      </c>
      <c r="T817" s="50"/>
      <c r="W817" s="152"/>
    </row>
    <row r="818" spans="1:23" ht="13.25" customHeight="1" x14ac:dyDescent="0.25">
      <c r="A818" s="31" t="s">
        <v>2172</v>
      </c>
      <c r="B818" s="31" t="s">
        <v>662</v>
      </c>
      <c r="C818" s="31" t="s">
        <v>30</v>
      </c>
      <c r="D818" s="31" t="s">
        <v>13</v>
      </c>
      <c r="E818" s="31" t="s">
        <v>3200</v>
      </c>
      <c r="F818" s="48"/>
      <c r="G818" s="31" t="s">
        <v>809</v>
      </c>
      <c r="J818" s="31" t="s">
        <v>2173</v>
      </c>
      <c r="K818" s="31" t="s">
        <v>2174</v>
      </c>
      <c r="M818" s="31" t="s">
        <v>113</v>
      </c>
      <c r="Q818" s="48">
        <v>0</v>
      </c>
      <c r="R818" s="48" t="str">
        <f>IFERROR(Q818/VLOOKUP(P818,'Exchange rates to USD'!$L$2:$N$225,3,FALSE),"")</f>
        <v/>
      </c>
      <c r="T818" s="50"/>
      <c r="W818" s="152"/>
    </row>
    <row r="819" spans="1:23" ht="13.25" customHeight="1" x14ac:dyDescent="0.25">
      <c r="A819" s="31" t="s">
        <v>2175</v>
      </c>
      <c r="B819" s="31" t="s">
        <v>662</v>
      </c>
      <c r="C819" s="31" t="s">
        <v>110</v>
      </c>
      <c r="D819" s="31" t="s">
        <v>13</v>
      </c>
      <c r="E819" s="31" t="s">
        <v>36</v>
      </c>
      <c r="F819" s="48"/>
      <c r="G819" s="31" t="s">
        <v>3173</v>
      </c>
      <c r="H819" s="31" t="s">
        <v>25</v>
      </c>
      <c r="J819" s="31" t="s">
        <v>2176</v>
      </c>
      <c r="M819" s="31" t="s">
        <v>113</v>
      </c>
      <c r="Q819" s="48">
        <v>0</v>
      </c>
      <c r="R819" s="48" t="str">
        <f>IFERROR(Q819/VLOOKUP(P819,'Exchange rates to USD'!$L$2:$N$225,3,FALSE),"")</f>
        <v/>
      </c>
      <c r="T819" s="50"/>
      <c r="W819" s="152"/>
    </row>
    <row r="820" spans="1:23" ht="13.25" customHeight="1" x14ac:dyDescent="0.25">
      <c r="A820" s="31" t="s">
        <v>2177</v>
      </c>
      <c r="B820" s="31" t="s">
        <v>662</v>
      </c>
      <c r="C820" s="31" t="s">
        <v>30</v>
      </c>
      <c r="D820" s="31" t="s">
        <v>13</v>
      </c>
      <c r="E820" s="31" t="s">
        <v>88</v>
      </c>
      <c r="F820" s="48"/>
      <c r="G820" s="31" t="s">
        <v>41</v>
      </c>
      <c r="J820" s="31" t="s">
        <v>2178</v>
      </c>
      <c r="M820" s="31" t="s">
        <v>871</v>
      </c>
      <c r="Q820" s="48">
        <v>0</v>
      </c>
      <c r="R820" s="48" t="str">
        <f>IFERROR(Q820/VLOOKUP(P820,'Exchange rates to USD'!$L$2:$N$225,3,FALSE),"")</f>
        <v/>
      </c>
      <c r="T820" s="50"/>
      <c r="W820" s="152"/>
    </row>
    <row r="821" spans="1:23" ht="13.25" customHeight="1" x14ac:dyDescent="0.25">
      <c r="A821" s="31" t="s">
        <v>2179</v>
      </c>
      <c r="B821" s="31" t="s">
        <v>662</v>
      </c>
      <c r="C821" s="31" t="s">
        <v>2531</v>
      </c>
      <c r="D821" s="31" t="s">
        <v>13</v>
      </c>
      <c r="E821" s="31" t="s">
        <v>88</v>
      </c>
      <c r="F821" s="48"/>
      <c r="G821" s="31" t="s">
        <v>41</v>
      </c>
      <c r="J821" s="31" t="s">
        <v>2180</v>
      </c>
      <c r="K821" s="31" t="s">
        <v>2181</v>
      </c>
      <c r="M821" s="31" t="s">
        <v>737</v>
      </c>
      <c r="Q821" s="48">
        <v>0</v>
      </c>
      <c r="R821" s="48" t="str">
        <f>IFERROR(Q821/VLOOKUP(P821,'Exchange rates to USD'!$L$2:$N$225,3,FALSE),"")</f>
        <v/>
      </c>
      <c r="T821" s="50"/>
      <c r="W821" s="152"/>
    </row>
    <row r="822" spans="1:23" ht="13.25" customHeight="1" x14ac:dyDescent="0.25">
      <c r="A822" s="31" t="s">
        <v>2182</v>
      </c>
      <c r="B822" s="31" t="s">
        <v>662</v>
      </c>
      <c r="C822" s="31" t="s">
        <v>30</v>
      </c>
      <c r="D822" s="31" t="s">
        <v>39</v>
      </c>
      <c r="E822" s="31" t="s">
        <v>3200</v>
      </c>
      <c r="F822" s="48"/>
      <c r="G822" s="31" t="s">
        <v>3173</v>
      </c>
      <c r="J822" s="31" t="s">
        <v>2183</v>
      </c>
      <c r="K822" s="31" t="s">
        <v>2184</v>
      </c>
      <c r="M822" s="31" t="s">
        <v>737</v>
      </c>
      <c r="Q822" s="48">
        <v>0</v>
      </c>
      <c r="R822" s="48" t="str">
        <f>IFERROR(Q822/VLOOKUP(P822,'Exchange rates to USD'!$L$2:$N$225,3,FALSE),"")</f>
        <v/>
      </c>
      <c r="T822" s="50"/>
      <c r="W822" s="152"/>
    </row>
    <row r="823" spans="1:23" ht="13.25" customHeight="1" x14ac:dyDescent="0.25">
      <c r="A823" s="31" t="s">
        <v>2185</v>
      </c>
      <c r="B823" s="31" t="s">
        <v>662</v>
      </c>
      <c r="C823" s="31" t="s">
        <v>30</v>
      </c>
      <c r="D823" s="31" t="s">
        <v>13</v>
      </c>
      <c r="E823" s="31" t="s">
        <v>88</v>
      </c>
      <c r="F823" s="48"/>
      <c r="G823" s="31" t="s">
        <v>44</v>
      </c>
      <c r="J823" s="31" t="s">
        <v>2186</v>
      </c>
      <c r="K823" s="31" t="s">
        <v>2187</v>
      </c>
      <c r="M823" s="31" t="s">
        <v>101</v>
      </c>
      <c r="Q823" s="48">
        <v>0</v>
      </c>
      <c r="R823" s="48" t="str">
        <f>IFERROR(Q823/VLOOKUP(P823,'Exchange rates to USD'!$L$2:$N$225,3,FALSE),"")</f>
        <v/>
      </c>
      <c r="T823" s="50"/>
      <c r="W823" s="152"/>
    </row>
    <row r="824" spans="1:23" ht="13.25" customHeight="1" x14ac:dyDescent="0.25">
      <c r="A824" s="31" t="s">
        <v>2188</v>
      </c>
      <c r="B824" s="31" t="s">
        <v>662</v>
      </c>
      <c r="C824" s="31" t="s">
        <v>30</v>
      </c>
      <c r="D824" s="31" t="s">
        <v>13</v>
      </c>
      <c r="E824" s="31" t="s">
        <v>161</v>
      </c>
      <c r="F824" s="48"/>
      <c r="G824" s="31" t="s">
        <v>3173</v>
      </c>
      <c r="J824" s="31" t="s">
        <v>2189</v>
      </c>
      <c r="K824" s="31" t="s">
        <v>2190</v>
      </c>
      <c r="M824" s="31" t="s">
        <v>113</v>
      </c>
      <c r="Q824" s="48">
        <v>0</v>
      </c>
      <c r="R824" s="48" t="str">
        <f>IFERROR(Q824/VLOOKUP(P824,'Exchange rates to USD'!$L$2:$N$225,3,FALSE),"")</f>
        <v/>
      </c>
      <c r="T824" s="50"/>
      <c r="W824" s="152"/>
    </row>
    <row r="825" spans="1:23" ht="13.25" customHeight="1" x14ac:dyDescent="0.25">
      <c r="A825" s="31" t="s">
        <v>2191</v>
      </c>
      <c r="B825" s="31" t="s">
        <v>662</v>
      </c>
      <c r="C825" s="31" t="s">
        <v>30</v>
      </c>
      <c r="D825" s="31" t="s">
        <v>23</v>
      </c>
      <c r="E825" s="31" t="s">
        <v>3200</v>
      </c>
      <c r="F825" s="48"/>
      <c r="G825" s="31" t="s">
        <v>41</v>
      </c>
      <c r="J825" s="31" t="s">
        <v>2192</v>
      </c>
      <c r="K825" s="31" t="s">
        <v>2193</v>
      </c>
      <c r="M825" s="31" t="s">
        <v>737</v>
      </c>
      <c r="Q825" s="48">
        <v>0</v>
      </c>
      <c r="R825" s="48" t="str">
        <f>IFERROR(Q825/VLOOKUP(P825,'Exchange rates to USD'!$L$2:$N$225,3,FALSE),"")</f>
        <v/>
      </c>
      <c r="T825" s="50"/>
      <c r="W825" s="152"/>
    </row>
    <row r="826" spans="1:23" ht="13.25" customHeight="1" x14ac:dyDescent="0.25">
      <c r="A826" s="31" t="s">
        <v>2194</v>
      </c>
      <c r="B826" s="31" t="s">
        <v>662</v>
      </c>
      <c r="C826" s="31" t="s">
        <v>30</v>
      </c>
      <c r="D826" s="31" t="s">
        <v>23</v>
      </c>
      <c r="E826" s="31" t="s">
        <v>3200</v>
      </c>
      <c r="F826" s="48"/>
      <c r="G826" s="31" t="s">
        <v>3173</v>
      </c>
      <c r="H826" s="31" t="s">
        <v>670</v>
      </c>
      <c r="I826" s="31" t="s">
        <v>25</v>
      </c>
      <c r="J826" s="31" t="s">
        <v>2195</v>
      </c>
      <c r="K826" s="31" t="s">
        <v>2196</v>
      </c>
      <c r="M826" s="31" t="s">
        <v>737</v>
      </c>
      <c r="Q826" s="48">
        <v>0</v>
      </c>
      <c r="R826" s="48" t="str">
        <f>IFERROR(Q826/VLOOKUP(P826,'Exchange rates to USD'!$L$2:$N$225,3,FALSE),"")</f>
        <v/>
      </c>
      <c r="T826" s="50"/>
      <c r="W826" s="152"/>
    </row>
    <row r="827" spans="1:23" ht="13.25" customHeight="1" x14ac:dyDescent="0.25">
      <c r="A827" s="31" t="s">
        <v>2197</v>
      </c>
      <c r="B827" s="31" t="s">
        <v>662</v>
      </c>
      <c r="C827" s="31" t="s">
        <v>30</v>
      </c>
      <c r="D827" s="31" t="s">
        <v>23</v>
      </c>
      <c r="E827" s="31" t="s">
        <v>3200</v>
      </c>
      <c r="F827" s="48"/>
      <c r="G827" s="31" t="s">
        <v>809</v>
      </c>
      <c r="H827" s="31" t="s">
        <v>670</v>
      </c>
      <c r="J827" s="31" t="s">
        <v>2198</v>
      </c>
      <c r="K827" s="31" t="s">
        <v>2199</v>
      </c>
      <c r="M827" s="31" t="s">
        <v>113</v>
      </c>
      <c r="Q827" s="48">
        <v>0</v>
      </c>
      <c r="R827" s="48" t="str">
        <f>IFERROR(Q827/VLOOKUP(P827,'Exchange rates to USD'!$L$2:$N$225,3,FALSE),"")</f>
        <v/>
      </c>
      <c r="T827" s="50"/>
      <c r="W827" s="152"/>
    </row>
    <row r="828" spans="1:23" s="152" customFormat="1" ht="13.25" customHeight="1" x14ac:dyDescent="0.25">
      <c r="A828" s="38" t="s">
        <v>2200</v>
      </c>
      <c r="B828" s="38" t="s">
        <v>662</v>
      </c>
      <c r="C828" s="152" t="s">
        <v>2531</v>
      </c>
      <c r="D828" s="38" t="s">
        <v>23</v>
      </c>
      <c r="E828" s="38" t="s">
        <v>3200</v>
      </c>
      <c r="F828" s="48">
        <v>18280000</v>
      </c>
      <c r="G828" s="38" t="s">
        <v>809</v>
      </c>
      <c r="H828" s="38" t="s">
        <v>670</v>
      </c>
      <c r="I828" s="38"/>
      <c r="J828" s="38" t="s">
        <v>2201</v>
      </c>
      <c r="K828" s="38" t="s">
        <v>2202</v>
      </c>
      <c r="L828" s="38"/>
      <c r="M828" s="38" t="s">
        <v>113</v>
      </c>
      <c r="N828" s="38"/>
      <c r="O828" s="45"/>
      <c r="P828" s="38" t="s">
        <v>1270</v>
      </c>
      <c r="Q828" s="48">
        <v>18.28</v>
      </c>
      <c r="R828" s="48">
        <f>IFERROR(Q828/VLOOKUP(P828,'Exchange rates to USD'!$L$2:$N$225,3,FALSE),"")</f>
        <v>18.28</v>
      </c>
      <c r="T828" s="50"/>
    </row>
    <row r="829" spans="1:23" ht="13.25" customHeight="1" x14ac:dyDescent="0.25">
      <c r="A829" s="153" t="s">
        <v>3009</v>
      </c>
      <c r="B829" s="153" t="s">
        <v>662</v>
      </c>
      <c r="C829" s="153" t="s">
        <v>30</v>
      </c>
      <c r="D829" s="153" t="s">
        <v>13</v>
      </c>
      <c r="E829" s="153" t="s">
        <v>14</v>
      </c>
      <c r="F829" s="148">
        <v>8623</v>
      </c>
      <c r="G829" s="153" t="s">
        <v>3173</v>
      </c>
      <c r="H829" s="153" t="s">
        <v>25</v>
      </c>
      <c r="I829" s="153"/>
      <c r="J829" s="153" t="s">
        <v>3010</v>
      </c>
      <c r="K829" s="189" t="s">
        <v>3011</v>
      </c>
      <c r="L829" s="153"/>
      <c r="M829" s="153" t="s">
        <v>101</v>
      </c>
      <c r="N829" s="153"/>
      <c r="O829" s="43"/>
      <c r="P829" s="153" t="s">
        <v>2392</v>
      </c>
      <c r="Q829" s="148">
        <v>8.6229999999999993</v>
      </c>
      <c r="R829" s="148">
        <f>IFERROR(Q829/VLOOKUP(P829,'Exchange rates to USD'!$L$2:$N$225,3,FALSE),"")</f>
        <v>1.2499805039240781</v>
      </c>
      <c r="W829" s="152"/>
    </row>
    <row r="830" spans="1:23" ht="13.25" customHeight="1" x14ac:dyDescent="0.25">
      <c r="A830" s="31" t="s">
        <v>20</v>
      </c>
      <c r="B830" s="31" t="s">
        <v>663</v>
      </c>
      <c r="C830" s="31" t="s">
        <v>22</v>
      </c>
      <c r="D830" s="31" t="s">
        <v>23</v>
      </c>
      <c r="E830" s="31" t="s">
        <v>14</v>
      </c>
      <c r="F830" s="31" t="s">
        <v>2494</v>
      </c>
      <c r="G830" s="31" t="s">
        <v>25</v>
      </c>
      <c r="H830" s="31" t="s">
        <v>3173</v>
      </c>
      <c r="J830" s="31" t="s">
        <v>26</v>
      </c>
      <c r="K830" s="31" t="s">
        <v>27</v>
      </c>
      <c r="L830" s="31" t="s">
        <v>28</v>
      </c>
      <c r="M830" s="31" t="s">
        <v>871</v>
      </c>
      <c r="P830" s="31" t="s">
        <v>2393</v>
      </c>
      <c r="Q830" s="31">
        <v>900000</v>
      </c>
      <c r="R830" s="48">
        <f>IFERROR(Q830/VLOOKUP(P830,'Exchange rates to USD'!$L$2:$N$225,3,FALSE),"")</f>
        <v>13460.807946528672</v>
      </c>
      <c r="W830" s="152"/>
    </row>
    <row r="831" spans="1:23" ht="13.25" customHeight="1" x14ac:dyDescent="0.25">
      <c r="A831" s="31" t="s">
        <v>29</v>
      </c>
      <c r="B831" s="31" t="s">
        <v>663</v>
      </c>
      <c r="C831" s="31" t="s">
        <v>30</v>
      </c>
      <c r="D831" s="31" t="s">
        <v>13</v>
      </c>
      <c r="E831" s="31" t="s">
        <v>14</v>
      </c>
      <c r="F831" s="31" t="s">
        <v>31</v>
      </c>
      <c r="G831" s="31" t="s">
        <v>25</v>
      </c>
      <c r="H831" s="31" t="s">
        <v>3173</v>
      </c>
      <c r="J831" s="65" t="s">
        <v>32</v>
      </c>
      <c r="K831" s="31" t="s">
        <v>33</v>
      </c>
      <c r="L831" s="31" t="s">
        <v>34</v>
      </c>
      <c r="M831" s="31" t="s">
        <v>101</v>
      </c>
      <c r="P831" s="31" t="s">
        <v>2393</v>
      </c>
      <c r="Q831" s="31" t="s">
        <v>2326</v>
      </c>
      <c r="R831" s="48" t="str">
        <f>IFERROR(Q831/VLOOKUP(P831,'Exchange rates to USD'!$L$2:$N$225,3,FALSE),"")</f>
        <v/>
      </c>
      <c r="W831" s="152"/>
    </row>
    <row r="832" spans="1:23" ht="13.25" customHeight="1" x14ac:dyDescent="0.25">
      <c r="A832" s="31" t="s">
        <v>35</v>
      </c>
      <c r="B832" s="31" t="s">
        <v>663</v>
      </c>
      <c r="C832" s="31" t="s">
        <v>22</v>
      </c>
      <c r="D832" s="31" t="s">
        <v>13</v>
      </c>
      <c r="E832" s="31" t="s">
        <v>36</v>
      </c>
      <c r="F832" s="31" t="s">
        <v>2495</v>
      </c>
      <c r="G832" s="31" t="s">
        <v>25</v>
      </c>
      <c r="H832" s="31" t="s">
        <v>3173</v>
      </c>
      <c r="J832" s="31" t="s">
        <v>37</v>
      </c>
      <c r="M832" s="31" t="s">
        <v>101</v>
      </c>
      <c r="P832" s="31" t="s">
        <v>2393</v>
      </c>
      <c r="Q832" s="31">
        <v>500000</v>
      </c>
      <c r="R832" s="48">
        <f>IFERROR(Q832/VLOOKUP(P832,'Exchange rates to USD'!$L$2:$N$225,3,FALSE),"")</f>
        <v>7478.2266369603731</v>
      </c>
      <c r="W832" s="152"/>
    </row>
    <row r="833" spans="1:23" ht="13.25" customHeight="1" x14ac:dyDescent="0.25">
      <c r="A833" s="31" t="s">
        <v>38</v>
      </c>
      <c r="B833" s="31" t="s">
        <v>663</v>
      </c>
      <c r="C833" s="31" t="s">
        <v>2531</v>
      </c>
      <c r="D833" s="31" t="s">
        <v>39</v>
      </c>
      <c r="E833" s="31" t="s">
        <v>3200</v>
      </c>
      <c r="F833" s="115" t="s">
        <v>2496</v>
      </c>
      <c r="G833" s="31" t="s">
        <v>41</v>
      </c>
      <c r="J833" s="31" t="s">
        <v>42</v>
      </c>
      <c r="M833" s="31" t="s">
        <v>113</v>
      </c>
      <c r="P833" s="31" t="s">
        <v>2393</v>
      </c>
      <c r="Q833" s="31">
        <v>60000</v>
      </c>
      <c r="R833" s="48">
        <f>IFERROR(Q833/VLOOKUP(P833,'Exchange rates to USD'!$L$2:$N$225,3,FALSE),"")</f>
        <v>897.38719643524473</v>
      </c>
      <c r="W833" s="152"/>
    </row>
    <row r="834" spans="1:23" ht="13.25" customHeight="1" x14ac:dyDescent="0.25">
      <c r="A834" s="31" t="s">
        <v>43</v>
      </c>
      <c r="B834" s="31" t="s">
        <v>663</v>
      </c>
      <c r="C834" s="31" t="s">
        <v>22</v>
      </c>
      <c r="D834" s="31" t="s">
        <v>13</v>
      </c>
      <c r="E834" s="31" t="s">
        <v>3200</v>
      </c>
      <c r="F834" s="115" t="s">
        <v>2497</v>
      </c>
      <c r="G834" s="31" t="s">
        <v>41</v>
      </c>
      <c r="H834" s="31" t="s">
        <v>44</v>
      </c>
      <c r="J834" s="31" t="s">
        <v>45</v>
      </c>
      <c r="M834" s="31" t="s">
        <v>871</v>
      </c>
      <c r="P834" s="31" t="s">
        <v>2393</v>
      </c>
      <c r="Q834" s="31">
        <v>2000000</v>
      </c>
      <c r="R834" s="48">
        <f>IFERROR(Q834/VLOOKUP(P834,'Exchange rates to USD'!$L$2:$N$225,3,FALSE),"")</f>
        <v>29912.906547841492</v>
      </c>
      <c r="W834" s="152"/>
    </row>
    <row r="835" spans="1:23" ht="13.25" customHeight="1" x14ac:dyDescent="0.25">
      <c r="A835" s="31" t="s">
        <v>46</v>
      </c>
      <c r="B835" s="31" t="s">
        <v>663</v>
      </c>
      <c r="C835" s="31" t="s">
        <v>22</v>
      </c>
      <c r="D835" s="31" t="s">
        <v>13</v>
      </c>
      <c r="E835" s="31" t="s">
        <v>3200</v>
      </c>
      <c r="F835" s="115" t="s">
        <v>2498</v>
      </c>
      <c r="G835" s="31" t="s">
        <v>41</v>
      </c>
      <c r="J835" s="31" t="s">
        <v>47</v>
      </c>
      <c r="M835" s="31" t="s">
        <v>737</v>
      </c>
      <c r="P835" s="31" t="s">
        <v>2393</v>
      </c>
      <c r="Q835" s="32">
        <v>200000</v>
      </c>
      <c r="R835" s="48">
        <f>IFERROR(Q835/VLOOKUP(P835,'Exchange rates to USD'!$L$2:$N$225,3,FALSE),"")</f>
        <v>2991.290654784149</v>
      </c>
      <c r="W835" s="152"/>
    </row>
    <row r="836" spans="1:23" ht="13.25" customHeight="1" x14ac:dyDescent="0.25">
      <c r="A836" s="31" t="s">
        <v>48</v>
      </c>
      <c r="B836" s="31" t="s">
        <v>663</v>
      </c>
      <c r="C836" s="31" t="s">
        <v>30</v>
      </c>
      <c r="D836" s="31" t="s">
        <v>23</v>
      </c>
      <c r="E836" s="31" t="s">
        <v>3200</v>
      </c>
      <c r="F836" s="115" t="s">
        <v>31</v>
      </c>
      <c r="G836" s="31" t="s">
        <v>3173</v>
      </c>
      <c r="H836" s="31" t="s">
        <v>44</v>
      </c>
      <c r="J836" s="31" t="s">
        <v>49</v>
      </c>
      <c r="K836" s="31" t="s">
        <v>50</v>
      </c>
      <c r="M836" s="31" t="s">
        <v>101</v>
      </c>
      <c r="P836" s="31" t="s">
        <v>2393</v>
      </c>
      <c r="Q836" s="32" t="s">
        <v>2326</v>
      </c>
      <c r="R836" s="48" t="str">
        <f>IFERROR(Q836/VLOOKUP(P836,'Exchange rates to USD'!$L$2:$N$225,3,FALSE),"")</f>
        <v/>
      </c>
      <c r="W836" s="152"/>
    </row>
    <row r="837" spans="1:23" ht="13.25" customHeight="1" x14ac:dyDescent="0.25">
      <c r="A837" s="31" t="s">
        <v>2203</v>
      </c>
      <c r="B837" s="31" t="s">
        <v>663</v>
      </c>
      <c r="C837" s="31" t="s">
        <v>2531</v>
      </c>
      <c r="D837" s="31" t="s">
        <v>13</v>
      </c>
      <c r="E837" s="31" t="s">
        <v>14</v>
      </c>
      <c r="F837" s="115" t="s">
        <v>2499</v>
      </c>
      <c r="G837" s="31" t="s">
        <v>25</v>
      </c>
      <c r="H837" s="31" t="s">
        <v>44</v>
      </c>
      <c r="J837" s="31" t="s">
        <v>2204</v>
      </c>
      <c r="K837" s="31" t="s">
        <v>2205</v>
      </c>
      <c r="M837" s="31" t="s">
        <v>871</v>
      </c>
      <c r="P837" s="31" t="s">
        <v>2393</v>
      </c>
      <c r="Q837" s="32">
        <v>97000</v>
      </c>
      <c r="R837" s="48">
        <f>IFERROR(Q837/VLOOKUP(P837,'Exchange rates to USD'!$L$2:$N$225,3,FALSE),"")</f>
        <v>1450.7759675703123</v>
      </c>
      <c r="W837" s="152"/>
    </row>
    <row r="838" spans="1:23" ht="13.25" customHeight="1" x14ac:dyDescent="0.25">
      <c r="A838" s="31" t="s">
        <v>2206</v>
      </c>
      <c r="B838" s="31" t="s">
        <v>663</v>
      </c>
      <c r="C838" s="31" t="s">
        <v>2531</v>
      </c>
      <c r="D838" s="31" t="s">
        <v>23</v>
      </c>
      <c r="E838" s="31" t="s">
        <v>36</v>
      </c>
      <c r="F838" s="115" t="s">
        <v>31</v>
      </c>
      <c r="G838" s="31" t="s">
        <v>25</v>
      </c>
      <c r="J838" s="31" t="s">
        <v>2207</v>
      </c>
      <c r="K838" s="31" t="s">
        <v>2208</v>
      </c>
      <c r="M838" s="31" t="s">
        <v>113</v>
      </c>
      <c r="R838" s="48" t="str">
        <f>IFERROR(Q838/VLOOKUP(P838,'Exchange rates to USD'!$L$2:$N$225,3,FALSE),"")</f>
        <v/>
      </c>
      <c r="W838" s="152"/>
    </row>
    <row r="839" spans="1:23" ht="13.25" customHeight="1" x14ac:dyDescent="0.25">
      <c r="A839" s="31" t="s">
        <v>2209</v>
      </c>
      <c r="B839" s="31" t="s">
        <v>663</v>
      </c>
      <c r="C839" s="31" t="s">
        <v>30</v>
      </c>
      <c r="D839" s="31" t="s">
        <v>13</v>
      </c>
      <c r="E839" s="31" t="s">
        <v>14</v>
      </c>
      <c r="F839" s="115" t="s">
        <v>31</v>
      </c>
      <c r="G839" s="31" t="s">
        <v>3173</v>
      </c>
      <c r="H839" s="31" t="s">
        <v>25</v>
      </c>
      <c r="J839" s="31" t="s">
        <v>2210</v>
      </c>
      <c r="K839" s="31" t="s">
        <v>2211</v>
      </c>
      <c r="M839" s="31" t="s">
        <v>113</v>
      </c>
      <c r="R839" s="48" t="str">
        <f>IFERROR(Q839/VLOOKUP(P839,'Exchange rates to USD'!$L$2:$N$225,3,FALSE),"")</f>
        <v/>
      </c>
      <c r="W839" s="152"/>
    </row>
    <row r="840" spans="1:23" ht="13.25" customHeight="1" x14ac:dyDescent="0.25">
      <c r="A840" s="34" t="s">
        <v>2212</v>
      </c>
      <c r="B840" s="34" t="s">
        <v>663</v>
      </c>
      <c r="C840" s="34" t="s">
        <v>30</v>
      </c>
      <c r="D840" s="34" t="s">
        <v>13</v>
      </c>
      <c r="E840" s="34" t="s">
        <v>98</v>
      </c>
      <c r="F840" s="173" t="s">
        <v>31</v>
      </c>
      <c r="G840" s="34" t="s">
        <v>3173</v>
      </c>
      <c r="H840" s="34" t="s">
        <v>25</v>
      </c>
      <c r="I840" s="34"/>
      <c r="J840" s="34" t="s">
        <v>2213</v>
      </c>
      <c r="K840" s="34" t="s">
        <v>2214</v>
      </c>
      <c r="L840" s="34"/>
      <c r="M840" s="34" t="s">
        <v>101</v>
      </c>
      <c r="N840" s="34"/>
      <c r="O840" s="43"/>
      <c r="P840" s="34"/>
      <c r="Q840" s="49"/>
      <c r="R840" s="22" t="str">
        <f>IFERROR(Q840/VLOOKUP(P840,'Exchange rates to USD'!$L$2:$N$225,3,FALSE),"")</f>
        <v/>
      </c>
      <c r="W840" s="152"/>
    </row>
    <row r="841" spans="1:23" ht="13.25" customHeight="1" x14ac:dyDescent="0.25">
      <c r="A841" s="31" t="s">
        <v>10</v>
      </c>
      <c r="B841" s="31" t="s">
        <v>664</v>
      </c>
      <c r="C841" s="31" t="s">
        <v>2531</v>
      </c>
      <c r="D841" s="31" t="s">
        <v>13</v>
      </c>
      <c r="E841" s="31" t="s">
        <v>14</v>
      </c>
      <c r="F841" s="115" t="s">
        <v>15</v>
      </c>
      <c r="G841" s="31" t="s">
        <v>3173</v>
      </c>
      <c r="J841" s="31" t="s">
        <v>18</v>
      </c>
      <c r="K841" s="31" t="s">
        <v>19</v>
      </c>
      <c r="M841" s="31" t="s">
        <v>101</v>
      </c>
      <c r="P841" s="31" t="s">
        <v>2219</v>
      </c>
      <c r="Q841" s="32">
        <v>110000000</v>
      </c>
      <c r="R841" s="48">
        <f>IFERROR(Q841/VLOOKUP(P841,'Exchange rates to USD'!$L$2:$N$225,3,FALSE),"")</f>
        <v>8052.944103888698</v>
      </c>
      <c r="W841" s="152"/>
    </row>
    <row r="842" spans="1:23" ht="13.25" customHeight="1" x14ac:dyDescent="0.25">
      <c r="A842" s="34" t="s">
        <v>2215</v>
      </c>
      <c r="B842" s="34" t="s">
        <v>664</v>
      </c>
      <c r="C842" s="34" t="s">
        <v>30</v>
      </c>
      <c r="D842" s="34" t="s">
        <v>23</v>
      </c>
      <c r="E842" s="153" t="s">
        <v>3200</v>
      </c>
      <c r="F842" s="173"/>
      <c r="G842" s="34" t="s">
        <v>3173</v>
      </c>
      <c r="H842" s="34" t="s">
        <v>44</v>
      </c>
      <c r="I842" s="34"/>
      <c r="J842" s="34" t="s">
        <v>2216</v>
      </c>
      <c r="K842" s="34" t="s">
        <v>2217</v>
      </c>
      <c r="L842" s="34"/>
      <c r="M842" s="34" t="s">
        <v>871</v>
      </c>
      <c r="N842" s="34" t="s">
        <v>2218</v>
      </c>
      <c r="O842" s="43"/>
      <c r="P842" s="34"/>
      <c r="Q842" s="49"/>
      <c r="R842" s="22" t="str">
        <f>IFERROR(Q842/VLOOKUP(P842,'Exchange rates to USD'!$L$2:$N$225,3,FALSE),"")</f>
        <v/>
      </c>
      <c r="W842" s="152"/>
    </row>
    <row r="843" spans="1:23" ht="13.25" customHeight="1" x14ac:dyDescent="0.25">
      <c r="A843" s="31" t="s">
        <v>1264</v>
      </c>
      <c r="B843" s="31" t="s">
        <v>665</v>
      </c>
      <c r="C843" s="31" t="s">
        <v>22</v>
      </c>
      <c r="D843" s="31" t="s">
        <v>23</v>
      </c>
      <c r="E843" s="31" t="s">
        <v>3200</v>
      </c>
      <c r="F843" s="115"/>
      <c r="G843" s="31" t="s">
        <v>3173</v>
      </c>
      <c r="H843" s="31" t="s">
        <v>111</v>
      </c>
      <c r="I843" s="31" t="s">
        <v>670</v>
      </c>
      <c r="J843" s="65" t="s">
        <v>1248</v>
      </c>
      <c r="K843" s="64" t="s">
        <v>1249</v>
      </c>
      <c r="L843" s="64" t="s">
        <v>1250</v>
      </c>
      <c r="M843" s="31" t="s">
        <v>871</v>
      </c>
      <c r="P843" s="31" t="s">
        <v>2232</v>
      </c>
      <c r="R843" s="48"/>
      <c r="U843" s="175">
        <f>R843/SUM(R1:R1020)</f>
        <v>0</v>
      </c>
      <c r="W843" s="152"/>
    </row>
    <row r="844" spans="1:23" ht="13.25" customHeight="1" x14ac:dyDescent="0.25">
      <c r="A844" s="31" t="s">
        <v>1265</v>
      </c>
      <c r="B844" s="31" t="s">
        <v>665</v>
      </c>
      <c r="C844" s="31" t="s">
        <v>2530</v>
      </c>
      <c r="D844" s="31" t="s">
        <v>13</v>
      </c>
      <c r="E844" s="31" t="s">
        <v>14</v>
      </c>
      <c r="F844" s="115"/>
      <c r="G844" s="31" t="s">
        <v>3173</v>
      </c>
      <c r="H844" s="31" t="s">
        <v>44</v>
      </c>
      <c r="J844" s="31" t="s">
        <v>1251</v>
      </c>
      <c r="K844" s="31" t="s">
        <v>1252</v>
      </c>
      <c r="M844" s="31" t="s">
        <v>113</v>
      </c>
      <c r="N844" s="31" t="s">
        <v>1253</v>
      </c>
      <c r="R844" s="48" t="str">
        <f>IFERROR(Q844/VLOOKUP(P844,'Exchange rates to USD'!$L$2:$N$225,3,FALSE),"")</f>
        <v/>
      </c>
      <c r="U844" s="175">
        <f>SUM(R844:R856)/SUM(R1:R1020)</f>
        <v>1.2018494577141841E-3</v>
      </c>
      <c r="W844" s="152"/>
    </row>
    <row r="845" spans="1:23" ht="13.25" customHeight="1" x14ac:dyDescent="0.25">
      <c r="A845" s="31" t="s">
        <v>1266</v>
      </c>
      <c r="B845" s="31" t="s">
        <v>665</v>
      </c>
      <c r="C845" s="31" t="s">
        <v>2530</v>
      </c>
      <c r="D845" s="31" t="s">
        <v>23</v>
      </c>
      <c r="F845" s="115" t="s">
        <v>2319</v>
      </c>
      <c r="G845" s="31" t="s">
        <v>3173</v>
      </c>
      <c r="H845" s="31" t="s">
        <v>44</v>
      </c>
      <c r="J845" s="31" t="s">
        <v>1254</v>
      </c>
      <c r="K845" s="31" t="s">
        <v>1255</v>
      </c>
      <c r="L845" s="31" t="s">
        <v>1256</v>
      </c>
      <c r="M845" s="31" t="s">
        <v>113</v>
      </c>
      <c r="P845" s="31" t="s">
        <v>1270</v>
      </c>
      <c r="Q845" s="32">
        <v>3.5</v>
      </c>
      <c r="R845" s="48">
        <f>IFERROR(Q845/VLOOKUP(P845,'Exchange rates to USD'!$L$2:$N$225,3,FALSE),"")</f>
        <v>3.5</v>
      </c>
      <c r="W845" s="152"/>
    </row>
    <row r="846" spans="1:23" ht="13.25" customHeight="1" x14ac:dyDescent="0.25">
      <c r="A846" s="31" t="s">
        <v>1267</v>
      </c>
      <c r="B846" s="31" t="s">
        <v>665</v>
      </c>
      <c r="C846" s="31" t="s">
        <v>30</v>
      </c>
      <c r="D846" s="31" t="s">
        <v>23</v>
      </c>
      <c r="E846" s="31" t="s">
        <v>619</v>
      </c>
      <c r="F846" s="115"/>
      <c r="G846" s="31" t="s">
        <v>111</v>
      </c>
      <c r="J846" s="31" t="s">
        <v>1257</v>
      </c>
      <c r="K846" s="31" t="s">
        <v>1258</v>
      </c>
      <c r="M846" s="31" t="s">
        <v>113</v>
      </c>
      <c r="Q846" s="32" t="s">
        <v>2326</v>
      </c>
      <c r="R846" s="48" t="str">
        <f>IFERROR(Q846/VLOOKUP(P846,'Exchange rates to USD'!$L$2:$N$225,3,FALSE),"")</f>
        <v/>
      </c>
      <c r="W846" s="152"/>
    </row>
    <row r="847" spans="1:23" ht="13.25" customHeight="1" x14ac:dyDescent="0.25">
      <c r="A847" s="31" t="s">
        <v>1268</v>
      </c>
      <c r="B847" s="31" t="s">
        <v>665</v>
      </c>
      <c r="C847" s="31" t="s">
        <v>30</v>
      </c>
      <c r="D847" s="31" t="s">
        <v>13</v>
      </c>
      <c r="E847" s="31" t="s">
        <v>98</v>
      </c>
      <c r="F847" s="115"/>
      <c r="G847" s="31" t="s">
        <v>25</v>
      </c>
      <c r="H847" s="31" t="s">
        <v>3173</v>
      </c>
      <c r="J847" s="31" t="s">
        <v>1259</v>
      </c>
      <c r="K847" s="31" t="s">
        <v>1260</v>
      </c>
      <c r="M847" s="31" t="s">
        <v>113</v>
      </c>
      <c r="N847" s="31" t="s">
        <v>1261</v>
      </c>
      <c r="Q847" s="32" t="s">
        <v>2326</v>
      </c>
      <c r="R847" s="48" t="str">
        <f>IFERROR(Q847/VLOOKUP(P847,'Exchange rates to USD'!$L$2:$N$225,3,FALSE),"")</f>
        <v/>
      </c>
      <c r="W847" s="152"/>
    </row>
    <row r="848" spans="1:23" ht="13.25" customHeight="1" x14ac:dyDescent="0.25">
      <c r="A848" s="31" t="s">
        <v>1269</v>
      </c>
      <c r="B848" s="31" t="s">
        <v>665</v>
      </c>
      <c r="C848" s="31" t="s">
        <v>22</v>
      </c>
      <c r="D848" s="31" t="s">
        <v>872</v>
      </c>
      <c r="E848" s="31" t="s">
        <v>3200</v>
      </c>
      <c r="F848" s="115" t="s">
        <v>2320</v>
      </c>
      <c r="G848" s="31" t="s">
        <v>670</v>
      </c>
      <c r="H848" s="31" t="s">
        <v>25</v>
      </c>
      <c r="J848" s="31" t="s">
        <v>1262</v>
      </c>
      <c r="K848" s="31" t="s">
        <v>1263</v>
      </c>
      <c r="M848" s="31" t="s">
        <v>113</v>
      </c>
      <c r="P848" s="31" t="s">
        <v>1270</v>
      </c>
      <c r="Q848" s="32">
        <v>56</v>
      </c>
      <c r="R848" s="48">
        <f>IFERROR(Q848/VLOOKUP(P848,'Exchange rates to USD'!$L$2:$N$225,3,FALSE),"")</f>
        <v>56</v>
      </c>
      <c r="W848" s="152"/>
    </row>
    <row r="849" spans="1:23" s="38" customFormat="1" ht="13.25" customHeight="1" x14ac:dyDescent="0.25">
      <c r="A849" s="38" t="s">
        <v>2321</v>
      </c>
      <c r="B849" s="38" t="s">
        <v>665</v>
      </c>
      <c r="C849" s="38" t="s">
        <v>30</v>
      </c>
      <c r="D849" s="38" t="s">
        <v>23</v>
      </c>
      <c r="E849" s="38" t="s">
        <v>3200</v>
      </c>
      <c r="F849" s="174"/>
      <c r="G849" s="38" t="s">
        <v>25</v>
      </c>
      <c r="J849" s="38" t="s">
        <v>2324</v>
      </c>
      <c r="K849" s="38" t="s">
        <v>2325</v>
      </c>
      <c r="M849" s="38" t="s">
        <v>2322</v>
      </c>
      <c r="O849" s="45"/>
      <c r="Q849" s="60"/>
      <c r="R849" s="60"/>
      <c r="W849" s="152"/>
    </row>
    <row r="850" spans="1:23" s="38" customFormat="1" ht="13.25" customHeight="1" x14ac:dyDescent="0.25">
      <c r="A850" s="38" t="s">
        <v>2323</v>
      </c>
      <c r="B850" s="38" t="s">
        <v>665</v>
      </c>
      <c r="C850" s="38" t="s">
        <v>22</v>
      </c>
      <c r="D850" s="38" t="s">
        <v>872</v>
      </c>
      <c r="E850" s="38" t="s">
        <v>36</v>
      </c>
      <c r="F850" s="174" t="s">
        <v>2757</v>
      </c>
      <c r="G850" s="38" t="s">
        <v>3173</v>
      </c>
      <c r="H850" s="38" t="s">
        <v>25</v>
      </c>
      <c r="J850" s="38" t="s">
        <v>2758</v>
      </c>
      <c r="K850" s="38" t="s">
        <v>2978</v>
      </c>
      <c r="M850" s="38" t="s">
        <v>113</v>
      </c>
      <c r="O850" s="45">
        <v>44204</v>
      </c>
      <c r="P850" s="38" t="s">
        <v>2232</v>
      </c>
      <c r="Q850" s="60">
        <v>6750</v>
      </c>
      <c r="R850" s="48">
        <f>IFERROR(Q850/VLOOKUP(P850,'Exchange rates to USD'!$L$2:$N$225,3,FALSE),"")</f>
        <v>535.25250887513823</v>
      </c>
      <c r="W850" s="152"/>
    </row>
    <row r="851" spans="1:23" ht="13.25" customHeight="1" x14ac:dyDescent="0.25">
      <c r="A851" s="152" t="s">
        <v>2756</v>
      </c>
      <c r="B851" s="31" t="s">
        <v>665</v>
      </c>
      <c r="C851" s="31" t="s">
        <v>2530</v>
      </c>
      <c r="D851" s="31" t="s">
        <v>872</v>
      </c>
      <c r="E851" s="31" t="s">
        <v>191</v>
      </c>
      <c r="F851" s="115" t="s">
        <v>2975</v>
      </c>
      <c r="G851" s="31" t="s">
        <v>3173</v>
      </c>
      <c r="H851" s="31" t="s">
        <v>41</v>
      </c>
      <c r="J851" s="31" t="s">
        <v>2976</v>
      </c>
      <c r="K851" s="31" t="s">
        <v>2978</v>
      </c>
      <c r="L851" s="31" t="s">
        <v>2977</v>
      </c>
      <c r="M851" s="31" t="s">
        <v>113</v>
      </c>
      <c r="P851" s="31" t="s">
        <v>2232</v>
      </c>
      <c r="Q851" s="32">
        <v>1983</v>
      </c>
      <c r="R851" s="48">
        <f>IFERROR(Q851/VLOOKUP(P851,'Exchange rates to USD'!$L$2:$N$225,3,FALSE),"")</f>
        <v>157.24529260731839</v>
      </c>
      <c r="W851" s="152"/>
    </row>
    <row r="852" spans="1:23" ht="13.25" customHeight="1" x14ac:dyDescent="0.25">
      <c r="A852" s="152" t="s">
        <v>2795</v>
      </c>
      <c r="B852" s="31" t="s">
        <v>665</v>
      </c>
      <c r="C852" s="31" t="s">
        <v>12</v>
      </c>
      <c r="D852" s="31" t="s">
        <v>23</v>
      </c>
      <c r="E852" s="31" t="s">
        <v>3200</v>
      </c>
      <c r="F852" s="115" t="s">
        <v>2981</v>
      </c>
      <c r="G852" s="31" t="s">
        <v>3173</v>
      </c>
      <c r="H852" s="31" t="s">
        <v>25</v>
      </c>
      <c r="J852" s="31" t="s">
        <v>2980</v>
      </c>
      <c r="K852" s="31" t="s">
        <v>2982</v>
      </c>
      <c r="L852" s="64" t="s">
        <v>2990</v>
      </c>
      <c r="M852" s="31" t="s">
        <v>871</v>
      </c>
      <c r="O852" s="42">
        <v>44286</v>
      </c>
      <c r="P852" s="31" t="s">
        <v>2232</v>
      </c>
      <c r="Q852" s="32">
        <v>2000</v>
      </c>
      <c r="R852" s="48">
        <f>IFERROR(Q852/VLOOKUP(P852,'Exchange rates to USD'!$L$2:$N$225,3,FALSE),"")</f>
        <v>158.59333596300391</v>
      </c>
      <c r="W852" s="152"/>
    </row>
    <row r="853" spans="1:23" ht="13.25" customHeight="1" x14ac:dyDescent="0.25">
      <c r="A853" s="152" t="s">
        <v>2979</v>
      </c>
      <c r="B853" s="31" t="s">
        <v>665</v>
      </c>
      <c r="C853" s="31" t="s">
        <v>22</v>
      </c>
      <c r="D853" s="31" t="s">
        <v>13</v>
      </c>
      <c r="E853" s="31" t="s">
        <v>14</v>
      </c>
      <c r="F853" s="115" t="s">
        <v>2984</v>
      </c>
      <c r="G853" s="31" t="s">
        <v>3173</v>
      </c>
      <c r="H853" s="31" t="s">
        <v>25</v>
      </c>
      <c r="J853" s="31" t="s">
        <v>2985</v>
      </c>
      <c r="K853" s="31" t="s">
        <v>2982</v>
      </c>
      <c r="L853" s="31" t="s">
        <v>2992</v>
      </c>
      <c r="M853" s="31" t="s">
        <v>101</v>
      </c>
      <c r="O853" s="42">
        <v>44286</v>
      </c>
      <c r="P853" s="152" t="s">
        <v>2232</v>
      </c>
      <c r="Q853" s="32">
        <v>26000</v>
      </c>
      <c r="R853" s="48">
        <f>IFERROR(Q853/VLOOKUP(P853,'Exchange rates to USD'!$L$2:$N$225,3,FALSE),"")</f>
        <v>2061.7133675190512</v>
      </c>
      <c r="W853" s="152"/>
    </row>
    <row r="854" spans="1:23" ht="13.25" customHeight="1" x14ac:dyDescent="0.25">
      <c r="A854" s="152" t="s">
        <v>2983</v>
      </c>
      <c r="B854" s="152" t="s">
        <v>665</v>
      </c>
      <c r="C854" s="31" t="s">
        <v>22</v>
      </c>
      <c r="D854" s="31" t="s">
        <v>39</v>
      </c>
      <c r="E854" s="31" t="s">
        <v>3200</v>
      </c>
      <c r="F854" s="115" t="s">
        <v>3194</v>
      </c>
      <c r="G854" s="31" t="s">
        <v>670</v>
      </c>
      <c r="J854" s="31" t="s">
        <v>2986</v>
      </c>
      <c r="K854" s="152" t="s">
        <v>2982</v>
      </c>
      <c r="L854" s="31" t="s">
        <v>2993</v>
      </c>
      <c r="M854" s="31" t="s">
        <v>113</v>
      </c>
      <c r="O854" s="42">
        <v>44286</v>
      </c>
      <c r="P854" s="152" t="s">
        <v>2232</v>
      </c>
      <c r="Q854" s="32">
        <v>10</v>
      </c>
      <c r="R854" s="48">
        <f>IFERROR(Q854/VLOOKUP(P854,'Exchange rates to USD'!$L$2:$N$225,3,FALSE),"")</f>
        <v>0.79296667981501956</v>
      </c>
      <c r="W854" s="152"/>
    </row>
    <row r="855" spans="1:23" ht="13.25" customHeight="1" x14ac:dyDescent="0.25">
      <c r="A855" s="152" t="s">
        <v>2987</v>
      </c>
      <c r="B855" s="31" t="s">
        <v>665</v>
      </c>
      <c r="C855" s="31" t="s">
        <v>22</v>
      </c>
      <c r="E855" s="31" t="s">
        <v>161</v>
      </c>
      <c r="F855" s="115" t="s">
        <v>3195</v>
      </c>
      <c r="G855" s="31" t="s">
        <v>44</v>
      </c>
      <c r="J855" s="31" t="s">
        <v>2989</v>
      </c>
      <c r="K855" s="152" t="s">
        <v>2982</v>
      </c>
      <c r="L855" s="31" t="s">
        <v>2991</v>
      </c>
      <c r="M855" s="31" t="s">
        <v>113</v>
      </c>
      <c r="O855" s="42">
        <v>44286</v>
      </c>
      <c r="P855" s="152" t="s">
        <v>2232</v>
      </c>
      <c r="Q855" s="32">
        <v>600</v>
      </c>
      <c r="R855" s="48">
        <f>IFERROR(Q855/VLOOKUP(P855,'Exchange rates to USD'!$L$2:$N$225,3,FALSE),"")</f>
        <v>47.578000788901178</v>
      </c>
      <c r="W855" s="152"/>
    </row>
    <row r="856" spans="1:23" ht="13.25" customHeight="1" x14ac:dyDescent="0.25">
      <c r="A856" s="152" t="s">
        <v>2988</v>
      </c>
      <c r="B856" s="152" t="s">
        <v>665</v>
      </c>
      <c r="C856" s="31" t="s">
        <v>22</v>
      </c>
      <c r="D856" s="31" t="s">
        <v>39</v>
      </c>
      <c r="E856" s="31" t="s">
        <v>14</v>
      </c>
      <c r="F856" s="31" t="s">
        <v>3196</v>
      </c>
      <c r="G856" s="31" t="s">
        <v>3173</v>
      </c>
      <c r="H856" s="31" t="s">
        <v>25</v>
      </c>
      <c r="J856" s="31" t="s">
        <v>2996</v>
      </c>
      <c r="K856" s="64" t="s">
        <v>2995</v>
      </c>
      <c r="M856" s="31" t="s">
        <v>113</v>
      </c>
      <c r="O856" s="42">
        <v>44286</v>
      </c>
      <c r="P856" s="152" t="s">
        <v>2232</v>
      </c>
      <c r="Q856" s="32">
        <v>135</v>
      </c>
      <c r="R856" s="48">
        <f>IFERROR(Q856/VLOOKUP(P856,'Exchange rates to USD'!$L$2:$N$225,3,FALSE),"")</f>
        <v>10.705050177502764</v>
      </c>
      <c r="W856" s="152"/>
    </row>
    <row r="857" spans="1:23" ht="13.25" customHeight="1" x14ac:dyDescent="0.25">
      <c r="A857" s="152" t="s">
        <v>2994</v>
      </c>
      <c r="B857" s="152" t="s">
        <v>665</v>
      </c>
      <c r="C857" s="31" t="s">
        <v>22</v>
      </c>
      <c r="D857" s="31" t="s">
        <v>39</v>
      </c>
      <c r="E857" s="31" t="s">
        <v>14</v>
      </c>
      <c r="F857" s="31" t="s">
        <v>698</v>
      </c>
      <c r="G857" s="31" t="s">
        <v>3173</v>
      </c>
      <c r="H857" s="31" t="s">
        <v>25</v>
      </c>
      <c r="J857" s="31" t="s">
        <v>2998</v>
      </c>
      <c r="K857" s="64" t="s">
        <v>2995</v>
      </c>
      <c r="M857" s="31" t="s">
        <v>113</v>
      </c>
      <c r="O857" s="42">
        <v>44286</v>
      </c>
      <c r="P857" s="152" t="s">
        <v>2232</v>
      </c>
      <c r="W857" s="152"/>
    </row>
    <row r="858" spans="1:23" ht="13.25" customHeight="1" x14ac:dyDescent="0.25">
      <c r="A858" s="153" t="s">
        <v>2997</v>
      </c>
      <c r="B858" s="153" t="s">
        <v>665</v>
      </c>
      <c r="C858" s="153" t="s">
        <v>30</v>
      </c>
      <c r="D858" s="153" t="s">
        <v>13</v>
      </c>
      <c r="E858" s="153" t="s">
        <v>14</v>
      </c>
      <c r="F858" s="153" t="s">
        <v>698</v>
      </c>
      <c r="G858" s="153" t="s">
        <v>670</v>
      </c>
      <c r="H858" s="153" t="s">
        <v>41</v>
      </c>
      <c r="I858" s="153" t="s">
        <v>44</v>
      </c>
      <c r="J858" s="153" t="s">
        <v>2999</v>
      </c>
      <c r="K858" s="153" t="s">
        <v>3000</v>
      </c>
      <c r="L858" s="153"/>
      <c r="M858" s="153" t="s">
        <v>113</v>
      </c>
      <c r="N858" s="153"/>
      <c r="O858" s="43">
        <v>44286</v>
      </c>
      <c r="P858" s="153" t="s">
        <v>2232</v>
      </c>
      <c r="Q858" s="49"/>
      <c r="R858" s="49"/>
      <c r="W858" s="152"/>
    </row>
    <row r="859" spans="1:23" ht="13.25" customHeight="1" x14ac:dyDescent="0.25"/>
    <row r="860" spans="1:23" ht="13.25" customHeight="1" x14ac:dyDescent="0.25">
      <c r="J860" s="152"/>
    </row>
    <row r="861" spans="1:23" ht="13.25" customHeight="1" x14ac:dyDescent="0.25"/>
    <row r="862" spans="1:23" ht="13.25" customHeight="1" x14ac:dyDescent="0.25"/>
    <row r="863" spans="1:23" ht="13.25" customHeight="1" x14ac:dyDescent="0.25"/>
    <row r="864" spans="1:23" ht="13.25" customHeight="1" x14ac:dyDescent="0.25">
      <c r="J864" s="172"/>
    </row>
    <row r="865" ht="13.25" customHeight="1" x14ac:dyDescent="0.25"/>
    <row r="866" ht="13.25" customHeight="1" x14ac:dyDescent="0.25"/>
    <row r="867" ht="13.25" customHeight="1" x14ac:dyDescent="0.25"/>
    <row r="868" ht="13.25" customHeight="1" x14ac:dyDescent="0.25"/>
    <row r="869" ht="13.25" customHeight="1" x14ac:dyDescent="0.25"/>
    <row r="870" ht="13.25" customHeight="1" x14ac:dyDescent="0.25"/>
    <row r="871" ht="13.25" customHeight="1" x14ac:dyDescent="0.25"/>
    <row r="872" ht="13.25" customHeight="1" x14ac:dyDescent="0.25"/>
    <row r="873" ht="13.25" customHeight="1" x14ac:dyDescent="0.25"/>
    <row r="874" ht="13.25" customHeight="1" x14ac:dyDescent="0.25"/>
    <row r="875" ht="13.25" customHeight="1" x14ac:dyDescent="0.25"/>
    <row r="876" ht="13.25" customHeight="1" x14ac:dyDescent="0.25"/>
    <row r="877" ht="13.25" customHeight="1" x14ac:dyDescent="0.25"/>
    <row r="878" ht="13.25" customHeight="1" x14ac:dyDescent="0.25"/>
  </sheetData>
  <autoFilter ref="A1:X858"/>
  <dataValidations count="1">
    <dataValidation type="list" allowBlank="1" showInputMessage="1" showErrorMessage="1" sqref="C850:C860">
      <formula1>Grant_Loan__including_interest_free_loans</formula1>
    </dataValidation>
  </dataValidations>
  <hyperlinks>
    <hyperlink ref="K719" r:id="rId1"/>
    <hyperlink ref="K720" r:id="rId2"/>
    <hyperlink ref="K721" r:id="rId3"/>
    <hyperlink ref="K722" r:id="rId4"/>
    <hyperlink ref="K727" r:id="rId5"/>
    <hyperlink ref="K728" r:id="rId6"/>
    <hyperlink ref="K723" r:id="rId7"/>
    <hyperlink ref="K724" r:id="rId8"/>
    <hyperlink ref="K726" r:id="rId9"/>
    <hyperlink ref="K731" r:id="rId10"/>
    <hyperlink ref="K734" r:id="rId11"/>
    <hyperlink ref="K729" r:id="rId12"/>
    <hyperlink ref="K732" r:id="rId13"/>
    <hyperlink ref="K730" r:id="rId14"/>
    <hyperlink ref="K733" r:id="rId15"/>
    <hyperlink ref="K735" r:id="rId16"/>
    <hyperlink ref="K736" r:id="rId17"/>
    <hyperlink ref="K738" r:id="rId18"/>
    <hyperlink ref="L719" r:id="rId19"/>
    <hyperlink ref="L726" r:id="rId20"/>
    <hyperlink ref="L723" r:id="rId21"/>
    <hyperlink ref="L721" r:id="rId22"/>
    <hyperlink ref="K740" r:id="rId23"/>
    <hyperlink ref="K741" r:id="rId24"/>
    <hyperlink ref="K739" r:id="rId25"/>
    <hyperlink ref="K293" r:id="rId26"/>
    <hyperlink ref="K291" r:id="rId27"/>
    <hyperlink ref="K292" r:id="rId28"/>
    <hyperlink ref="K290" r:id="rId29"/>
    <hyperlink ref="K289" r:id="rId30"/>
    <hyperlink ref="K295" r:id="rId31"/>
    <hyperlink ref="K296:K298" r:id="rId32" display="https://www.bundesfinanzministerium.de/Content/DE/Standardartikel/Themen/Schlaglichter/Konjunkturpaket/2020-06-03-eckpunktepapier.pdf?__blob=publicationFile"/>
    <hyperlink ref="K294" r:id="rId33"/>
    <hyperlink ref="K299:K302" r:id="rId34" display="https://www.bundesfinanzministerium.de/Content/DE/Standardartikel/Themen/Schlaglichter/Konjunkturpaket/2020-06-03-eckpunktepapier.pdf?__blob=publicationFile"/>
    <hyperlink ref="K303" r:id="rId35"/>
    <hyperlink ref="K309" r:id="rId36"/>
    <hyperlink ref="L307" r:id="rId37"/>
    <hyperlink ref="L308" r:id="rId38"/>
    <hyperlink ref="L309" r:id="rId39"/>
    <hyperlink ref="K485" r:id="rId40"/>
    <hyperlink ref="K640" r:id="rId41"/>
    <hyperlink ref="K419" r:id="rId42"/>
    <hyperlink ref="L419" r:id="rId43"/>
    <hyperlink ref="K442" r:id="rId44"/>
    <hyperlink ref="K420" r:id="rId45"/>
    <hyperlink ref="K421" r:id="rId46"/>
    <hyperlink ref="K422" r:id="rId47"/>
    <hyperlink ref="K423" r:id="rId48"/>
    <hyperlink ref="K424" r:id="rId49"/>
    <hyperlink ref="K353" r:id="rId50"/>
    <hyperlink ref="K354" r:id="rId51"/>
    <hyperlink ref="K361" r:id="rId52"/>
    <hyperlink ref="K363" r:id="rId53"/>
    <hyperlink ref="K360" r:id="rId54"/>
    <hyperlink ref="K362" r:id="rId55"/>
    <hyperlink ref="L213" r:id="rId56"/>
    <hyperlink ref="K239" r:id="rId57"/>
    <hyperlink ref="K233" r:id="rId58"/>
    <hyperlink ref="K242" r:id="rId59"/>
    <hyperlink ref="K241" r:id="rId60"/>
    <hyperlink ref="K247" r:id="rId61"/>
    <hyperlink ref="K668" r:id="rId62"/>
    <hyperlink ref="K372" r:id="rId63"/>
    <hyperlink ref="L254" r:id="rId64"/>
    <hyperlink ref="L253" r:id="rId65"/>
    <hyperlink ref="L372" r:id="rId66"/>
    <hyperlink ref="K425" r:id="rId67"/>
    <hyperlink ref="K426" r:id="rId68"/>
    <hyperlink ref="K427" r:id="rId69"/>
    <hyperlink ref="K526" r:id="rId70"/>
    <hyperlink ref="L526" r:id="rId71" display="https://dziennikustaw.gov.pl/D2020000069501.pdfhttps://wyborcza.pl/7,155287,25821533,sa-juz-gotowe-projekty-ustaw-o-pomocy-pracownikom-i-firmom.html"/>
    <hyperlink ref="L537" r:id="rId72"/>
    <hyperlink ref="K536" r:id="rId73"/>
    <hyperlink ref="K542" r:id="rId74"/>
    <hyperlink ref="K543" r:id="rId75"/>
    <hyperlink ref="K544" r:id="rId76"/>
    <hyperlink ref="K763" r:id="rId77"/>
    <hyperlink ref="K764" r:id="rId78"/>
    <hyperlink ref="K765" r:id="rId79"/>
    <hyperlink ref="K214" r:id="rId80"/>
    <hyperlink ref="L214" r:id="rId81" location="liquid-fuels-and-electricity"/>
    <hyperlink ref="K213" r:id="rId82"/>
    <hyperlink ref="K272" r:id="rId83"/>
    <hyperlink ref="N260" r:id="rId84"/>
    <hyperlink ref="K287" r:id="rId85"/>
    <hyperlink ref="K428" r:id="rId86"/>
    <hyperlink ref="L770" r:id="rId87"/>
    <hyperlink ref="L773" r:id="rId88"/>
    <hyperlink ref="K782" display="https://web.archive.org/save/, https://www.bndes.gov.br/wps/portal/site/home/imprensa/noticias/conteudo/bndes-fecha-com-bancos-a-operacao-da-conta-covid-destinada-ao-setor-eletrico/!ut/p/z1/xVTBcpswFPyWHDjKUpAo0BuTYLs1rqdt3AQuHiEJUGskImRo_77C9aGTqZ3ppJlyg"/>
    <hyperlink ref="L783" r:id="rId89" display="http://www.mme.gov.br/web/guest/todas-as-noticias/-/asset_publisher/pdAS9IcdBICN/content/73-leilao-de-biodiesel-negocia-1-19-bilhao-de-litros?inheritRedirect=false&amp;redirect="/>
    <hyperlink ref="K51" r:id="rId90"/>
    <hyperlink ref="K790" r:id="rId91"/>
    <hyperlink ref="K792" r:id="rId92" display="https://antigo.mma.gov.br/agenda-ambiental-urbana/res%C3%ADduos-s%C3%B3lidos.html"/>
    <hyperlink ref="K793" r:id="rId93" location=":~:text=O%20presidente%20Jair%20Bolsonaro%20sancionou,em%20troca%20do%20bem%20preservado."/>
    <hyperlink ref="K794" r:id="rId94"/>
    <hyperlink ref="K799" r:id="rId95"/>
    <hyperlink ref="K797" r:id="rId96"/>
    <hyperlink ref="K791" r:id="rId97"/>
    <hyperlink ref="K798" r:id="rId98" location=":~:text=PL%203729%2F2004%20Inteiro%20teor&amp;text=Disp%C3%B5e%20sobre%20o%20licenciamento%20ambiental,Federal%2C%20e%20d%C3%A1%20outras%20provid%C3%AAncias."/>
    <hyperlink ref="L852" r:id="rId99"/>
    <hyperlink ref="K856" r:id="rId100"/>
    <hyperlink ref="K857" r:id="rId101"/>
    <hyperlink ref="K843" r:id="rId102"/>
    <hyperlink ref="L843" r:id="rId103"/>
    <hyperlink ref="K829" r:id="rId104"/>
    <hyperlink ref="L14" r:id="rId105"/>
    <hyperlink ref="K15" r:id="rId106"/>
    <hyperlink ref="K18" r:id="rId107"/>
    <hyperlink ref="K657" r:id="rId108"/>
    <hyperlink ref="K666" r:id="rId109"/>
    <hyperlink ref="K664" r:id="rId110"/>
    <hyperlink ref="K714" r:id="rId111"/>
    <hyperlink ref="K715" r:id="rId112" tooltip="https://assets.publishing.service.gov.uk/government/uploads/system/uploads/attachment_data/file/966868/budget_2021_-_web.pdf"/>
    <hyperlink ref="K716" r:id="rId113" tooltip="https://assets.publishing.service.gov.uk/government/uploads/system/uploads/attachment_data/file/966868/budget_2021_-_web.pdf"/>
    <hyperlink ref="K717" r:id="rId114" tooltip="https://assets.publishing.service.gov.uk/government/uploads/system/uploads/attachment_data/file/966868/budget_2021_-_web.pdf"/>
    <hyperlink ref="K718" r:id="rId115"/>
  </hyperlinks>
  <pageMargins left="0.7" right="0.7" top="0.75" bottom="0.75" header="0.3" footer="0.3"/>
  <pageSetup paperSize="9" orientation="portrait" r:id="rId116"/>
  <ignoredErrors>
    <ignoredError sqref="Q65" numberStoredAsText="1"/>
  </ignoredErrors>
  <legacyDrawing r:id="rId117"/>
  <extLst>
    <ext xmlns:x14="http://schemas.microsoft.com/office/spreadsheetml/2009/9/main" uri="{CCE6A557-97BC-4b89-ADB6-D9C93CAAB3DF}">
      <x14:dataValidations xmlns:xm="http://schemas.microsoft.com/office/excel/2006/main" count="15">
        <x14:dataValidation type="list" allowBlank="1" showInputMessage="1" showErrorMessage="1">
          <x14:formula1>
            <xm:f>'selection lists'!$N$2:$N$5</xm:f>
          </x14:formula1>
          <xm:sqref>M425:M430 M431:M596 M2:M147 M719:M877 M598:M713 M154:M214 M219:M424</xm:sqref>
        </x14:dataValidation>
        <x14:dataValidation type="list" allowBlank="1" showInputMessage="1" showErrorMessage="1">
          <x14:formula1>
            <xm:f>'selection lists'!$C$2:$C$7</xm:f>
          </x14:formula1>
          <xm:sqref>C2:C13 C426:C590 C46:C424 C598:C713 C719:C849</xm:sqref>
        </x14:dataValidation>
        <x14:dataValidation type="list" allowBlank="1" showInputMessage="1" showErrorMessage="1">
          <x14:formula1>
            <xm:f>'C:\Users\Prag_A\AppData\Local\Microsoft\Windows\INetCache\Content.Outlook\I9HRGMKC\[(Japan )template for changes-additions-deletions-mitigation.xlsx]selection lists'!#REF!</xm:f>
          </x14:formula1>
          <xm:sqref>C425</xm:sqref>
        </x14:dataValidation>
        <x14:dataValidation type="list" allowBlank="1" showInputMessage="1" showErrorMessage="1">
          <x14:formula1>
            <xm:f>'selection lists'!$L$2:$L$9</xm:f>
          </x14:formula1>
          <xm:sqref>G852:G869 H852:I870 G2:I590 G593 H594:H596 G598:G713 H598:I714 G719:I849</xm:sqref>
        </x14:dataValidation>
        <x14:dataValidation type="list" allowBlank="1" showInputMessage="1" showErrorMessage="1">
          <x14:formula1>
            <xm:f>'selection lists'!$H$2:$H$9</xm:f>
          </x14:formula1>
          <xm:sqref>E852:E877</xm:sqref>
        </x14:dataValidation>
        <x14:dataValidation type="list" allowBlank="1" showInputMessage="1" showErrorMessage="1">
          <x14:formula1>
            <xm:f>'selection lists'!$E$2:$E$5</xm:f>
          </x14:formula1>
          <xm:sqref>D2:D13 D46:D590 D598:D713 D719:D875</xm:sqref>
        </x14:dataValidation>
        <x14:dataValidation type="list" allowBlank="1" showInputMessage="1" showErrorMessage="1">
          <x14:formula1>
            <xm:f>'selection lists'!$H$2:$H$11</xm:f>
          </x14:formula1>
          <xm:sqref>E2:E13 E46:E590 E598:E713 E719:E849</xm:sqref>
        </x14:dataValidation>
        <x14:dataValidation type="list" showInputMessage="1" showErrorMessage="1">
          <x14:formula1>
            <xm:f>'https://portal.oecd.org/eshare/env/pc/Deliverables/GreenRecoveryTaskForce/Database/Country Replies March 2021/[Copy of Australia_Feb2021-MES Additionv2 20210217.xlsx]selection lists'!#REF!</xm:f>
          </x14:formula1>
          <xm:sqref>C15:C25</xm:sqref>
        </x14:dataValidation>
        <x14:dataValidation type="list" allowBlank="1" showInputMessage="1" showErrorMessage="1">
          <x14:formula1>
            <xm:f>'https://portal.oecd.org/eshare/env/pc/Deliverables/GreenRecoveryTaskForce/Database/Country Replies March 2021/[Copy of Australia_Feb2021-MES Additionv2 20210217.xlsx]selection lists'!#REF!</xm:f>
          </x14:formula1>
          <xm:sqref>C14 C26:C45</xm:sqref>
        </x14:dataValidation>
        <x14:dataValidation type="list" allowBlank="1" showInputMessage="1" showErrorMessage="1">
          <x14:formula1>
            <xm:f>'https://portal.oecd.org/eshare/env/pc/Deliverables/GreenRecoveryTaskForce/Database/Country Replies March 2021/[Copy of Australia_Feb2021-MES Additionv2 20210217.xlsx]selection lists'!#REF!</xm:f>
          </x14:formula1>
          <xm:sqref>D14:E45</xm:sqref>
        </x14:dataValidation>
        <x14:dataValidation type="list" allowBlank="1" showInputMessage="1" showErrorMessage="1">
          <x14:formula1>
            <xm:f>'C:\Users\jan.drab\Desktop\[master sheet_OECD_ENV_COVID-recovery-database_Jan2021.xlsm]selection lists'!#REF!</xm:f>
          </x14:formula1>
          <xm:sqref>C591:E596 G594:G596 G591:G592 I591:I596 H591:H593</xm:sqref>
        </x14:dataValidation>
        <x14:dataValidation type="list" allowBlank="1" showInputMessage="1" showErrorMessage="1">
          <x14:formula1>
            <xm:f>'\\portal.oecd.org@SSL\DavWWWRoot\eshare\env\pc\Deliverables\GreenRecoveryTaskForce\Database\[OECD_ENV_COVID-recovery-database_v4.xlsm]selection lists'!#REF!</xm:f>
          </x14:formula1>
          <xm:sqref>M597 C597:E597 G597:I597</xm:sqref>
        </x14:dataValidation>
        <x14:dataValidation type="list" allowBlank="1" showInputMessage="1" showErrorMessage="1">
          <x14:formula1>
            <xm:f>'C:\Users\Prag_A\AppData\Local\Microsoft\Windows\INetCache\Content.Outlook\I9HRGMKC\[UNITED_KINGDOM_template for changes-additions-deletions_April2021_.xlsx]selection lists'!#REF!</xm:f>
          </x14:formula1>
          <xm:sqref>E714 E718 G714:G717 G718:I718 C714:D718</xm:sqref>
        </x14:dataValidation>
        <x14:dataValidation type="list" allowBlank="1" showInputMessage="1" showErrorMessage="1">
          <x14:formula1>
            <xm:f>'G:\AJ\Workstreams\EAU\International\OECD\EPOC\[OECD_ENV_COVID-recovery-database_FULL-FOR-EPOC_Jan2021 (2021-02-22).xlsm]selection lists'!#REF!</xm:f>
          </x14:formula1>
          <xm:sqref>H715:I715 E715:E717</xm:sqref>
        </x14:dataValidation>
        <x14:dataValidation type="list" allowBlank="1" showInputMessage="1" showErrorMessage="1">
          <x14:formula1>
            <xm:f>'\\ler329fs\m182845$\AJ\Workstreams\EAU\International\OECD\EPOC\[OECD_ENV_COVID-recovery-database_FULL-FOR-EPOC_Jan2021 - final check.xlsx]selection lists'!#REF!</xm:f>
          </x14:formula1>
          <xm:sqref>M715:M718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26"/>
  <sheetViews>
    <sheetView workbookViewId="0">
      <selection activeCell="L31" sqref="L31"/>
    </sheetView>
  </sheetViews>
  <sheetFormatPr defaultRowHeight="12.5" x14ac:dyDescent="0.25"/>
  <cols>
    <col min="2" max="2" width="23.90625" customWidth="1"/>
    <col min="6" max="6" width="11.36328125" bestFit="1" customWidth="1"/>
    <col min="13" max="14" width="9.453125" bestFit="1" customWidth="1"/>
  </cols>
  <sheetData>
    <row r="1" spans="1:14" ht="13" x14ac:dyDescent="0.3">
      <c r="A1" s="6"/>
      <c r="B1" s="5"/>
      <c r="G1" s="15" t="s">
        <v>2397</v>
      </c>
      <c r="J1" t="s">
        <v>621</v>
      </c>
      <c r="K1" t="s">
        <v>2337</v>
      </c>
      <c r="L1" t="s">
        <v>2384</v>
      </c>
      <c r="M1" t="s">
        <v>2395</v>
      </c>
      <c r="N1" t="s">
        <v>2396</v>
      </c>
    </row>
    <row r="2" spans="1:14" x14ac:dyDescent="0.25">
      <c r="D2" s="16"/>
      <c r="J2" t="s">
        <v>623</v>
      </c>
      <c r="K2" t="s">
        <v>2338</v>
      </c>
      <c r="L2" t="s">
        <v>2231</v>
      </c>
      <c r="M2" s="30">
        <v>1.4385069608688354</v>
      </c>
      <c r="N2" s="30">
        <v>1.4143850803375244</v>
      </c>
    </row>
    <row r="3" spans="1:14" x14ac:dyDescent="0.25">
      <c r="B3" s="7"/>
      <c r="D3" s="35"/>
      <c r="J3" t="s">
        <v>624</v>
      </c>
      <c r="K3" t="s">
        <v>2339</v>
      </c>
      <c r="L3" t="s">
        <v>669</v>
      </c>
      <c r="M3" s="30">
        <v>0.89327597618103027</v>
      </c>
      <c r="N3" s="30">
        <v>0.90689051151275635</v>
      </c>
    </row>
    <row r="4" spans="1:14" x14ac:dyDescent="0.25">
      <c r="D4" s="16"/>
      <c r="J4" t="s">
        <v>625</v>
      </c>
      <c r="K4" t="s">
        <v>2340</v>
      </c>
      <c r="L4" t="s">
        <v>669</v>
      </c>
      <c r="M4" s="30">
        <v>0.89327597618103027</v>
      </c>
      <c r="N4" s="30">
        <v>0.90689051151275635</v>
      </c>
    </row>
    <row r="5" spans="1:14" x14ac:dyDescent="0.25">
      <c r="D5" s="16"/>
      <c r="J5" t="s">
        <v>626</v>
      </c>
      <c r="K5" t="s">
        <v>2341</v>
      </c>
      <c r="L5" t="s">
        <v>2229</v>
      </c>
      <c r="M5" s="30">
        <v>1.3268539905548096</v>
      </c>
      <c r="N5" s="30">
        <v>1.3098176717758179</v>
      </c>
    </row>
    <row r="6" spans="1:14" x14ac:dyDescent="0.25">
      <c r="D6" s="16"/>
      <c r="J6" t="s">
        <v>656</v>
      </c>
      <c r="K6" t="s">
        <v>2342</v>
      </c>
      <c r="L6" t="s">
        <v>2385</v>
      </c>
      <c r="M6" s="30">
        <v>0.99384099245071411</v>
      </c>
      <c r="N6" s="30">
        <v>1.0495491027832031</v>
      </c>
    </row>
    <row r="7" spans="1:14" x14ac:dyDescent="0.25">
      <c r="D7" s="16"/>
      <c r="J7" t="s">
        <v>627</v>
      </c>
      <c r="K7" t="s">
        <v>2343</v>
      </c>
      <c r="L7" t="s">
        <v>2386</v>
      </c>
      <c r="M7" s="30">
        <v>702.89739990234375</v>
      </c>
      <c r="N7" s="30">
        <v>622.55877685546875</v>
      </c>
    </row>
    <row r="8" spans="1:14" x14ac:dyDescent="0.25">
      <c r="D8" s="16"/>
      <c r="J8" t="s">
        <v>628</v>
      </c>
      <c r="K8" t="s">
        <v>2344</v>
      </c>
      <c r="L8" t="s">
        <v>2233</v>
      </c>
      <c r="M8" s="30">
        <v>3280.83154296875</v>
      </c>
      <c r="N8" s="30">
        <v>2880.344482421875</v>
      </c>
    </row>
    <row r="9" spans="1:14" x14ac:dyDescent="0.25">
      <c r="D9" s="16"/>
      <c r="J9" t="s">
        <v>629</v>
      </c>
      <c r="K9" t="s">
        <v>2345</v>
      </c>
      <c r="L9" t="s">
        <v>2228</v>
      </c>
      <c r="M9" s="30">
        <v>22.932249069213867</v>
      </c>
      <c r="N9" s="30">
        <v>22.510705947875977</v>
      </c>
    </row>
    <row r="10" spans="1:14" x14ac:dyDescent="0.25">
      <c r="D10" s="16"/>
      <c r="J10" t="s">
        <v>634</v>
      </c>
      <c r="K10" t="s">
        <v>2346</v>
      </c>
      <c r="L10" t="s">
        <v>669</v>
      </c>
      <c r="M10" s="30">
        <v>0.89327597618103027</v>
      </c>
      <c r="N10" s="30">
        <v>0.90689051151275635</v>
      </c>
    </row>
    <row r="11" spans="1:14" x14ac:dyDescent="0.25">
      <c r="D11" s="16"/>
      <c r="J11" t="s">
        <v>630</v>
      </c>
      <c r="K11" t="s">
        <v>2347</v>
      </c>
      <c r="L11" t="s">
        <v>2227</v>
      </c>
      <c r="M11" s="30">
        <v>6.6694469451904297</v>
      </c>
      <c r="N11" s="30">
        <v>6.777684211730957</v>
      </c>
    </row>
    <row r="12" spans="1:14" x14ac:dyDescent="0.25">
      <c r="D12" s="16"/>
      <c r="J12" t="s">
        <v>654</v>
      </c>
      <c r="K12" t="s">
        <v>2348</v>
      </c>
      <c r="L12" t="s">
        <v>669</v>
      </c>
      <c r="M12" s="30">
        <v>0.89327597618103027</v>
      </c>
      <c r="N12" s="30">
        <v>0.90689051151275635</v>
      </c>
    </row>
    <row r="13" spans="1:14" x14ac:dyDescent="0.25">
      <c r="D13" s="16"/>
      <c r="J13" t="s">
        <v>631</v>
      </c>
      <c r="K13" t="s">
        <v>2349</v>
      </c>
      <c r="L13" t="s">
        <v>669</v>
      </c>
      <c r="M13" s="30">
        <v>0.89327597618103027</v>
      </c>
      <c r="N13" s="30">
        <v>0.90689051151275635</v>
      </c>
    </row>
    <row r="14" spans="1:14" x14ac:dyDescent="0.25">
      <c r="D14" s="16"/>
      <c r="J14" t="s">
        <v>632</v>
      </c>
      <c r="K14" t="s">
        <v>2350</v>
      </c>
      <c r="L14" t="s">
        <v>669</v>
      </c>
      <c r="M14" s="30">
        <v>0.89327597618103027</v>
      </c>
      <c r="N14" s="30">
        <v>0.90689051151275635</v>
      </c>
    </row>
    <row r="15" spans="1:14" x14ac:dyDescent="0.25">
      <c r="D15" s="16"/>
      <c r="J15" t="s">
        <v>633</v>
      </c>
      <c r="K15" t="s">
        <v>2351</v>
      </c>
      <c r="L15" t="s">
        <v>669</v>
      </c>
      <c r="M15" s="30">
        <v>0.89327597618103027</v>
      </c>
      <c r="N15" s="30">
        <v>0.90689051151275635</v>
      </c>
    </row>
    <row r="16" spans="1:14" x14ac:dyDescent="0.25">
      <c r="D16" s="16"/>
      <c r="J16" t="s">
        <v>658</v>
      </c>
      <c r="K16" t="s">
        <v>2352</v>
      </c>
      <c r="L16" t="s">
        <v>2221</v>
      </c>
      <c r="M16" s="30">
        <v>0.78344500064849854</v>
      </c>
      <c r="N16" s="30">
        <v>0.78487849235534668</v>
      </c>
    </row>
    <row r="17" spans="4:14" x14ac:dyDescent="0.25">
      <c r="D17" s="16"/>
      <c r="J17" t="s">
        <v>635</v>
      </c>
      <c r="K17" t="s">
        <v>2353</v>
      </c>
      <c r="L17" t="s">
        <v>669</v>
      </c>
      <c r="M17" s="30">
        <v>0.89327597618103027</v>
      </c>
      <c r="N17" s="30">
        <v>0.90689051151275635</v>
      </c>
    </row>
    <row r="18" spans="4:14" x14ac:dyDescent="0.25">
      <c r="D18" s="16"/>
      <c r="J18" t="s">
        <v>636</v>
      </c>
      <c r="K18" t="s">
        <v>2354</v>
      </c>
      <c r="L18" t="s">
        <v>2226</v>
      </c>
      <c r="M18" s="30">
        <v>290.66000366210938</v>
      </c>
      <c r="N18" s="30">
        <v>272.60690307617188</v>
      </c>
    </row>
    <row r="19" spans="4:14" x14ac:dyDescent="0.25">
      <c r="D19" s="16"/>
      <c r="J19" t="s">
        <v>638</v>
      </c>
      <c r="K19" t="s">
        <v>2355</v>
      </c>
      <c r="L19" t="s">
        <v>669</v>
      </c>
      <c r="M19" s="30">
        <v>0.89327597618103027</v>
      </c>
      <c r="N19" s="30">
        <v>0.90689051151275635</v>
      </c>
    </row>
    <row r="20" spans="4:14" x14ac:dyDescent="0.25">
      <c r="D20" s="16"/>
      <c r="J20" t="s">
        <v>637</v>
      </c>
      <c r="K20" t="s">
        <v>2356</v>
      </c>
      <c r="L20" t="s">
        <v>2327</v>
      </c>
      <c r="M20" s="30">
        <v>122.60677337646484</v>
      </c>
      <c r="N20" s="30">
        <v>110.01357269287109</v>
      </c>
    </row>
    <row r="21" spans="4:14" x14ac:dyDescent="0.25">
      <c r="D21" s="16"/>
      <c r="J21" t="s">
        <v>639</v>
      </c>
      <c r="K21" t="s">
        <v>2357</v>
      </c>
      <c r="L21" t="s">
        <v>2387</v>
      </c>
      <c r="M21" s="30">
        <v>3.5645270347595215</v>
      </c>
      <c r="N21" s="30">
        <v>3.6714019775390625</v>
      </c>
    </row>
    <row r="22" spans="4:14" x14ac:dyDescent="0.25">
      <c r="D22" s="16"/>
      <c r="J22" t="s">
        <v>640</v>
      </c>
      <c r="K22" t="s">
        <v>2358</v>
      </c>
      <c r="L22" t="s">
        <v>669</v>
      </c>
      <c r="M22" s="30">
        <v>0.89327597618103027</v>
      </c>
      <c r="N22" s="30">
        <v>0.90689051151275635</v>
      </c>
    </row>
    <row r="23" spans="4:14" x14ac:dyDescent="0.25">
      <c r="D23" s="16"/>
      <c r="J23" t="s">
        <v>641</v>
      </c>
      <c r="K23" t="s">
        <v>2359</v>
      </c>
      <c r="L23" t="s">
        <v>2225</v>
      </c>
      <c r="M23" s="30">
        <v>109.00966644287109</v>
      </c>
      <c r="N23" s="30">
        <v>111.22071075439453</v>
      </c>
    </row>
    <row r="24" spans="4:14" x14ac:dyDescent="0.25">
      <c r="D24" s="16"/>
      <c r="J24" t="s">
        <v>642</v>
      </c>
      <c r="K24" t="s">
        <v>2360</v>
      </c>
      <c r="L24" t="s">
        <v>2224</v>
      </c>
      <c r="M24" s="30">
        <v>1165.4989013671875</v>
      </c>
      <c r="N24" s="30">
        <v>1146.260009765625</v>
      </c>
    </row>
    <row r="25" spans="4:14" x14ac:dyDescent="0.25">
      <c r="D25" s="16"/>
      <c r="J25" t="s">
        <v>644</v>
      </c>
      <c r="K25" t="s">
        <v>2361</v>
      </c>
      <c r="L25" t="s">
        <v>669</v>
      </c>
      <c r="M25" s="30">
        <v>0.89327597618103027</v>
      </c>
      <c r="N25" s="30">
        <v>0.90689051151275635</v>
      </c>
    </row>
    <row r="26" spans="4:14" x14ac:dyDescent="0.25">
      <c r="D26" s="16"/>
      <c r="J26" t="s">
        <v>645</v>
      </c>
      <c r="K26" t="s">
        <v>2362</v>
      </c>
      <c r="L26" t="s">
        <v>669</v>
      </c>
      <c r="M26" s="30">
        <v>0.89327597618103027</v>
      </c>
      <c r="N26" s="30">
        <v>0.90689051151275635</v>
      </c>
    </row>
    <row r="27" spans="4:14" x14ac:dyDescent="0.25">
      <c r="D27" s="16"/>
      <c r="J27" t="s">
        <v>643</v>
      </c>
      <c r="K27" t="s">
        <v>2363</v>
      </c>
      <c r="L27" t="s">
        <v>669</v>
      </c>
      <c r="M27" s="30">
        <v>0.89327597618103027</v>
      </c>
      <c r="N27" s="30">
        <v>0.90689051151275635</v>
      </c>
    </row>
    <row r="28" spans="4:14" x14ac:dyDescent="0.25">
      <c r="D28" s="16"/>
      <c r="J28" t="s">
        <v>646</v>
      </c>
      <c r="K28" t="s">
        <v>2364</v>
      </c>
      <c r="L28" t="s">
        <v>2388</v>
      </c>
      <c r="M28" s="30">
        <v>19.263633728027344</v>
      </c>
      <c r="N28" s="30">
        <v>17.222244262695313</v>
      </c>
    </row>
    <row r="29" spans="4:14" x14ac:dyDescent="0.25">
      <c r="D29" s="16"/>
      <c r="J29" t="s">
        <v>647</v>
      </c>
      <c r="K29" t="s">
        <v>2365</v>
      </c>
      <c r="L29" t="s">
        <v>669</v>
      </c>
      <c r="M29" s="30">
        <v>0.89327597618103027</v>
      </c>
      <c r="N29" s="30">
        <v>0.90689051151275635</v>
      </c>
    </row>
    <row r="30" spans="4:14" x14ac:dyDescent="0.25">
      <c r="D30" s="16"/>
      <c r="J30" t="s">
        <v>649</v>
      </c>
      <c r="K30" t="s">
        <v>2366</v>
      </c>
      <c r="L30" t="s">
        <v>2222</v>
      </c>
      <c r="M30" s="30">
        <v>8.8000001907348633</v>
      </c>
      <c r="N30" s="30">
        <v>8.1564216613769531</v>
      </c>
    </row>
    <row r="31" spans="4:14" x14ac:dyDescent="0.25">
      <c r="D31" s="16"/>
      <c r="J31" t="s">
        <v>648</v>
      </c>
      <c r="K31" t="s">
        <v>2367</v>
      </c>
      <c r="L31" t="s">
        <v>2223</v>
      </c>
      <c r="M31" s="30">
        <v>1.5178749561309814</v>
      </c>
      <c r="N31" s="30">
        <v>1.4867726564407349</v>
      </c>
    </row>
    <row r="32" spans="4:14" x14ac:dyDescent="0.25">
      <c r="J32" t="s">
        <v>650</v>
      </c>
      <c r="K32" t="s">
        <v>2368</v>
      </c>
      <c r="L32" t="s">
        <v>2328</v>
      </c>
      <c r="M32" s="30">
        <v>3.8393750190734863</v>
      </c>
      <c r="N32" s="30">
        <v>3.7561793327331543</v>
      </c>
    </row>
    <row r="33" spans="10:14" x14ac:dyDescent="0.25">
      <c r="J33" t="s">
        <v>651</v>
      </c>
      <c r="K33" t="s">
        <v>2369</v>
      </c>
      <c r="L33" t="s">
        <v>669</v>
      </c>
      <c r="M33" s="30">
        <v>0.89327597618103027</v>
      </c>
      <c r="N33" s="30">
        <v>0.90689051151275635</v>
      </c>
    </row>
    <row r="34" spans="10:14" x14ac:dyDescent="0.25">
      <c r="J34" t="s">
        <v>652</v>
      </c>
      <c r="K34" t="s">
        <v>2370</v>
      </c>
      <c r="L34" t="s">
        <v>669</v>
      </c>
      <c r="M34" s="30">
        <v>0.89327597618103027</v>
      </c>
      <c r="N34" s="30">
        <v>0.90689051151275635</v>
      </c>
    </row>
    <row r="35" spans="10:14" x14ac:dyDescent="0.25">
      <c r="J35" t="s">
        <v>653</v>
      </c>
      <c r="K35" t="s">
        <v>2371</v>
      </c>
      <c r="L35" t="s">
        <v>669</v>
      </c>
      <c r="M35" s="30">
        <v>0.89327597618103027</v>
      </c>
      <c r="N35" s="30">
        <v>0.90689051151275635</v>
      </c>
    </row>
    <row r="36" spans="10:14" x14ac:dyDescent="0.25">
      <c r="J36" t="s">
        <v>655</v>
      </c>
      <c r="K36" t="s">
        <v>2372</v>
      </c>
      <c r="L36" t="s">
        <v>2220</v>
      </c>
      <c r="M36" s="30">
        <v>9.4583492279052734</v>
      </c>
      <c r="N36" s="30">
        <v>9.6610403060913086</v>
      </c>
    </row>
    <row r="37" spans="10:14" x14ac:dyDescent="0.25">
      <c r="J37" t="s">
        <v>657</v>
      </c>
      <c r="K37" t="s">
        <v>2373</v>
      </c>
      <c r="L37" t="s">
        <v>2389</v>
      </c>
      <c r="M37" s="30">
        <v>5.6738190650939941</v>
      </c>
      <c r="N37" s="30">
        <v>4.5730061531066895</v>
      </c>
    </row>
    <row r="38" spans="10:14" x14ac:dyDescent="0.25">
      <c r="J38" t="s">
        <v>659</v>
      </c>
      <c r="K38" t="s">
        <v>2374</v>
      </c>
      <c r="L38" t="s">
        <v>1270</v>
      </c>
      <c r="M38" s="30">
        <v>1</v>
      </c>
      <c r="N38" s="30">
        <v>1</v>
      </c>
    </row>
    <row r="39" spans="10:14" ht="13" x14ac:dyDescent="0.3">
      <c r="J39" t="s">
        <v>660</v>
      </c>
      <c r="K39" t="s">
        <v>2375</v>
      </c>
      <c r="L39" t="s">
        <v>2390</v>
      </c>
      <c r="M39" s="30">
        <v>587.29461669921875</v>
      </c>
      <c r="N39" s="33">
        <f>M39</f>
        <v>587.29461669921875</v>
      </c>
    </row>
    <row r="40" spans="10:14" x14ac:dyDescent="0.25">
      <c r="J40" t="s">
        <v>661</v>
      </c>
      <c r="K40" t="s">
        <v>2376</v>
      </c>
      <c r="L40" t="s">
        <v>2391</v>
      </c>
      <c r="M40" s="30">
        <v>3.9273419380187988</v>
      </c>
      <c r="N40" s="30">
        <v>2.9899821281433105</v>
      </c>
    </row>
    <row r="41" spans="10:14" x14ac:dyDescent="0.25">
      <c r="J41" t="s">
        <v>662</v>
      </c>
      <c r="K41" t="s">
        <v>2377</v>
      </c>
      <c r="L41" t="s">
        <v>2392</v>
      </c>
      <c r="M41" s="30">
        <v>6.9083847999572754</v>
      </c>
      <c r="N41" s="30">
        <v>6.8985075950622559</v>
      </c>
    </row>
    <row r="42" spans="10:14" x14ac:dyDescent="0.25">
      <c r="J42" t="s">
        <v>663</v>
      </c>
      <c r="K42" t="s">
        <v>2378</v>
      </c>
      <c r="L42" t="s">
        <v>2393</v>
      </c>
      <c r="M42" s="30">
        <v>70.419967651367188</v>
      </c>
      <c r="N42" s="30">
        <v>66.860771179199219</v>
      </c>
    </row>
    <row r="43" spans="10:14" x14ac:dyDescent="0.25">
      <c r="J43" t="s">
        <v>664</v>
      </c>
      <c r="K43" t="s">
        <v>2379</v>
      </c>
      <c r="L43" t="s">
        <v>2219</v>
      </c>
      <c r="M43" s="30">
        <v>14147.6708984375</v>
      </c>
      <c r="N43" s="30">
        <v>13659.6005859375</v>
      </c>
    </row>
    <row r="44" spans="10:14" x14ac:dyDescent="0.25">
      <c r="J44" t="s">
        <v>2380</v>
      </c>
      <c r="K44" t="s">
        <v>2381</v>
      </c>
      <c r="L44" t="s">
        <v>2394</v>
      </c>
      <c r="M44" s="30">
        <v>64.737655639648438</v>
      </c>
      <c r="N44" s="30">
        <v>57.603736877441406</v>
      </c>
    </row>
    <row r="45" spans="10:14" x14ac:dyDescent="0.25">
      <c r="J45" t="s">
        <v>665</v>
      </c>
      <c r="K45" t="s">
        <v>2382</v>
      </c>
      <c r="L45" t="s">
        <v>2232</v>
      </c>
      <c r="M45" s="30">
        <v>14.448427200317383</v>
      </c>
      <c r="N45" s="30">
        <v>12.610870361328125</v>
      </c>
    </row>
    <row r="46" spans="10:14" x14ac:dyDescent="0.25">
      <c r="J46" t="s">
        <v>622</v>
      </c>
      <c r="K46" t="s">
        <v>2383</v>
      </c>
      <c r="L46" t="s">
        <v>2230</v>
      </c>
      <c r="M46" s="30">
        <v>48.147891998291016</v>
      </c>
      <c r="N46" s="30">
        <v>32.531078338623047</v>
      </c>
    </row>
    <row r="47" spans="10:14" x14ac:dyDescent="0.25">
      <c r="M47" s="30"/>
      <c r="N47" s="30"/>
    </row>
    <row r="48" spans="10:14" x14ac:dyDescent="0.25">
      <c r="M48" s="30"/>
      <c r="N48" s="30"/>
    </row>
    <row r="49" spans="13:14" x14ac:dyDescent="0.25">
      <c r="M49" s="30"/>
      <c r="N49" s="30"/>
    </row>
    <row r="50" spans="13:14" x14ac:dyDescent="0.25">
      <c r="M50" s="30"/>
      <c r="N50" s="30"/>
    </row>
    <row r="51" spans="13:14" x14ac:dyDescent="0.25">
      <c r="M51" s="30"/>
      <c r="N51" s="30"/>
    </row>
    <row r="52" spans="13:14" x14ac:dyDescent="0.25">
      <c r="M52" s="30"/>
      <c r="N52" s="30"/>
    </row>
    <row r="53" spans="13:14" x14ac:dyDescent="0.25">
      <c r="M53" s="30"/>
      <c r="N53" s="30"/>
    </row>
    <row r="54" spans="13:14" x14ac:dyDescent="0.25">
      <c r="M54" s="30"/>
      <c r="N54" s="30"/>
    </row>
    <row r="55" spans="13:14" x14ac:dyDescent="0.25">
      <c r="M55" s="30"/>
      <c r="N55" s="30"/>
    </row>
    <row r="56" spans="13:14" x14ac:dyDescent="0.25">
      <c r="M56" s="30"/>
      <c r="N56" s="30"/>
    </row>
    <row r="57" spans="13:14" x14ac:dyDescent="0.25">
      <c r="M57" s="30"/>
      <c r="N57" s="30"/>
    </row>
    <row r="58" spans="13:14" x14ac:dyDescent="0.25">
      <c r="M58" s="30"/>
      <c r="N58" s="30"/>
    </row>
    <row r="59" spans="13:14" x14ac:dyDescent="0.25">
      <c r="M59" s="30"/>
      <c r="N59" s="30"/>
    </row>
    <row r="60" spans="13:14" x14ac:dyDescent="0.25">
      <c r="M60" s="30"/>
      <c r="N60" s="30"/>
    </row>
    <row r="61" spans="13:14" x14ac:dyDescent="0.25">
      <c r="M61" s="30"/>
      <c r="N61" s="30"/>
    </row>
    <row r="62" spans="13:14" x14ac:dyDescent="0.25">
      <c r="M62" s="30"/>
      <c r="N62" s="30"/>
    </row>
    <row r="63" spans="13:14" x14ac:dyDescent="0.25">
      <c r="M63" s="30"/>
      <c r="N63" s="30"/>
    </row>
    <row r="64" spans="13:14" x14ac:dyDescent="0.25">
      <c r="M64" s="30"/>
      <c r="N64" s="30"/>
    </row>
    <row r="65" spans="13:14" x14ac:dyDescent="0.25">
      <c r="M65" s="30"/>
      <c r="N65" s="30"/>
    </row>
    <row r="66" spans="13:14" x14ac:dyDescent="0.25">
      <c r="M66" s="30"/>
      <c r="N66" s="30"/>
    </row>
    <row r="67" spans="13:14" x14ac:dyDescent="0.25">
      <c r="M67" s="30"/>
      <c r="N67" s="30"/>
    </row>
    <row r="68" spans="13:14" x14ac:dyDescent="0.25">
      <c r="M68" s="30"/>
      <c r="N68" s="30"/>
    </row>
    <row r="69" spans="13:14" x14ac:dyDescent="0.25">
      <c r="M69" s="30"/>
      <c r="N69" s="30"/>
    </row>
    <row r="70" spans="13:14" x14ac:dyDescent="0.25">
      <c r="M70" s="30"/>
      <c r="N70" s="30"/>
    </row>
    <row r="71" spans="13:14" x14ac:dyDescent="0.25">
      <c r="M71" s="30"/>
      <c r="N71" s="30"/>
    </row>
    <row r="72" spans="13:14" x14ac:dyDescent="0.25">
      <c r="M72" s="30"/>
      <c r="N72" s="30"/>
    </row>
    <row r="73" spans="13:14" x14ac:dyDescent="0.25">
      <c r="M73" s="30"/>
      <c r="N73" s="30"/>
    </row>
    <row r="74" spans="13:14" x14ac:dyDescent="0.25">
      <c r="M74" s="30"/>
      <c r="N74" s="30"/>
    </row>
    <row r="75" spans="13:14" x14ac:dyDescent="0.25">
      <c r="M75" s="30"/>
      <c r="N75" s="30"/>
    </row>
    <row r="76" spans="13:14" x14ac:dyDescent="0.25">
      <c r="M76" s="30"/>
      <c r="N76" s="30"/>
    </row>
    <row r="77" spans="13:14" x14ac:dyDescent="0.25">
      <c r="M77" s="30"/>
      <c r="N77" s="30"/>
    </row>
    <row r="78" spans="13:14" x14ac:dyDescent="0.25">
      <c r="M78" s="30"/>
      <c r="N78" s="30"/>
    </row>
    <row r="79" spans="13:14" x14ac:dyDescent="0.25">
      <c r="M79" s="30"/>
      <c r="N79" s="30"/>
    </row>
    <row r="80" spans="13:14" x14ac:dyDescent="0.25">
      <c r="M80" s="30"/>
      <c r="N80" s="30"/>
    </row>
    <row r="81" spans="13:14" x14ac:dyDescent="0.25">
      <c r="M81" s="30"/>
      <c r="N81" s="30"/>
    </row>
    <row r="82" spans="13:14" x14ac:dyDescent="0.25">
      <c r="M82" s="30"/>
      <c r="N82" s="30"/>
    </row>
    <row r="83" spans="13:14" x14ac:dyDescent="0.25">
      <c r="M83" s="30"/>
      <c r="N83" s="30"/>
    </row>
    <row r="84" spans="13:14" x14ac:dyDescent="0.25">
      <c r="M84" s="30"/>
      <c r="N84" s="30"/>
    </row>
    <row r="85" spans="13:14" x14ac:dyDescent="0.25">
      <c r="M85" s="30"/>
      <c r="N85" s="30"/>
    </row>
    <row r="86" spans="13:14" x14ac:dyDescent="0.25">
      <c r="M86" s="30"/>
      <c r="N86" s="30"/>
    </row>
    <row r="87" spans="13:14" x14ac:dyDescent="0.25">
      <c r="M87" s="30"/>
      <c r="N87" s="30"/>
    </row>
    <row r="88" spans="13:14" x14ac:dyDescent="0.25">
      <c r="M88" s="30"/>
      <c r="N88" s="30"/>
    </row>
    <row r="89" spans="13:14" x14ac:dyDescent="0.25">
      <c r="M89" s="30"/>
      <c r="N89" s="30"/>
    </row>
    <row r="90" spans="13:14" x14ac:dyDescent="0.25">
      <c r="M90" s="30"/>
      <c r="N90" s="30"/>
    </row>
    <row r="91" spans="13:14" x14ac:dyDescent="0.25">
      <c r="M91" s="30"/>
      <c r="N91" s="30"/>
    </row>
    <row r="92" spans="13:14" x14ac:dyDescent="0.25">
      <c r="M92" s="30"/>
      <c r="N92" s="30"/>
    </row>
    <row r="93" spans="13:14" x14ac:dyDescent="0.25">
      <c r="M93" s="30"/>
      <c r="N93" s="30"/>
    </row>
    <row r="94" spans="13:14" x14ac:dyDescent="0.25">
      <c r="M94" s="30"/>
      <c r="N94" s="30"/>
    </row>
    <row r="95" spans="13:14" x14ac:dyDescent="0.25">
      <c r="M95" s="30"/>
      <c r="N95" s="30"/>
    </row>
    <row r="96" spans="13:14" x14ac:dyDescent="0.25">
      <c r="M96" s="30"/>
      <c r="N96" s="30"/>
    </row>
    <row r="97" spans="13:14" x14ac:dyDescent="0.25">
      <c r="M97" s="30"/>
      <c r="N97" s="30"/>
    </row>
    <row r="98" spans="13:14" x14ac:dyDescent="0.25">
      <c r="M98" s="30"/>
      <c r="N98" s="30"/>
    </row>
    <row r="99" spans="13:14" x14ac:dyDescent="0.25">
      <c r="M99" s="30"/>
      <c r="N99" s="30"/>
    </row>
    <row r="100" spans="13:14" x14ac:dyDescent="0.25">
      <c r="M100" s="30"/>
      <c r="N100" s="30"/>
    </row>
    <row r="101" spans="13:14" x14ac:dyDescent="0.25">
      <c r="M101" s="30"/>
      <c r="N101" s="30"/>
    </row>
    <row r="102" spans="13:14" x14ac:dyDescent="0.25">
      <c r="M102" s="30"/>
      <c r="N102" s="30"/>
    </row>
    <row r="103" spans="13:14" x14ac:dyDescent="0.25">
      <c r="M103" s="30"/>
      <c r="N103" s="30"/>
    </row>
    <row r="104" spans="13:14" x14ac:dyDescent="0.25">
      <c r="M104" s="30"/>
      <c r="N104" s="30"/>
    </row>
    <row r="105" spans="13:14" x14ac:dyDescent="0.25">
      <c r="M105" s="30"/>
      <c r="N105" s="30"/>
    </row>
    <row r="106" spans="13:14" x14ac:dyDescent="0.25">
      <c r="M106" s="30"/>
      <c r="N106" s="30"/>
    </row>
    <row r="107" spans="13:14" x14ac:dyDescent="0.25">
      <c r="M107" s="30"/>
      <c r="N107" s="30"/>
    </row>
    <row r="108" spans="13:14" x14ac:dyDescent="0.25">
      <c r="M108" s="30"/>
      <c r="N108" s="30"/>
    </row>
    <row r="109" spans="13:14" x14ac:dyDescent="0.25">
      <c r="M109" s="30"/>
      <c r="N109" s="30"/>
    </row>
    <row r="110" spans="13:14" x14ac:dyDescent="0.25">
      <c r="M110" s="30"/>
      <c r="N110" s="30"/>
    </row>
    <row r="111" spans="13:14" x14ac:dyDescent="0.25">
      <c r="M111" s="30"/>
      <c r="N111" s="30"/>
    </row>
    <row r="112" spans="13:14" x14ac:dyDescent="0.25">
      <c r="M112" s="30"/>
      <c r="N112" s="30"/>
    </row>
    <row r="113" spans="13:14" x14ac:dyDescent="0.25">
      <c r="M113" s="30"/>
      <c r="N113" s="30"/>
    </row>
    <row r="114" spans="13:14" x14ac:dyDescent="0.25">
      <c r="M114" s="30"/>
      <c r="N114" s="30"/>
    </row>
    <row r="115" spans="13:14" x14ac:dyDescent="0.25">
      <c r="M115" s="30"/>
      <c r="N115" s="30"/>
    </row>
    <row r="116" spans="13:14" x14ac:dyDescent="0.25">
      <c r="M116" s="30"/>
      <c r="N116" s="30"/>
    </row>
    <row r="117" spans="13:14" x14ac:dyDescent="0.25">
      <c r="M117" s="30"/>
      <c r="N117" s="30"/>
    </row>
    <row r="118" spans="13:14" x14ac:dyDescent="0.25">
      <c r="M118" s="30"/>
      <c r="N118" s="30"/>
    </row>
    <row r="119" spans="13:14" x14ac:dyDescent="0.25">
      <c r="M119" s="30"/>
      <c r="N119" s="30"/>
    </row>
    <row r="120" spans="13:14" x14ac:dyDescent="0.25">
      <c r="M120" s="30"/>
      <c r="N120" s="30"/>
    </row>
    <row r="121" spans="13:14" x14ac:dyDescent="0.25">
      <c r="M121" s="30"/>
      <c r="N121" s="30"/>
    </row>
    <row r="122" spans="13:14" x14ac:dyDescent="0.25">
      <c r="M122" s="30"/>
      <c r="N122" s="30"/>
    </row>
    <row r="123" spans="13:14" x14ac:dyDescent="0.25">
      <c r="M123" s="30"/>
      <c r="N123" s="30"/>
    </row>
    <row r="124" spans="13:14" x14ac:dyDescent="0.25">
      <c r="M124" s="30"/>
      <c r="N124" s="30"/>
    </row>
    <row r="125" spans="13:14" x14ac:dyDescent="0.25">
      <c r="M125" s="30"/>
      <c r="N125" s="30"/>
    </row>
    <row r="126" spans="13:14" x14ac:dyDescent="0.25">
      <c r="M126" s="30"/>
      <c r="N126" s="30"/>
    </row>
    <row r="127" spans="13:14" x14ac:dyDescent="0.25">
      <c r="M127" s="30"/>
      <c r="N127" s="30"/>
    </row>
    <row r="128" spans="13:14" x14ac:dyDescent="0.25">
      <c r="M128" s="30"/>
      <c r="N128" s="30"/>
    </row>
    <row r="129" spans="13:14" x14ac:dyDescent="0.25">
      <c r="M129" s="30"/>
      <c r="N129" s="30"/>
    </row>
    <row r="130" spans="13:14" x14ac:dyDescent="0.25">
      <c r="M130" s="30"/>
      <c r="N130" s="30"/>
    </row>
    <row r="131" spans="13:14" x14ac:dyDescent="0.25">
      <c r="M131" s="30"/>
      <c r="N131" s="30"/>
    </row>
    <row r="132" spans="13:14" x14ac:dyDescent="0.25">
      <c r="M132" s="30"/>
      <c r="N132" s="30"/>
    </row>
    <row r="133" spans="13:14" x14ac:dyDescent="0.25">
      <c r="M133" s="30"/>
      <c r="N133" s="30"/>
    </row>
    <row r="134" spans="13:14" x14ac:dyDescent="0.25">
      <c r="M134" s="30"/>
      <c r="N134" s="30"/>
    </row>
    <row r="135" spans="13:14" x14ac:dyDescent="0.25">
      <c r="M135" s="30"/>
      <c r="N135" s="30"/>
    </row>
    <row r="136" spans="13:14" x14ac:dyDescent="0.25">
      <c r="M136" s="30"/>
      <c r="N136" s="30"/>
    </row>
    <row r="137" spans="13:14" x14ac:dyDescent="0.25">
      <c r="M137" s="30"/>
      <c r="N137" s="30"/>
    </row>
    <row r="138" spans="13:14" x14ac:dyDescent="0.25">
      <c r="M138" s="30"/>
      <c r="N138" s="30"/>
    </row>
    <row r="139" spans="13:14" x14ac:dyDescent="0.25">
      <c r="M139" s="30"/>
      <c r="N139" s="30"/>
    </row>
    <row r="140" spans="13:14" x14ac:dyDescent="0.25">
      <c r="M140" s="30"/>
      <c r="N140" s="30"/>
    </row>
    <row r="141" spans="13:14" x14ac:dyDescent="0.25">
      <c r="M141" s="30"/>
      <c r="N141" s="30"/>
    </row>
    <row r="142" spans="13:14" x14ac:dyDescent="0.25">
      <c r="M142" s="30"/>
      <c r="N142" s="30"/>
    </row>
    <row r="143" spans="13:14" x14ac:dyDescent="0.25">
      <c r="M143" s="30"/>
      <c r="N143" s="30"/>
    </row>
    <row r="144" spans="13:14" x14ac:dyDescent="0.25">
      <c r="M144" s="30"/>
      <c r="N144" s="30"/>
    </row>
    <row r="145" spans="13:14" x14ac:dyDescent="0.25">
      <c r="M145" s="30"/>
      <c r="N145" s="30"/>
    </row>
    <row r="146" spans="13:14" x14ac:dyDescent="0.25">
      <c r="M146" s="30"/>
      <c r="N146" s="30"/>
    </row>
    <row r="147" spans="13:14" x14ac:dyDescent="0.25">
      <c r="M147" s="30"/>
      <c r="N147" s="30"/>
    </row>
    <row r="148" spans="13:14" x14ac:dyDescent="0.25">
      <c r="M148" s="30"/>
      <c r="N148" s="30"/>
    </row>
    <row r="149" spans="13:14" x14ac:dyDescent="0.25">
      <c r="M149" s="30"/>
      <c r="N149" s="30"/>
    </row>
    <row r="150" spans="13:14" x14ac:dyDescent="0.25">
      <c r="M150" s="30"/>
      <c r="N150" s="30"/>
    </row>
    <row r="151" spans="13:14" x14ac:dyDescent="0.25">
      <c r="M151" s="30"/>
      <c r="N151" s="30"/>
    </row>
    <row r="152" spans="13:14" x14ac:dyDescent="0.25">
      <c r="M152" s="30"/>
      <c r="N152" s="30"/>
    </row>
    <row r="153" spans="13:14" x14ac:dyDescent="0.25">
      <c r="M153" s="30"/>
      <c r="N153" s="30"/>
    </row>
    <row r="154" spans="13:14" x14ac:dyDescent="0.25">
      <c r="M154" s="30"/>
      <c r="N154" s="30"/>
    </row>
    <row r="155" spans="13:14" x14ac:dyDescent="0.25">
      <c r="M155" s="30"/>
      <c r="N155" s="30"/>
    </row>
    <row r="156" spans="13:14" x14ac:dyDescent="0.25">
      <c r="M156" s="30"/>
      <c r="N156" s="30"/>
    </row>
    <row r="157" spans="13:14" x14ac:dyDescent="0.25">
      <c r="M157" s="30"/>
      <c r="N157" s="30"/>
    </row>
    <row r="158" spans="13:14" x14ac:dyDescent="0.25">
      <c r="M158" s="30"/>
      <c r="N158" s="30"/>
    </row>
    <row r="159" spans="13:14" x14ac:dyDescent="0.25">
      <c r="M159" s="30"/>
      <c r="N159" s="30"/>
    </row>
    <row r="160" spans="13:14" x14ac:dyDescent="0.25">
      <c r="M160" s="30"/>
      <c r="N160" s="30"/>
    </row>
    <row r="161" spans="13:14" x14ac:dyDescent="0.25">
      <c r="M161" s="30"/>
      <c r="N161" s="30"/>
    </row>
    <row r="162" spans="13:14" x14ac:dyDescent="0.25">
      <c r="M162" s="30"/>
      <c r="N162" s="30"/>
    </row>
    <row r="163" spans="13:14" x14ac:dyDescent="0.25">
      <c r="M163" s="30"/>
      <c r="N163" s="30"/>
    </row>
    <row r="164" spans="13:14" x14ac:dyDescent="0.25">
      <c r="M164" s="30"/>
      <c r="N164" s="30"/>
    </row>
    <row r="165" spans="13:14" x14ac:dyDescent="0.25">
      <c r="M165" s="30"/>
      <c r="N165" s="30"/>
    </row>
    <row r="166" spans="13:14" x14ac:dyDescent="0.25">
      <c r="M166" s="30"/>
      <c r="N166" s="30"/>
    </row>
    <row r="167" spans="13:14" x14ac:dyDescent="0.25">
      <c r="M167" s="30"/>
      <c r="N167" s="30"/>
    </row>
    <row r="168" spans="13:14" x14ac:dyDescent="0.25">
      <c r="M168" s="30"/>
      <c r="N168" s="30"/>
    </row>
    <row r="169" spans="13:14" x14ac:dyDescent="0.25">
      <c r="M169" s="30"/>
      <c r="N169" s="30"/>
    </row>
    <row r="170" spans="13:14" x14ac:dyDescent="0.25">
      <c r="M170" s="30"/>
      <c r="N170" s="30"/>
    </row>
    <row r="171" spans="13:14" x14ac:dyDescent="0.25">
      <c r="M171" s="30"/>
      <c r="N171" s="30"/>
    </row>
    <row r="172" spans="13:14" x14ac:dyDescent="0.25">
      <c r="M172" s="30"/>
      <c r="N172" s="30"/>
    </row>
    <row r="173" spans="13:14" x14ac:dyDescent="0.25">
      <c r="M173" s="30"/>
      <c r="N173" s="30"/>
    </row>
    <row r="174" spans="13:14" x14ac:dyDescent="0.25">
      <c r="M174" s="30"/>
      <c r="N174" s="30"/>
    </row>
    <row r="175" spans="13:14" x14ac:dyDescent="0.25">
      <c r="M175" s="30"/>
      <c r="N175" s="30"/>
    </row>
    <row r="176" spans="13:14" x14ac:dyDescent="0.25">
      <c r="M176" s="30"/>
      <c r="N176" s="30"/>
    </row>
    <row r="177" spans="13:14" x14ac:dyDescent="0.25">
      <c r="M177" s="30"/>
      <c r="N177" s="30"/>
    </row>
    <row r="178" spans="13:14" x14ac:dyDescent="0.25">
      <c r="M178" s="30"/>
      <c r="N178" s="30"/>
    </row>
    <row r="179" spans="13:14" x14ac:dyDescent="0.25">
      <c r="M179" s="30"/>
      <c r="N179" s="30"/>
    </row>
    <row r="180" spans="13:14" x14ac:dyDescent="0.25">
      <c r="M180" s="30"/>
      <c r="N180" s="30"/>
    </row>
    <row r="181" spans="13:14" x14ac:dyDescent="0.25">
      <c r="M181" s="30"/>
      <c r="N181" s="30"/>
    </row>
    <row r="182" spans="13:14" x14ac:dyDescent="0.25">
      <c r="M182" s="30"/>
      <c r="N182" s="30"/>
    </row>
    <row r="183" spans="13:14" x14ac:dyDescent="0.25">
      <c r="M183" s="30"/>
      <c r="N183" s="30"/>
    </row>
    <row r="184" spans="13:14" x14ac:dyDescent="0.25">
      <c r="M184" s="30"/>
      <c r="N184" s="30"/>
    </row>
    <row r="185" spans="13:14" x14ac:dyDescent="0.25">
      <c r="M185" s="30"/>
      <c r="N185" s="30"/>
    </row>
    <row r="186" spans="13:14" x14ac:dyDescent="0.25">
      <c r="M186" s="30"/>
      <c r="N186" s="30"/>
    </row>
    <row r="187" spans="13:14" x14ac:dyDescent="0.25">
      <c r="M187" s="30"/>
      <c r="N187" s="30"/>
    </row>
    <row r="188" spans="13:14" x14ac:dyDescent="0.25">
      <c r="M188" s="30"/>
      <c r="N188" s="30"/>
    </row>
    <row r="189" spans="13:14" x14ac:dyDescent="0.25">
      <c r="M189" s="30"/>
      <c r="N189" s="30"/>
    </row>
    <row r="190" spans="13:14" x14ac:dyDescent="0.25">
      <c r="M190" s="30"/>
      <c r="N190" s="30"/>
    </row>
    <row r="191" spans="13:14" x14ac:dyDescent="0.25">
      <c r="M191" s="30"/>
      <c r="N191" s="30"/>
    </row>
    <row r="192" spans="13:14" x14ac:dyDescent="0.25">
      <c r="M192" s="30"/>
      <c r="N192" s="30"/>
    </row>
    <row r="193" spans="13:14" x14ac:dyDescent="0.25">
      <c r="M193" s="30"/>
      <c r="N193" s="30"/>
    </row>
    <row r="194" spans="13:14" x14ac:dyDescent="0.25">
      <c r="M194" s="30"/>
      <c r="N194" s="30"/>
    </row>
    <row r="195" spans="13:14" x14ac:dyDescent="0.25">
      <c r="M195" s="30"/>
      <c r="N195" s="30"/>
    </row>
    <row r="196" spans="13:14" x14ac:dyDescent="0.25">
      <c r="M196" s="30"/>
      <c r="N196" s="30"/>
    </row>
    <row r="197" spans="13:14" x14ac:dyDescent="0.25">
      <c r="M197" s="30"/>
      <c r="N197" s="30"/>
    </row>
    <row r="198" spans="13:14" x14ac:dyDescent="0.25">
      <c r="M198" s="30"/>
      <c r="N198" s="30"/>
    </row>
    <row r="199" spans="13:14" x14ac:dyDescent="0.25">
      <c r="M199" s="30"/>
      <c r="N199" s="30"/>
    </row>
    <row r="200" spans="13:14" x14ac:dyDescent="0.25">
      <c r="M200" s="30"/>
      <c r="N200" s="30"/>
    </row>
    <row r="201" spans="13:14" x14ac:dyDescent="0.25">
      <c r="M201" s="30"/>
      <c r="N201" s="30"/>
    </row>
    <row r="202" spans="13:14" x14ac:dyDescent="0.25">
      <c r="M202" s="30"/>
      <c r="N202" s="30"/>
    </row>
    <row r="203" spans="13:14" x14ac:dyDescent="0.25">
      <c r="M203" s="30"/>
      <c r="N203" s="30"/>
    </row>
    <row r="204" spans="13:14" x14ac:dyDescent="0.25">
      <c r="M204" s="30"/>
      <c r="N204" s="30"/>
    </row>
    <row r="205" spans="13:14" x14ac:dyDescent="0.25">
      <c r="M205" s="30"/>
      <c r="N205" s="30"/>
    </row>
    <row r="206" spans="13:14" x14ac:dyDescent="0.25">
      <c r="M206" s="30"/>
      <c r="N206" s="30"/>
    </row>
    <row r="207" spans="13:14" x14ac:dyDescent="0.25">
      <c r="M207" s="30"/>
      <c r="N207" s="30"/>
    </row>
    <row r="208" spans="13:14" x14ac:dyDescent="0.25">
      <c r="M208" s="30"/>
      <c r="N208" s="30"/>
    </row>
    <row r="209" spans="13:14" x14ac:dyDescent="0.25">
      <c r="M209" s="30"/>
      <c r="N209" s="30"/>
    </row>
    <row r="210" spans="13:14" x14ac:dyDescent="0.25">
      <c r="M210" s="30"/>
      <c r="N210" s="30"/>
    </row>
    <row r="211" spans="13:14" x14ac:dyDescent="0.25">
      <c r="M211" s="30"/>
      <c r="N211" s="30"/>
    </row>
    <row r="212" spans="13:14" x14ac:dyDescent="0.25">
      <c r="M212" s="30"/>
      <c r="N212" s="30"/>
    </row>
    <row r="213" spans="13:14" x14ac:dyDescent="0.25">
      <c r="M213" s="30"/>
      <c r="N213" s="30"/>
    </row>
    <row r="214" spans="13:14" x14ac:dyDescent="0.25">
      <c r="M214" s="30"/>
      <c r="N214" s="30"/>
    </row>
    <row r="215" spans="13:14" x14ac:dyDescent="0.25">
      <c r="M215" s="30"/>
      <c r="N215" s="30"/>
    </row>
    <row r="216" spans="13:14" x14ac:dyDescent="0.25">
      <c r="M216" s="30"/>
      <c r="N216" s="30"/>
    </row>
    <row r="217" spans="13:14" x14ac:dyDescent="0.25">
      <c r="M217" s="30"/>
      <c r="N217" s="30"/>
    </row>
    <row r="218" spans="13:14" x14ac:dyDescent="0.25">
      <c r="M218" s="30"/>
      <c r="N218" s="30"/>
    </row>
    <row r="219" spans="13:14" x14ac:dyDescent="0.25">
      <c r="M219" s="30"/>
      <c r="N219" s="30"/>
    </row>
    <row r="220" spans="13:14" x14ac:dyDescent="0.25">
      <c r="M220" s="30"/>
      <c r="N220" s="30"/>
    </row>
    <row r="221" spans="13:14" x14ac:dyDescent="0.25">
      <c r="M221" s="30"/>
      <c r="N221" s="30"/>
    </row>
    <row r="222" spans="13:14" x14ac:dyDescent="0.25">
      <c r="M222" s="30"/>
      <c r="N222" s="30"/>
    </row>
    <row r="223" spans="13:14" x14ac:dyDescent="0.25">
      <c r="M223" s="30"/>
      <c r="N223" s="30"/>
    </row>
    <row r="224" spans="13:14" x14ac:dyDescent="0.25">
      <c r="M224" s="30"/>
      <c r="N224" s="30"/>
    </row>
    <row r="225" spans="13:14" x14ac:dyDescent="0.25">
      <c r="M225" s="30"/>
      <c r="N225" s="30"/>
    </row>
    <row r="226" spans="13:14" x14ac:dyDescent="0.25">
      <c r="M226" s="30"/>
      <c r="N226" s="30"/>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
  <sheetViews>
    <sheetView topLeftCell="D1" workbookViewId="0">
      <selection activeCell="N4" sqref="N4"/>
    </sheetView>
  </sheetViews>
  <sheetFormatPr defaultRowHeight="12.5" x14ac:dyDescent="0.25"/>
  <cols>
    <col min="1" max="1" width="9.08984375" style="10"/>
    <col min="3" max="3" width="20.453125" style="10" customWidth="1"/>
    <col min="5" max="5" width="9.08984375" style="10"/>
    <col min="8" max="8" width="9.08984375" style="10"/>
    <col min="12" max="12" width="11" style="10" bestFit="1" customWidth="1"/>
    <col min="14" max="14" width="25.90625" style="4" customWidth="1"/>
  </cols>
  <sheetData>
    <row r="1" spans="1:14" s="4" customFormat="1" ht="13" thickBot="1" x14ac:dyDescent="0.3">
      <c r="A1" s="8" t="s">
        <v>1</v>
      </c>
      <c r="C1" s="8" t="s">
        <v>2</v>
      </c>
      <c r="E1" s="8" t="s">
        <v>3</v>
      </c>
      <c r="H1" s="8" t="s">
        <v>4</v>
      </c>
      <c r="J1" s="9" t="s">
        <v>870</v>
      </c>
      <c r="L1" s="8" t="s">
        <v>7</v>
      </c>
      <c r="N1" s="9" t="s">
        <v>738</v>
      </c>
    </row>
    <row r="2" spans="1:14" x14ac:dyDescent="0.25">
      <c r="A2" s="1" t="s">
        <v>11</v>
      </c>
      <c r="C2" s="1" t="s">
        <v>12</v>
      </c>
      <c r="E2" s="1" t="s">
        <v>13</v>
      </c>
      <c r="H2" s="1" t="s">
        <v>14</v>
      </c>
      <c r="J2" s="2" t="s">
        <v>16</v>
      </c>
      <c r="L2" s="1" t="s">
        <v>17</v>
      </c>
      <c r="N2" s="4" t="s">
        <v>737</v>
      </c>
    </row>
    <row r="3" spans="1:14" x14ac:dyDescent="0.25">
      <c r="A3" s="1" t="s">
        <v>21</v>
      </c>
      <c r="C3" s="1" t="s">
        <v>22</v>
      </c>
      <c r="E3" s="1" t="s">
        <v>23</v>
      </c>
      <c r="H3" s="1" t="s">
        <v>36</v>
      </c>
      <c r="J3" s="2" t="s">
        <v>24</v>
      </c>
      <c r="L3" s="1" t="s">
        <v>25</v>
      </c>
      <c r="N3" s="4" t="s">
        <v>871</v>
      </c>
    </row>
    <row r="4" spans="1:14" x14ac:dyDescent="0.25">
      <c r="A4" s="1" t="s">
        <v>64</v>
      </c>
      <c r="C4" s="1" t="s">
        <v>30</v>
      </c>
      <c r="E4" s="1" t="s">
        <v>39</v>
      </c>
      <c r="H4" s="1" t="s">
        <v>40</v>
      </c>
      <c r="J4" s="2" t="s">
        <v>698</v>
      </c>
      <c r="L4" s="1" t="s">
        <v>41</v>
      </c>
      <c r="N4" s="4" t="s">
        <v>101</v>
      </c>
    </row>
    <row r="5" spans="1:14" x14ac:dyDescent="0.25">
      <c r="A5" s="3"/>
      <c r="C5" s="1" t="s">
        <v>2530</v>
      </c>
      <c r="E5" s="10" t="s">
        <v>872</v>
      </c>
      <c r="H5" s="3" t="s">
        <v>88</v>
      </c>
      <c r="L5" s="1" t="s">
        <v>670</v>
      </c>
      <c r="N5" s="4" t="s">
        <v>113</v>
      </c>
    </row>
    <row r="6" spans="1:14" x14ac:dyDescent="0.25">
      <c r="A6" s="3"/>
      <c r="C6" s="3" t="s">
        <v>84</v>
      </c>
      <c r="H6" s="1" t="s">
        <v>98</v>
      </c>
      <c r="L6" s="1" t="s">
        <v>44</v>
      </c>
    </row>
    <row r="7" spans="1:14" x14ac:dyDescent="0.25">
      <c r="A7" s="3"/>
      <c r="C7" s="1" t="s">
        <v>110</v>
      </c>
      <c r="H7" s="1" t="s">
        <v>161</v>
      </c>
      <c r="L7" s="1" t="s">
        <v>111</v>
      </c>
    </row>
    <row r="8" spans="1:14" x14ac:dyDescent="0.25">
      <c r="A8" s="11"/>
      <c r="H8" s="1" t="s">
        <v>172</v>
      </c>
      <c r="L8" s="1" t="s">
        <v>207</v>
      </c>
    </row>
    <row r="9" spans="1:14" x14ac:dyDescent="0.25">
      <c r="H9" s="10" t="s">
        <v>191</v>
      </c>
      <c r="L9" s="3" t="s">
        <v>809</v>
      </c>
    </row>
    <row r="10" spans="1:14" x14ac:dyDescent="0.25">
      <c r="H10" s="1" t="s">
        <v>258</v>
      </c>
    </row>
    <row r="11" spans="1:14" x14ac:dyDescent="0.25">
      <c r="H11" s="1" t="s">
        <v>619</v>
      </c>
      <c r="L11" s="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OECDTagsCache xmlns="7348197b-4e95-41c6-b270-341eaa4cbbb2" xsi:nil="true"/>
    <OECDProjectManager xmlns="7348197b-4e95-41c6-b270-341eaa4cbbb2">
      <UserInfo>
        <DisplayName/>
        <AccountId>643</AccountId>
        <AccountType/>
      </UserInfo>
    </OECDProjectManager>
    <OECDKimBussinessContext xmlns="54c4cd27-f286-408f-9ce0-33c1e0f3ab39" xsi:nil="true"/>
    <g1cb84c392954f02b97ef964d7fd5f94 xmlns="e36e4070-fdd8-494c-ae17-1a8cf14e7707">
      <Terms xmlns="http://schemas.microsoft.com/office/infopath/2007/PartnerControls"/>
    </g1cb84c392954f02b97ef964d7fd5f94>
    <OECDlanguage xmlns="ca82dde9-3436-4d3d-bddd-d31447390034">English</OECDlanguage>
    <eSharePWBTaxHTField0 xmlns="c9f238dd-bb73-4aef-a7a5-d644ad823e52">
      <Terms xmlns="http://schemas.microsoft.com/office/infopath/2007/PartnerControls">
        <TermInfo xmlns="http://schemas.microsoft.com/office/infopath/2007/PartnerControls">
          <TermName xmlns="http://schemas.microsoft.com/office/infopath/2007/PartnerControls">2.3.1 Environmental Peer Reviews, Indicators and Outlooks</TermName>
          <TermId xmlns="http://schemas.microsoft.com/office/infopath/2007/PartnerControls">3996ec45-8abc-425e-9a15-cc44b9a83721</TermId>
        </TermInfo>
      </Terms>
    </eSharePWBTaxHTField0>
    <OECDExpirationDate xmlns="e36e4070-fdd8-494c-ae17-1a8cf14e7707" xsi:nil="true"/>
    <a5c695ec21c747a0bdb8a6375755520a xmlns="7348197b-4e95-41c6-b270-341eaa4cbbb2">
      <Terms xmlns="http://schemas.microsoft.com/office/infopath/2007/PartnerControls"/>
    </a5c695ec21c747a0bdb8a6375755520a>
    <OECDProjectLookup xmlns="7348197b-4e95-41c6-b270-341eaa4cbbb2">124</OECDProjectLookup>
    <OECDMeetingDate xmlns="54c4cd27-f286-408f-9ce0-33c1e0f3ab39" xsi:nil="true"/>
    <OECDPinnedBy xmlns="7348197b-4e95-41c6-b270-341eaa4cbbb2">
      <UserInfo>
        <DisplayName/>
        <AccountId xsi:nil="true"/>
        <AccountType/>
      </UserInfo>
    </OECDPinnedBy>
    <eShareCommitteeTaxHTField0 xmlns="c9f238dd-bb73-4aef-a7a5-d644ad823e52">
      <Terms xmlns="http://schemas.microsoft.com/office/infopath/2007/PartnerControls"/>
    </eShareCommitteeTaxHTField0>
    <OECDMainProject xmlns="7348197b-4e95-41c6-b270-341eaa4cbbb2">46</OECDMainProject>
    <OECDKimProvenance xmlns="54c4cd27-f286-408f-9ce0-33c1e0f3ab39" xsi:nil="true"/>
    <n8655da54a064da182923cf6cbb46907 xmlns="7348197b-4e95-41c6-b270-341eaa4cbbb2" xsi:nil="true"/>
    <OECDKimStatus xmlns="54c4cd27-f286-408f-9ce0-33c1e0f3ab39">Draft</OECDKimStatus>
    <eShareCountryTaxHTField0 xmlns="c9f238dd-bb73-4aef-a7a5-d644ad823e52">
      <Terms xmlns="http://schemas.microsoft.com/office/infopath/2007/PartnerControls"/>
    </eShareCountryTaxHTField0>
    <eShareTopicTaxHTField0 xmlns="c9f238dd-bb73-4aef-a7a5-d644ad823e52">
      <Terms xmlns="http://schemas.microsoft.com/office/infopath/2007/PartnerControls"/>
    </eShareTopicTaxHTField0>
    <eShareKeywordsTaxHTField0 xmlns="c9f238dd-bb73-4aef-a7a5-d644ad823e52">
      <Terms xmlns="http://schemas.microsoft.com/office/infopath/2007/PartnerControls"/>
    </eShareKeywordsTaxHTField0>
    <TaxCatchAll xmlns="ca82dde9-3436-4d3d-bddd-d31447390034">
      <Value>904</Value>
    </TaxCatchAll>
    <OECDProjectMembers xmlns="7348197b-4e95-41c6-b270-341eaa4cbbb2">
      <UserInfo>
        <DisplayName>CALDER Jennifer, ENV/CBW</DisplayName>
        <AccountId>264</AccountId>
        <AccountType/>
      </UserInfo>
      <UserInfo>
        <DisplayName>MIRABILE Mariana, ENV/CBW</DisplayName>
        <AccountId>1061</AccountId>
        <AccountType/>
      </UserInfo>
      <UserInfo>
        <DisplayName>RÖTTGERS Dirk, ENV/CBW</DisplayName>
        <AccountId>1083</AccountId>
        <AccountType/>
      </UserInfo>
      <UserInfo>
        <DisplayName>BOYD Rodney, ENV/CBW</DisplayName>
        <AccountId>1883</AccountId>
        <AccountType/>
      </UserInfo>
      <UserInfo>
        <DisplayName>DEL BOURGO Beth, ENV</DisplayName>
        <AccountId>643</AccountId>
        <AccountType/>
      </UserInfo>
      <UserInfo>
        <DisplayName>DANIELSON Lisa, ENV/CBW</DisplayName>
        <AccountId>2085</AccountId>
        <AccountType/>
      </UserInfo>
      <UserInfo>
        <DisplayName>AL TAHER CUCCI Sama, ENV/CBW</DisplayName>
        <AccountId>68</AccountId>
        <AccountType/>
      </UserInfo>
      <UserInfo>
        <DisplayName>HALEVA Dominique, ENV/CBW</DisplayName>
        <AccountId>941</AccountId>
        <AccountType/>
      </UserInfo>
      <UserInfo>
        <DisplayName>PERRY Edward, ENV/CBW</DisplayName>
        <AccountId>2250</AccountId>
        <AccountType/>
      </UserInfo>
      <UserInfo>
        <DisplayName>KOOKA Kate, ENV</DisplayName>
        <AccountId>2181</AccountId>
        <AccountType/>
      </UserInfo>
      <UserInfo>
        <DisplayName>HERRICK Douglas, ENV/GGGR</DisplayName>
        <AccountId>2299</AccountId>
        <AccountType/>
      </UserInfo>
      <UserInfo>
        <DisplayName>MARCHAL Virginie, ENV/GGGR</DisplayName>
        <AccountId>152</AccountId>
        <AccountType/>
      </UserInfo>
      <UserInfo>
        <DisplayName>SYMES Will, TAD/ARP</DisplayName>
        <AccountId>2341</AccountId>
        <AccountType/>
      </UserInfo>
      <UserInfo>
        <DisplayName>ANDERSON Brilé, ENV/CBW</DisplayName>
        <AccountId>2060</AccountId>
        <AccountType/>
      </UserInfo>
      <UserInfo>
        <DisplayName>AGUILAR JABER Aimee, ENV/CBW</DisplayName>
        <AccountId>2495</AccountId>
        <AccountType/>
      </UserInfo>
      <UserInfo>
        <DisplayName>LAGARDE Zoe, ENV</DisplayName>
        <AccountId>2673</AccountId>
        <AccountType/>
      </UserInfo>
      <UserInfo>
        <DisplayName>LAMHAUGE Nicolina, ENV/CBW</DisplayName>
        <AccountId>203</AccountId>
        <AccountType/>
      </UserInfo>
      <UserInfo>
        <DisplayName>GARRETT Justine, ENV/EPI</DisplayName>
        <AccountId>657</AccountId>
        <AccountType/>
      </UserInfo>
      <UserInfo>
        <DisplayName>MARTINI Mireille, ENV/CBW</DisplayName>
        <AccountId>2844</AccountId>
        <AccountType/>
      </UserInfo>
      <UserInfo>
        <DisplayName>LECKIE Hannah, ENV/CBW</DisplayName>
        <AccountId>832</AccountId>
        <AccountType/>
      </UserInfo>
      <UserInfo>
        <DisplayName>KAROUSAKIS Katia, ENV/CBW</DisplayName>
        <AccountId>355</AccountId>
        <AccountType/>
      </UserInfo>
      <UserInfo>
        <DisplayName>BUZZI Elena, ENV/EEI</DisplayName>
        <AccountId>3475</AccountId>
        <AccountType/>
      </UserInfo>
    </OECDProjectMembers>
    <OECDAllRelatedUsers xmlns="e36e4070-fdd8-494c-ae17-1a8cf14e7707">
      <UserInfo>
        <DisplayName/>
        <AccountId xsi:nil="true"/>
        <AccountType/>
      </UserInfo>
    </OECDAllRelatedUsers>
    <OECDCommunityDocumentID xmlns="7348197b-4e95-41c6-b270-341eaa4cbbb2" xsi:nil="true"/>
    <IconOverlay xmlns="http://schemas.microsoft.com/sharepoint/v4" xsi:nil="true"/>
    <OECDCommunityDocumentURL xmlns="7348197b-4e95-41c6-b270-341eaa4cbbb2" xsi:nil="true"/>
    <DocumentSetDescription xmlns="http://schemas.microsoft.com/sharepoint/v3" xsi:nil="true"/>
    <OECDYear xmlns="54c4cd27-f286-408f-9ce0-33c1e0f3ab39" xsi:nil="true"/>
    <eShareHorizProjTaxHTField0 xmlns="e36e4070-fdd8-494c-ae17-1a8cf14e7707" xsi:nil="true"/>
    <OECDSharingStatus xmlns="7348197b-4e95-41c6-b270-341eaa4cbbb2" xsi:nil="true"/>
  </documentManagement>
</p:properties>
</file>

<file path=customXml/item2.xml><?xml version="1.0" encoding="utf-8"?>
<?mso-contentType ?>
<CtFieldPriority xmlns="http://www.oecd.org/eshare/projectsentre/CtFieldPriority/" xmlns:i="http://www.w3.org/2001/XMLSchema-instance">
  <PriorityFields xmlns:a="http://schemas.microsoft.com/2003/10/Serialization/Arrays">
    <a:string>Title</a:string>
    <a:string>OECDCountry</a:string>
    <a:string>OECDTopic</a:string>
    <a:string>OECDKeywords</a:string>
  </PriorityFields>
</CtFieldPriority>
</file>

<file path=customXml/item3.xml><?xml version="1.0" encoding="utf-8"?>
<ct:contentTypeSchema xmlns:ct="http://schemas.microsoft.com/office/2006/metadata/contentType" xmlns:ma="http://schemas.microsoft.com/office/2006/metadata/properties/metaAttributes" ct:_="" ma:_="" ma:contentTypeName="Working Document" ma:contentTypeID="0x0101008B4DD370EC31429186F3AD49F0D3098F00D44DBCB9EB4F45278CB5C9765BE5299500A4858B360C6A491AA753F8BCA47AA91000D6712DEE41081B4DBBA433D0B03F813E" ma:contentTypeVersion="194" ma:contentTypeDescription="" ma:contentTypeScope="" ma:versionID="df98214cff47e272742fec03c8fc3ad0">
  <xsd:schema xmlns:xsd="http://www.w3.org/2001/XMLSchema" xmlns:xs="http://www.w3.org/2001/XMLSchema" xmlns:p="http://schemas.microsoft.com/office/2006/metadata/properties" xmlns:ns1="http://schemas.microsoft.com/sharepoint/v3" xmlns:ns2="54c4cd27-f286-408f-9ce0-33c1e0f3ab39" xmlns:ns3="e36e4070-fdd8-494c-ae17-1a8cf14e7707" xmlns:ns4="ca82dde9-3436-4d3d-bddd-d31447390034" xmlns:ns5="7348197b-4e95-41c6-b270-341eaa4cbbb2" xmlns:ns6="c9f238dd-bb73-4aef-a7a5-d644ad823e52" xmlns:ns7="http://schemas.microsoft.com/sharepoint/v4" targetNamespace="http://schemas.microsoft.com/office/2006/metadata/properties" ma:root="true" ma:fieldsID="1c4691378bc955129995c1675e126a92" ns1:_="" ns2:_="" ns3:_="" ns4:_="" ns5:_="" ns6:_="" ns7:_="">
    <xsd:import namespace="http://schemas.microsoft.com/sharepoint/v3"/>
    <xsd:import namespace="54c4cd27-f286-408f-9ce0-33c1e0f3ab39"/>
    <xsd:import namespace="e36e4070-fdd8-494c-ae17-1a8cf14e7707"/>
    <xsd:import namespace="ca82dde9-3436-4d3d-bddd-d31447390034"/>
    <xsd:import namespace="7348197b-4e95-41c6-b270-341eaa4cbbb2"/>
    <xsd:import namespace="c9f238dd-bb73-4aef-a7a5-d644ad823e52"/>
    <xsd:import namespace="http://schemas.microsoft.com/sharepoint/v4"/>
    <xsd:element name="properties">
      <xsd:complexType>
        <xsd:sequence>
          <xsd:element name="documentManagement">
            <xsd:complexType>
              <xsd:all>
                <xsd:element ref="ns2:OECDMeetingDate" minOccurs="0"/>
                <xsd:element ref="ns4:OECDlanguage" minOccurs="0"/>
                <xsd:element ref="ns3:OECDExpirationDate" minOccurs="0"/>
                <xsd:element ref="ns5:OECDProjectLookup" minOccurs="0"/>
                <xsd:element ref="ns5:OECDProjectManager" minOccurs="0"/>
                <xsd:element ref="ns5:OECDProjectMembers" minOccurs="0"/>
                <xsd:element ref="ns5:OECDMainProject" minOccurs="0"/>
                <xsd:element ref="ns5:OECDPinnedBy" minOccurs="0"/>
                <xsd:element ref="ns2:OECDKimStatus" minOccurs="0"/>
                <xsd:element ref="ns5:OECDTagsCache" minOccurs="0"/>
                <xsd:element ref="ns3:_dlc_DocIdUrl" minOccurs="0"/>
                <xsd:element ref="ns6:eShareCountryTaxHTField0" minOccurs="0"/>
                <xsd:element ref="ns6:eShareTopicTaxHTField0" minOccurs="0"/>
                <xsd:element ref="ns6:eShareKeywordsTaxHTField0" minOccurs="0"/>
                <xsd:element ref="ns6:eShareCommitteeTaxHTField0" minOccurs="0"/>
                <xsd:element ref="ns6:eSharePWBTaxHTField0" minOccurs="0"/>
                <xsd:element ref="ns5:Project_x003a_Project_x0020_status" minOccurs="0"/>
                <xsd:element ref="ns3:_dlc_DocIdPersistId" minOccurs="0"/>
                <xsd:element ref="ns2:OECDKimBussinessContext" minOccurs="0"/>
                <xsd:element ref="ns4:TaxCatchAll" minOccurs="0"/>
                <xsd:element ref="ns2:OECDKimProvenance" minOccurs="0"/>
                <xsd:element ref="ns3:_dlc_DocId" minOccurs="0"/>
                <xsd:element ref="ns7:IconOverlay" minOccurs="0"/>
                <xsd:element ref="ns5:n8655da54a064da182923cf6cbb46907" minOccurs="0"/>
                <xsd:element ref="ns4:TaxCatchAllLabel" minOccurs="0"/>
                <xsd:element ref="ns3:g1cb84c392954f02b97ef964d7fd5f94" minOccurs="0"/>
                <xsd:element ref="ns5:a5c695ec21c747a0bdb8a6375755520a" minOccurs="0"/>
                <xsd:element ref="ns1:DocumentSetDescription" minOccurs="0"/>
                <xsd:element ref="ns5:OECDSharingStatus" minOccurs="0"/>
                <xsd:element ref="ns5:OECDCommunityDocumentURL" minOccurs="0"/>
                <xsd:element ref="ns5:OECDCommunityDocumentID" minOccurs="0"/>
                <xsd:element ref="ns3:eShareHorizProjTaxHTField0" minOccurs="0"/>
                <xsd:element ref="ns3:OECDAllRelatedUsers" minOccurs="0"/>
                <xsd:element ref="ns5:SharedWithUsers" minOccurs="0"/>
                <xsd:element ref="ns2:OECDYea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1" nillable="true" ma:displayName="Description" ma:description="A description of the Document Set"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4c4cd27-f286-408f-9ce0-33c1e0f3ab39" elementFormDefault="qualified">
    <xsd:import namespace="http://schemas.microsoft.com/office/2006/documentManagement/types"/>
    <xsd:import namespace="http://schemas.microsoft.com/office/infopath/2007/PartnerControls"/>
    <xsd:element name="OECDMeetingDate" ma:index="4" nillable="true" ma:displayName="Meeting Date" ma:default="" ma:format="DateOnly" ma:hidden="true" ma:internalName="OECDMeetingDate">
      <xsd:simpleType>
        <xsd:restriction base="dms:DateTime"/>
      </xsd:simpleType>
    </xsd:element>
    <xsd:element name="OECDKimStatus" ma:index="16" nillable="true" ma:displayName="Kim status" ma:default="Draft" ma:description="" ma:format="Dropdown" ma:hidden="true" ma:internalName="OECDKimStatus">
      <xsd:simpleType>
        <xsd:restriction base="dms:Choice">
          <xsd:enumeration value="Draft"/>
          <xsd:enumeration value="Final"/>
        </xsd:restriction>
      </xsd:simpleType>
    </xsd:element>
    <xsd:element name="OECDKimBussinessContext" ma:index="30" nillable="true" ma:displayName="Kim business context" ma:description="" ma:hidden="true" ma:internalName="OECDKimBussinessContext">
      <xsd:simpleType>
        <xsd:restriction base="dms:Text"/>
      </xsd:simpleType>
    </xsd:element>
    <xsd:element name="OECDKimProvenance" ma:index="32" nillable="true" ma:displayName="Kim provenance" ma:description="" ma:hidden="true" ma:internalName="OECDKimProvenance">
      <xsd:simpleType>
        <xsd:restriction base="dms:Text">
          <xsd:maxLength value="255"/>
        </xsd:restriction>
      </xsd:simpleType>
    </xsd:element>
    <xsd:element name="OECDYear" ma:index="50" nillable="true" ma:displayName="Year" ma:description="" ma:internalName="OECDYear"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6e4070-fdd8-494c-ae17-1a8cf14e7707" elementFormDefault="qualified">
    <xsd:import namespace="http://schemas.microsoft.com/office/2006/documentManagement/types"/>
    <xsd:import namespace="http://schemas.microsoft.com/office/infopath/2007/PartnerControls"/>
    <xsd:element name="OECDExpirationDate" ma:index="8" nillable="true" ma:displayName="Highlights" ma:default="" ma:description="" ma:format="DateOnly" ma:hidden="true" ma:indexed="true" ma:internalName="OECDExpirationDate">
      <xsd:simpleType>
        <xsd:restriction base="dms:DateTime"/>
      </xsd:simpleType>
    </xsd:element>
    <xsd:element name="_dlc_DocIdUrl" ma:index="18" nillable="true" ma:displayName="Document ID" ma:description=""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element name="_dlc_DocId" ma:index="33" nillable="true" ma:displayName="Document ID" ma:description="" ma:hidden="true" ma:internalName="_dlc_DocId" ma:readOnly="true">
      <xsd:simpleType>
        <xsd:restriction base="dms:Text"/>
      </xsd:simpleType>
    </xsd:element>
    <xsd:element name="g1cb84c392954f02b97ef964d7fd5f94" ma:index="38" nillable="true" ma:taxonomy="true" ma:internalName="g1cb84c392954f02b97ef964d7fd5f94" ma:taxonomyFieldName="OECDHorizontalProjects" ma:displayName="Horizontal project" ma:readOnly="false" ma:default="" ma:fieldId="{01cb84c3-9295-4f02-b97e-f964d7fd5f94}" ma:taxonomyMulti="true" ma:sspId="27ec883c-a62c-444f-a935-fcddb579e39d" ma:termSetId="d3ca0e0e-65f9-44bf-9d98-5271504f6d61" ma:anchorId="00000000-0000-0000-0000-000000000000" ma:open="false" ma:isKeyword="false">
      <xsd:complexType>
        <xsd:sequence>
          <xsd:element ref="pc:Terms" minOccurs="0" maxOccurs="1"/>
        </xsd:sequence>
      </xsd:complexType>
    </xsd:element>
    <xsd:element name="eShareHorizProjTaxHTField0" ma:index="45" nillable="true" ma:displayName="OECDHorizontalProjects_0" ma:description="" ma:hidden="true" ma:internalName="eShareHorizProjTaxHTField0">
      <xsd:simpleType>
        <xsd:restriction base="dms:Note"/>
      </xsd:simpleType>
    </xsd:element>
    <xsd:element name="OECDAllRelatedUsers" ma:index="48" nillable="true" ma:displayName="All related users" ma:description="" ma:hidden="true" ma:internalName="OECDAllRelatedUs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82dde9-3436-4d3d-bddd-d31447390034" elementFormDefault="qualified">
    <xsd:import namespace="http://schemas.microsoft.com/office/2006/documentManagement/types"/>
    <xsd:import namespace="http://schemas.microsoft.com/office/infopath/2007/PartnerControls"/>
    <xsd:element name="OECDlanguage" ma:index="5" nillable="true" ma:displayName="Document language" ma:default="English" ma:description="" ma:format="Dropdown" ma:hidden="true" ma:internalName="OECDlanguage" ma:readOnly="false">
      <xsd:simpleType>
        <xsd:restriction base="dms:Choice">
          <xsd:enumeration value="English"/>
          <xsd:enumeration value="French"/>
        </xsd:restriction>
      </xsd:simpleType>
    </xsd:element>
    <xsd:element name="TaxCatchAll" ma:index="31" nillable="true" ma:displayName="Taxonomy Catch All Column" ma:hidden="true" ma:list="{e92eb940-6ce3-49f1-938f-e905cf32b7e4}" ma:internalName="TaxCatchAll" ma:showField="CatchAllData" ma:web="e36e4070-fdd8-494c-ae17-1a8cf14e7707">
      <xsd:complexType>
        <xsd:complexContent>
          <xsd:extension base="dms:MultiChoiceLookup">
            <xsd:sequence>
              <xsd:element name="Value" type="dms:Lookup" maxOccurs="unbounded" minOccurs="0" nillable="true"/>
            </xsd:sequence>
          </xsd:extension>
        </xsd:complexContent>
      </xsd:complexType>
    </xsd:element>
    <xsd:element name="TaxCatchAllLabel" ma:index="36" nillable="true" ma:displayName="Taxonomy Catch All Column1" ma:hidden="true" ma:list="{e92eb940-6ce3-49f1-938f-e905cf32b7e4}" ma:internalName="TaxCatchAllLabel" ma:readOnly="true" ma:showField="CatchAllDataLabel" ma:web="e36e4070-fdd8-494c-ae17-1a8cf14e770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348197b-4e95-41c6-b270-341eaa4cbbb2" elementFormDefault="qualified">
    <xsd:import namespace="http://schemas.microsoft.com/office/2006/documentManagement/types"/>
    <xsd:import namespace="http://schemas.microsoft.com/office/infopath/2007/PartnerControls"/>
    <xsd:element name="OECDProjectLookup" ma:index="9" nillable="true" ma:displayName="Project" ma:description="" ma:hidden="true" ma:indexed="true" ma:list="79d7b38c-e11d-4327-b506-f1b1b5675f7d" ma:internalName="OECDProjectLookup" ma:readOnly="false" ma:showField="OECDShortProjectName" ma:web="7348197b-4e95-41c6-b270-341eaa4cbbb2">
      <xsd:simpleType>
        <xsd:restriction base="dms:Lookup"/>
      </xsd:simpleType>
    </xsd:element>
    <xsd:element name="OECDProjectManager" ma:index="10" nillable="true" ma:displayName="Project manager" ma:description="" ma:hidden="true" ma:indexed="true" ma:internalName="OECDProjectManag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ProjectMembers" ma:index="11" nillable="true" ma:displayName="Project members" ma:description="" ma:hidden="true" ma:internalName="OECDProjectMembers" ma:readOnly="fals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MainProject" ma:index="14" nillable="true" ma:displayName="Main project" ma:description="" ma:hidden="true" ma:indexed="true" ma:list="79d7b38c-e11d-4327-b506-f1b1b5675f7d" ma:internalName="OECDMainProject" ma:readOnly="false" ma:showField="OECDShortProjectName">
      <xsd:simpleType>
        <xsd:restriction base="dms:Lookup"/>
      </xsd:simpleType>
    </xsd:element>
    <xsd:element name="OECDPinnedBy" ma:index="15" nillable="true" ma:displayName="Pinned by" ma:description="" ma:hidden="true" ma:internalName="OECDPinn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ECDTagsCache" ma:index="17" nillable="true" ma:displayName="Tags cache" ma:description="" ma:hidden="true" ma:internalName="OECDTagsCache">
      <xsd:simpleType>
        <xsd:restriction base="dms:Note"/>
      </xsd:simpleType>
    </xsd:element>
    <xsd:element name="Project_x003a_Project_x0020_status" ma:index="25" nillable="true" ma:displayName="Project:Project status" ma:hidden="true" ma:list="79d7b38c-e11d-4327-b506-f1b1b5675f7d" ma:internalName="Project_x003A_Project_x0020_status" ma:readOnly="true" ma:showField="OECDProjectStatus" ma:web="7348197b-4e95-41c6-b270-341eaa4cbbb2">
      <xsd:simpleType>
        <xsd:restriction base="dms:Lookup"/>
      </xsd:simpleType>
    </xsd:element>
    <xsd:element name="n8655da54a064da182923cf6cbb46907" ma:index="35" nillable="true" ma:displayName="Deliverable partners_0" ma:hidden="true" ma:internalName="n8655da54a064da182923cf6cbb46907">
      <xsd:simpleType>
        <xsd:restriction base="dms:Note"/>
      </xsd:simpleType>
    </xsd:element>
    <xsd:element name="a5c695ec21c747a0bdb8a6375755520a" ma:index="39" nillable="true" ma:taxonomy="true" ma:internalName="a5c695ec21c747a0bdb8a6375755520a" ma:taxonomyFieldName="OECDProjectOwnerStructure" ma:displayName="Project owner" ma:readOnly="false" ma:default="" ma:fieldId="a5c695ec-21c7-47a0-bdb8-a6375755520a" ma:taxonomyMulti="true" ma:sspId="27ec883c-a62c-444f-a935-fcddb579e39d" ma:termSetId="aeec4dcb-19ee-4bc0-941f-681845b568c9" ma:anchorId="00000000-0000-0000-0000-000000000000" ma:open="false" ma:isKeyword="false">
      <xsd:complexType>
        <xsd:sequence>
          <xsd:element ref="pc:Terms" minOccurs="0" maxOccurs="1"/>
        </xsd:sequence>
      </xsd:complexType>
    </xsd:element>
    <xsd:element name="OECDSharingStatus" ma:index="42" nillable="true" ma:displayName="O.N.E Document Sharing Status" ma:description="" ma:hidden="true" ma:internalName="OECDSharingStatus">
      <xsd:simpleType>
        <xsd:restriction base="dms:Text"/>
      </xsd:simpleType>
    </xsd:element>
    <xsd:element name="OECDCommunityDocumentURL" ma:index="43" nillable="true" ma:displayName="O.N.E Community Document URL" ma:description="" ma:hidden="true" ma:internalName="OECDCommunityDocumentURL">
      <xsd:simpleType>
        <xsd:restriction base="dms:Text"/>
      </xsd:simpleType>
    </xsd:element>
    <xsd:element name="OECDCommunityDocumentID" ma:index="44" nillable="true" ma:displayName="O.N.E Community Document ID" ma:decimals="0" ma:description="" ma:hidden="true" ma:internalName="OECDCommunityDocumentID">
      <xsd:simpleType>
        <xsd:restriction base="dms:Number"/>
      </xsd:simpleType>
    </xsd:element>
    <xsd:element name="SharedWithUsers" ma:index="4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9f238dd-bb73-4aef-a7a5-d644ad823e52" elementFormDefault="qualified">
    <xsd:import namespace="http://schemas.microsoft.com/office/2006/documentManagement/types"/>
    <xsd:import namespace="http://schemas.microsoft.com/office/infopath/2007/PartnerControls"/>
    <xsd:element name="eShareCountryTaxHTField0" ma:index="20" nillable="true" ma:taxonomy="true" ma:internalName="eShareCountryTaxHTField0" ma:taxonomyFieldName="OECDCountry" ma:displayName="Country" ma:default="" ma:fieldId="{aa366335-bba6-4f71-86c6-f91b1ae503c2}" ma:taxonomyMulti="true" ma:sspId="27ec883c-a62c-444f-a935-fcddb579e39d" ma:termSetId="e1026e78-e24d-4b33-a8f4-6ff75b8e5ad2" ma:anchorId="00000000-0000-0000-0000-000000000000" ma:open="false" ma:isKeyword="false">
      <xsd:complexType>
        <xsd:sequence>
          <xsd:element ref="pc:Terms" minOccurs="0" maxOccurs="1"/>
        </xsd:sequence>
      </xsd:complexType>
    </xsd:element>
    <xsd:element name="eShareTopicTaxHTField0" ma:index="21" nillable="true" ma:taxonomy="true" ma:internalName="eShareTopicTaxHTField0" ma:taxonomyFieldName="OECDTopic" ma:displayName="Topic" ma:default="" ma:fieldId="{9b5335f8-765c-484a-86dd-d10580650a95}" ma:taxonomyMulti="true" ma:sspId="27ec883c-a62c-444f-a935-fcddb579e39d" ma:termSetId="d0043ed9-7fdc-4b21-8641-a864cc50d2b2" ma:anchorId="00000000-0000-0000-0000-000000000000" ma:open="false" ma:isKeyword="false">
      <xsd:complexType>
        <xsd:sequence>
          <xsd:element ref="pc:Terms" minOccurs="0" maxOccurs="1"/>
        </xsd:sequence>
      </xsd:complexType>
    </xsd:element>
    <xsd:element name="eShareKeywordsTaxHTField0" ma:index="22" nillable="true" ma:taxonomy="true" ma:internalName="eShareKeywordsTaxHTField0" ma:taxonomyFieldName="OECDKeywords" ma:displayName="Keywords" ma:default="" ma:fieldId="{8a7c3663-990d-467c-b1b8-bb4b775674ad}" ma:taxonomyMulti="true" ma:sspId="27ec883c-a62c-444f-a935-fcddb579e39d" ma:termSetId="f51791ee-8e04-4654-a875-fc747102cd45" ma:anchorId="00000000-0000-0000-0000-000000000000" ma:open="true" ma:isKeyword="false">
      <xsd:complexType>
        <xsd:sequence>
          <xsd:element ref="pc:Terms" minOccurs="0" maxOccurs="1"/>
        </xsd:sequence>
      </xsd:complexType>
    </xsd:element>
    <xsd:element name="eShareCommitteeTaxHTField0" ma:index="23" nillable="true" ma:taxonomy="true" ma:internalName="eShareCommitteeTaxHTField0" ma:taxonomyFieldName="OECDCommittee" ma:displayName="Committee" ma:default="" ma:fieldId="{29494d90-e667-47b5-adc1-d09dfb5832ab}" ma:sspId="27ec883c-a62c-444f-a935-fcddb579e39d" ma:termSetId="87919aae-be42-4481-84cf-2389a5c84ac4" ma:anchorId="00000000-0000-0000-0000-000000000000" ma:open="false" ma:isKeyword="false">
      <xsd:complexType>
        <xsd:sequence>
          <xsd:element ref="pc:Terms" minOccurs="0" maxOccurs="1"/>
        </xsd:sequence>
      </xsd:complexType>
    </xsd:element>
    <xsd:element name="eSharePWBTaxHTField0" ma:index="24" nillable="true" ma:taxonomy="true" ma:internalName="eSharePWBTaxHTField0" ma:taxonomyFieldName="OECDPWB" ma:displayName="PWB" ma:default="" ma:fieldId="{fe327ce1-b783-48aa-9b0b-52ad26d1c9f6}" ma:sspId="27ec883c-a62c-444f-a935-fcddb579e39d" ma:termSetId="7bc7477d-4ef0-4820-a158-bb7b3cda138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5.xml><?xml version="1.0" encoding="utf-8"?>
<?mso-contentType ?>
<FormTemplates xmlns="http://schemas.microsoft.com/sharepoint/v3/contenttype/forms">
  <Display>OECDListFormCollapsible</Display>
  <Edit>OECDListFormCollapsible</Edit>
  <New>OECDListFormCollapsible</New>
</FormTemplates>
</file>

<file path=customXml/item6.xml><?xml version="1.0" encoding="utf-8"?>
<?mso-contentType ?>
<SharedContentType xmlns="Microsoft.SharePoint.Taxonomy.ContentTypeSync" SourceId="27ec883c-a62c-444f-a935-fcddb579e39d" ContentTypeId="0x0101008B4DD370EC31429186F3AD49F0D3098F00D44DBCB9EB4F45278CB5C9765BE52995" PreviousValue="false"/>
</file>

<file path=customXml/itemProps1.xml><?xml version="1.0" encoding="utf-8"?>
<ds:datastoreItem xmlns:ds="http://schemas.openxmlformats.org/officeDocument/2006/customXml" ds:itemID="{C4347DB2-02A9-48BD-9329-8AC02EF54EBB}">
  <ds:schemaRefs>
    <ds:schemaRef ds:uri="http://purl.org/dc/dcmitype/"/>
    <ds:schemaRef ds:uri="ca82dde9-3436-4d3d-bddd-d31447390034"/>
    <ds:schemaRef ds:uri="http://schemas.microsoft.com/office/2006/documentManagement/types"/>
    <ds:schemaRef ds:uri="http://schemas.microsoft.com/office/infopath/2007/PartnerControls"/>
    <ds:schemaRef ds:uri="http://schemas.microsoft.com/office/2006/metadata/properties"/>
    <ds:schemaRef ds:uri="e36e4070-fdd8-494c-ae17-1a8cf14e7707"/>
    <ds:schemaRef ds:uri="http://purl.org/dc/elements/1.1/"/>
    <ds:schemaRef ds:uri="http://schemas.microsoft.com/sharepoint/v3"/>
    <ds:schemaRef ds:uri="http://schemas.openxmlformats.org/package/2006/metadata/core-properties"/>
    <ds:schemaRef ds:uri="http://purl.org/dc/terms/"/>
    <ds:schemaRef ds:uri="http://schemas.microsoft.com/sharepoint/v4"/>
    <ds:schemaRef ds:uri="c9f238dd-bb73-4aef-a7a5-d644ad823e52"/>
    <ds:schemaRef ds:uri="7348197b-4e95-41c6-b270-341eaa4cbbb2"/>
    <ds:schemaRef ds:uri="54c4cd27-f286-408f-9ce0-33c1e0f3ab39"/>
    <ds:schemaRef ds:uri="http://www.w3.org/XML/1998/namespace"/>
  </ds:schemaRefs>
</ds:datastoreItem>
</file>

<file path=customXml/itemProps2.xml><?xml version="1.0" encoding="utf-8"?>
<ds:datastoreItem xmlns:ds="http://schemas.openxmlformats.org/officeDocument/2006/customXml" ds:itemID="{37135818-2467-4D16-B799-5F9DE42C1EBB}">
  <ds:schemaRefs>
    <ds:schemaRef ds:uri="http://www.oecd.org/eshare/projectsentre/CtFieldPriority/"/>
    <ds:schemaRef ds:uri="http://schemas.microsoft.com/2003/10/Serialization/Arrays"/>
  </ds:schemaRefs>
</ds:datastoreItem>
</file>

<file path=customXml/itemProps3.xml><?xml version="1.0" encoding="utf-8"?>
<ds:datastoreItem xmlns:ds="http://schemas.openxmlformats.org/officeDocument/2006/customXml" ds:itemID="{4EA89808-60BF-4390-8365-C756077A01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4c4cd27-f286-408f-9ce0-33c1e0f3ab39"/>
    <ds:schemaRef ds:uri="e36e4070-fdd8-494c-ae17-1a8cf14e7707"/>
    <ds:schemaRef ds:uri="ca82dde9-3436-4d3d-bddd-d31447390034"/>
    <ds:schemaRef ds:uri="7348197b-4e95-41c6-b270-341eaa4cbbb2"/>
    <ds:schemaRef ds:uri="c9f238dd-bb73-4aef-a7a5-d644ad823e52"/>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F6A495-44F5-420E-83B5-27BB04E6B1D5}">
  <ds:schemaRefs>
    <ds:schemaRef ds:uri="http://schemas.microsoft.com/sharepoint/events"/>
  </ds:schemaRefs>
</ds:datastoreItem>
</file>

<file path=customXml/itemProps5.xml><?xml version="1.0" encoding="utf-8"?>
<ds:datastoreItem xmlns:ds="http://schemas.openxmlformats.org/officeDocument/2006/customXml" ds:itemID="{AE3F0B54-B724-4936-981C-3E16B3426B1D}">
  <ds:schemaRefs>
    <ds:schemaRef ds:uri="http://schemas.microsoft.com/sharepoint/v3/contenttype/forms"/>
  </ds:schemaRefs>
</ds:datastoreItem>
</file>

<file path=customXml/itemProps6.xml><?xml version="1.0" encoding="utf-8"?>
<ds:datastoreItem xmlns:ds="http://schemas.openxmlformats.org/officeDocument/2006/customXml" ds:itemID="{D9F8561E-654E-4718-8CDD-148CC9C26B7E}">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Description of columns</vt:lpstr>
      <vt:lpstr>Measures</vt:lpstr>
      <vt:lpstr>Exchange rates to USD</vt:lpstr>
      <vt:lpstr>selection lists</vt:lpstr>
      <vt:lpstr>Grant</vt:lpstr>
      <vt:lpstr>Grant_Loan__including_interest_free_loans</vt:lpstr>
    </vt:vector>
  </TitlesOfParts>
  <Company>OECD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DOBRINEVSKI Alexander</dc:creator>
  <cp:lastModifiedBy>Andrew Prag</cp:lastModifiedBy>
  <dcterms:created xsi:type="dcterms:W3CDTF">2020-07-31T11:24:08Z</dcterms:created>
  <dcterms:modified xsi:type="dcterms:W3CDTF">2021-04-18T22:17:51Z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0x0101008B4DD370EC31429186F3AD49F0D3098F00D44DBCB9EB4F45278CB5C9765BE5299500A4858B360C6A491AA753F8BCA47AA91000D6712DEE41081B4DBBA433D0B03F813E</vt:lpwstr>
  </property>
  <property fmtid="{D5CDD505-2E9C-101B-9397-08002B2CF9AE}" pid="3" name="OECDProjectOwnerStructure">
    <vt:lpwstr/>
  </property>
  <property fmtid="{D5CDD505-2E9C-101B-9397-08002B2CF9AE}" pid="4" name="OECDHorizontalProjects">
    <vt:lpwstr/>
  </property>
  <property fmtid="{D5CDD505-2E9C-101B-9397-08002B2CF9AE}" pid="5" name="OECDCountry">
    <vt:lpwstr/>
  </property>
  <property fmtid="{D5CDD505-2E9C-101B-9397-08002B2CF9AE}" pid="6" name="OECDTopic">
    <vt:lpwstr/>
  </property>
  <property fmtid="{D5CDD505-2E9C-101B-9397-08002B2CF9AE}" pid="7" name="OECDCommittee">
    <vt:lpwstr/>
  </property>
  <property fmtid="{D5CDD505-2E9C-101B-9397-08002B2CF9AE}" pid="8" name="OECDPWB">
    <vt:lpwstr>904;#2.3.1 Environmental Peer Reviews, Indicators and Outlooks|3996ec45-8abc-425e-9a15-cc44b9a83721</vt:lpwstr>
  </property>
  <property fmtid="{D5CDD505-2E9C-101B-9397-08002B2CF9AE}" pid="9" name="OECDKeywords">
    <vt:lpwstr/>
  </property>
  <property fmtid="{D5CDD505-2E9C-101B-9397-08002B2CF9AE}" pid="10" name="OECDDeliverablePartnersStructure">
    <vt:lpwstr/>
  </property>
  <property fmtid="{D5CDD505-2E9C-101B-9397-08002B2CF9AE}" pid="11" name="eShareOrganisationTaxHTField0">
    <vt:lpwstr/>
  </property>
  <property fmtid="{D5CDD505-2E9C-101B-9397-08002B2CF9AE}" pid="12" name="OECDOrganisation">
    <vt:lpwstr/>
  </property>
  <property fmtid="{D5CDD505-2E9C-101B-9397-08002B2CF9AE}" pid="13" name="_docset_NoMedatataSyncRequired">
    <vt:lpwstr>False</vt:lpwstr>
  </property>
</Properties>
</file>